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PROPOSTA08 (2)" sheetId="1" r:id="rId1"/>
  </sheets>
  <definedNames>
    <definedName name="Formato_da_Loja">#REF!</definedName>
    <definedName name="marco">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5" i="1"/>
  <c r="L216"/>
  <c r="L218"/>
  <c r="L217"/>
  <c r="L151"/>
  <c r="L138"/>
  <c r="L137"/>
  <c r="L136"/>
  <c r="L133"/>
  <c r="L134"/>
  <c r="L132"/>
  <c r="L131"/>
  <c r="L130"/>
  <c r="L42"/>
  <c r="L40"/>
  <c r="L39"/>
  <c r="L38"/>
  <c r="L37"/>
  <c r="L36"/>
  <c r="L229" l="1"/>
  <c r="K229"/>
  <c r="J229"/>
  <c r="L228"/>
  <c r="K228"/>
  <c r="J228"/>
  <c r="L227"/>
  <c r="K227"/>
  <c r="J227"/>
  <c r="L226"/>
  <c r="K226"/>
  <c r="J226"/>
  <c r="L225"/>
  <c r="K225"/>
  <c r="J225"/>
  <c r="L224"/>
  <c r="K224"/>
  <c r="J224"/>
  <c r="L223"/>
  <c r="K223"/>
  <c r="J223"/>
  <c r="L214"/>
  <c r="L213"/>
  <c r="L212"/>
  <c r="L211"/>
  <c r="L210"/>
  <c r="L209"/>
  <c r="L208"/>
  <c r="L207"/>
  <c r="L206"/>
  <c r="L205"/>
  <c r="L204"/>
  <c r="L203"/>
  <c r="L202"/>
  <c r="L16" s="1"/>
  <c r="L201"/>
  <c r="L199"/>
  <c r="L198"/>
  <c r="L197"/>
  <c r="L196"/>
  <c r="L195"/>
  <c r="L193"/>
  <c r="L192"/>
  <c r="L191"/>
  <c r="L190"/>
  <c r="L25" s="1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0"/>
  <c r="L149"/>
  <c r="L147"/>
  <c r="L145"/>
  <c r="L144"/>
  <c r="L143"/>
  <c r="L142"/>
  <c r="L141"/>
  <c r="L140"/>
  <c r="L139"/>
  <c r="J128"/>
  <c r="L128" s="1"/>
  <c r="L127"/>
  <c r="L126"/>
  <c r="L125"/>
  <c r="L124"/>
  <c r="L123"/>
  <c r="L122"/>
  <c r="L120"/>
  <c r="L119"/>
  <c r="L118"/>
  <c r="L117"/>
  <c r="L116"/>
  <c r="L115"/>
  <c r="L114"/>
  <c r="L113"/>
  <c r="L112"/>
  <c r="L110"/>
  <c r="L109"/>
  <c r="L108"/>
  <c r="L107"/>
  <c r="L106"/>
  <c r="L105"/>
  <c r="L104"/>
  <c r="L103"/>
  <c r="L102"/>
  <c r="L101"/>
  <c r="J100"/>
  <c r="L100" s="1"/>
  <c r="L99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5"/>
  <c r="L74"/>
  <c r="L73"/>
  <c r="L72"/>
  <c r="L70"/>
  <c r="L69"/>
  <c r="L68"/>
  <c r="L67"/>
  <c r="L66"/>
  <c r="L65"/>
  <c r="L63"/>
  <c r="L62"/>
  <c r="L23" s="1"/>
  <c r="L61"/>
  <c r="L60"/>
  <c r="L59"/>
  <c r="L19" s="1"/>
  <c r="L58"/>
  <c r="L57"/>
  <c r="L55"/>
  <c r="L54"/>
  <c r="L52"/>
  <c r="L11" s="1"/>
  <c r="L51"/>
  <c r="L50"/>
  <c r="H50"/>
  <c r="H51" s="1"/>
  <c r="L49"/>
  <c r="L48"/>
  <c r="L47"/>
  <c r="L44"/>
  <c r="L43"/>
  <c r="L41"/>
  <c r="L35"/>
  <c r="L34"/>
  <c r="L33"/>
  <c r="L32"/>
  <c r="L31"/>
  <c r="L22"/>
  <c r="L20"/>
  <c r="L17"/>
  <c r="L12"/>
  <c r="L18" l="1"/>
  <c r="L111"/>
  <c r="L76"/>
  <c r="L14"/>
  <c r="L10"/>
  <c r="L30"/>
  <c r="L13"/>
  <c r="L21"/>
  <c r="L98"/>
  <c r="L45"/>
  <c r="L24"/>
  <c r="L15"/>
  <c r="L26" l="1"/>
  <c r="L219"/>
</calcChain>
</file>

<file path=xl/sharedStrings.xml><?xml version="1.0" encoding="utf-8"?>
<sst xmlns="http://schemas.openxmlformats.org/spreadsheetml/2006/main" count="626" uniqueCount="433">
  <si>
    <t>LOJA</t>
  </si>
  <si>
    <t>Tipo</t>
  </si>
  <si>
    <t>Tamanho</t>
  </si>
  <si>
    <t>ÁREA</t>
  </si>
  <si>
    <t>INÍCIO DA OBRA</t>
  </si>
  <si>
    <t>TÉRMINO DA OBRA</t>
  </si>
  <si>
    <t>Av. Paulista</t>
  </si>
  <si>
    <t>Gerenciador:</t>
  </si>
  <si>
    <t>Duração da obra:</t>
  </si>
  <si>
    <t>DIAS</t>
  </si>
  <si>
    <t>RAZÃO SOCIAL</t>
  </si>
  <si>
    <t>Ynovações Construções e Decorações Ltda</t>
  </si>
  <si>
    <t>CNPJ</t>
  </si>
  <si>
    <t>18.670.289/0001-11</t>
  </si>
  <si>
    <t>DESCRIÇÃO</t>
  </si>
  <si>
    <t>C.C.</t>
  </si>
  <si>
    <t>ITEM</t>
  </si>
  <si>
    <t>CÓD SERVIÇO</t>
  </si>
  <si>
    <t>VALOR</t>
  </si>
  <si>
    <t>ALVENARIA (PARED.DIVISÓRIAS, ETC.)</t>
  </si>
  <si>
    <t>ESQUADRIAS E VIDROS ÁREA ADM.</t>
  </si>
  <si>
    <t>REVESTIMENTOS DE PAREDE</t>
  </si>
  <si>
    <t>PINTURAS DE FORRO/PAREDES</t>
  </si>
  <si>
    <t>PISO DA ÁREA ADM/RESERVA</t>
  </si>
  <si>
    <t>ADMINISTRAÇÃO, MOBILIZAÇÃO E LIMPEZA DA OBRA</t>
  </si>
  <si>
    <t>IMPEAB/TELHADO/REV.EXT/CANTEIRO</t>
  </si>
  <si>
    <t>LIGAÇÃO PROVISÓRIA INSTALAÇÕES ELETRICAS</t>
  </si>
  <si>
    <t>MÓVEIS E EQUIPTOS ÁREA ADM.</t>
  </si>
  <si>
    <t>FORRO ÁREA DE VENDAS</t>
  </si>
  <si>
    <t>PISO ÁREA DE VENDAS</t>
  </si>
  <si>
    <t>FACHADAS / ENTRADA LOJA / VITRIN</t>
  </si>
  <si>
    <t>SERVICOS GERAIS (CÓPIAS, ETC.)</t>
  </si>
  <si>
    <t>PAINÉIS E FERRAGENS</t>
  </si>
  <si>
    <t>PAINÉIS FERRAGENS E ESPELHOS PROVADORES</t>
  </si>
  <si>
    <t>OMISSOS</t>
  </si>
  <si>
    <t>TOTAL</t>
  </si>
  <si>
    <t>PREÇOS UNITÁRIOS</t>
  </si>
  <si>
    <t>UN.</t>
  </si>
  <si>
    <t>QDE.</t>
  </si>
  <si>
    <t>MAT.*</t>
  </si>
  <si>
    <t>M.OBRA</t>
  </si>
  <si>
    <t>1.0</t>
  </si>
  <si>
    <t>SERVIÇO DE ADMINISTRAÇÃO MOBILIZAÇÃO E LIMPEZA DA OBRA</t>
  </si>
  <si>
    <t>1.1</t>
  </si>
  <si>
    <t>LONA PLÁSTICA PARA PROTEÇÃO DE EQUIPAMENTOS</t>
  </si>
  <si>
    <t>rolos</t>
  </si>
  <si>
    <t>1.2</t>
  </si>
  <si>
    <t>LONA PARA ISOLAMENTO DAS FASES DA OBRA (modelos aceitos: SUNSET BRANCO BRILHO OU LG BRANCO BRILHO 340GR) COM ILHÓS E VELCRO</t>
  </si>
  <si>
    <t>vb.</t>
  </si>
  <si>
    <t>1.3</t>
  </si>
  <si>
    <t>ESTADIAS E REFEIÇÕES</t>
  </si>
  <si>
    <t>1.4</t>
  </si>
  <si>
    <t>MOBILIZAÇÃO DA OBRA</t>
  </si>
  <si>
    <t>1.5</t>
  </si>
  <si>
    <t>MOVIMENTAÇÃO DE MATERIAIS NA OBRA</t>
  </si>
  <si>
    <t>1.6</t>
  </si>
  <si>
    <t>LIMPEZA PERMANENTE DE OBRA (2 AUXILIARES DE LIMPEZA - COM MATERIAIS/EQUIPAMENTOS)</t>
  </si>
  <si>
    <t>dias</t>
  </si>
  <si>
    <t>1.7</t>
  </si>
  <si>
    <t>LIMPEZA FINAL DE OBRA (2 AUXILIARES DE LIMPEZA - COM MATERIAIS/EQUIPAMENTOS)</t>
  </si>
  <si>
    <t>1.8</t>
  </si>
  <si>
    <t>REMOÇÃO DE ENTULHO/RESÍDUOS (CONSIDERAR DESTINAÇÃO ADEQUADA DOS RESÍDUOS GERADOS CONFORME LEGISLAÇÃO LOCAL E MANUAL DE GESTÃO DE RESÍDUOS C&amp;A - TODA A DOCUMENTAÇÃO RELATIVA AOS DESCARTES DEVERÁ SER ENTREGUE AO TÉRMINO DA OBRA)</t>
  </si>
  <si>
    <t>1.9</t>
  </si>
  <si>
    <t>EQUIPAMENTOS DE PROTEÇÃO (EPIs/EPCs) E EQUIPAMENTOS NECESSÁRIOS PARA A EXECUÇÃO DA OBRA (ANDAIMES, PLATAFORMAS, ETC)</t>
  </si>
  <si>
    <t>1.10</t>
  </si>
  <si>
    <t>ART OU RRT DE OBRA (DEVE CONSTAR TODAS AS ATIVIDADES A SEGUIR: EXECUÇÃO DE REFORMA DE INTERIORES, EXECUÇÃO DE INSTALAÇÕES PREDIAIS DE PREVENÇÃO E COMBATE A INCÊNDIO E EXECUÇÃO DE INSTALAÇÕES ELÉTRICAS PREDIAIS)</t>
  </si>
  <si>
    <t>1.11</t>
  </si>
  <si>
    <t>SEGURO DE OBRA</t>
  </si>
  <si>
    <t>1.12</t>
  </si>
  <si>
    <t>TAPUME (CONSIDERAR  FACHADA e FASES)</t>
  </si>
  <si>
    <t>m²</t>
  </si>
  <si>
    <t>1.13</t>
  </si>
  <si>
    <t>ENGENHEIRO RESIDENTE</t>
  </si>
  <si>
    <t>mês</t>
  </si>
  <si>
    <t>1.14</t>
  </si>
  <si>
    <t>Tecnico de Segurança (2 visitas semanal)</t>
  </si>
  <si>
    <t>2.0</t>
  </si>
  <si>
    <t>SALÃO DE VENDAS</t>
  </si>
  <si>
    <t>PAREDERS E DEMOLIÇÕES</t>
  </si>
  <si>
    <t>2.1</t>
  </si>
  <si>
    <t xml:space="preserve">DEMOLIÇÃO DE PAREDES DRYWALL </t>
  </si>
  <si>
    <t>2.2</t>
  </si>
  <si>
    <t>EXECUÇÃO/REVESTIMENTO DE PAREDES EM DRYWALL - MAT + MO</t>
  </si>
  <si>
    <t>2.3</t>
  </si>
  <si>
    <t>PINTURA ACRÍLICA E EMASSAMENTO DAS PAREDES (MARCAS CORAL OU SUVINIL / COR BRANCO NEVE) - ÁREA DE CAIXA</t>
  </si>
  <si>
    <t>Valor SCN</t>
  </si>
  <si>
    <t>2.4</t>
  </si>
  <si>
    <t>ACABAMENTO EM TEXTURA REF. TERRACOR VELVET COR 13323</t>
  </si>
  <si>
    <t>2.5</t>
  </si>
  <si>
    <t>PINTURA LATEX ACRÍLICO ACETINADO REF. SHERWIN WILLIAMS SW 6994 – CORSÁRIO NEGRO - ÁREA ACE</t>
  </si>
  <si>
    <t>2.6</t>
  </si>
  <si>
    <t xml:space="preserve">PILARES COM ACABAMENTO EM ESPELHO COM TOPOS LAPIDADOS DIRETAMENTE NA PAREDE (MODELO: GUARDIAN GLASS 4mm) </t>
  </si>
  <si>
    <t>unid</t>
  </si>
  <si>
    <t>FORROS</t>
  </si>
  <si>
    <t>2.7</t>
  </si>
  <si>
    <t>DEMOLIÇÃO DE FORRO DE GESSO (aonde for necessário conforme projeto)</t>
  </si>
  <si>
    <t>2.8</t>
  </si>
  <si>
    <t>EXECUÇÃO DE FORRO DE GESSO GYPSUM LISO TABICADO, ESTRUTURADO REJUNTADO E EMASSADO) - reparos devido às demolições/retirada de paredes/retiradas de sancas/molduras/interferências -  MO</t>
  </si>
  <si>
    <t>2.9</t>
  </si>
  <si>
    <t>EXECUÇÃO DE FORRO DE AÇO INOX</t>
  </si>
  <si>
    <t>2.10</t>
  </si>
  <si>
    <t xml:space="preserve">PINTURA EM LÁTEX PVA BRANCO NEVE (FORRO ÁREA DE VENDAS - MARCAS CORAL OU SUVINIL) </t>
  </si>
  <si>
    <t>2.11</t>
  </si>
  <si>
    <t xml:space="preserve">PINTURA EM LÁTEX PVA BRANCO - ÁREA DE VENDAS (LAJE E INFRAS - SPK, elétrica, detecção, sonorização, CFTV, dutos e grelhas de ar condicionado) -  MARCAS CORAL OU SUVINIL) - </t>
  </si>
  <si>
    <t>2.12</t>
  </si>
  <si>
    <r>
      <t xml:space="preserve">RELOCAÇÃO DE LUMINÁRIAS (ABERTURA DE FORRO) </t>
    </r>
    <r>
      <rPr>
        <b/>
        <sz val="10"/>
        <color rgb="FFFF0000"/>
        <rFont val="Calibri"/>
        <family val="2"/>
      </rPr>
      <t>VERIFICAR NO PROJETO OS DIFERENTES TIPOS DE LUMINÁRIAS</t>
    </r>
  </si>
  <si>
    <t>un.</t>
  </si>
  <si>
    <t>2.13</t>
  </si>
  <si>
    <r>
      <t xml:space="preserve">RELOCAÇÃO DE LUMINÁRIAS (FECHAMENTO DE FORRO) </t>
    </r>
    <r>
      <rPr>
        <b/>
        <sz val="10"/>
        <color rgb="FFFF0000"/>
        <rFont val="Calibri"/>
        <family val="2"/>
      </rPr>
      <t>VERIFICAR NO PROJETO OS DIFERENTES TIPOS DE LUMINÁRIAS</t>
    </r>
  </si>
  <si>
    <t>2.14</t>
  </si>
  <si>
    <t>EXECUÇÃO DE FORRO RIPADO EM BP REVESTIDO EM DURATEX ITAPUA - ÁREA CAIXA</t>
  </si>
  <si>
    <t>2.15</t>
  </si>
  <si>
    <t>ESTRUTUTURA METÁLICA PARA FIXAÇÃO DE RIPADO CAIXA</t>
  </si>
  <si>
    <t>2.16</t>
  </si>
  <si>
    <t>PINTURA EM TINTA LÁTEX SHERWIN WILLIAMSCOR URBANE BRONZE REF. SW 7048 OU SUVINIL ACETINADO FULIJEM R163 APLICADA SOBRE MASSA CORRIDA</t>
  </si>
  <si>
    <t>PISO</t>
  </si>
  <si>
    <t>2.17</t>
  </si>
  <si>
    <t xml:space="preserve">DEMOLIÇÃO DE PISO DE CONCRETO </t>
  </si>
  <si>
    <t>2.18</t>
  </si>
  <si>
    <t>REGULARIZAÇÃO DO CONTRAPISO</t>
  </si>
  <si>
    <t>2.19</t>
  </si>
  <si>
    <t>ASSENTAMENTO DE PISO PORCELANATO REF. AETERNA BIANCO NATURAL. REJUNTE PORTOBELLO ACRILICO COR PLATINUM -  (piso, ARGAMASSA E REJUNTE será fornecido pela C&amp;A)</t>
  </si>
  <si>
    <t>2.20</t>
  </si>
  <si>
    <t>RODAPÉ METALICO EM CHAPA DOBRADA COM PINTURA ELETROSTÁTICA REF. SAYLERLACK X130 (TOM SIMILAR AO PISO)  H= 9,5CM, ESP.1,5CM</t>
  </si>
  <si>
    <t>ml</t>
  </si>
  <si>
    <t>2.21</t>
  </si>
  <si>
    <t>RODAPÉ EM CHAPA DOBRADA DE INOX ESCOVADO H= 9,5CM, ESP. 1,5CM</t>
  </si>
  <si>
    <t>Resolver o Enferrujado</t>
  </si>
  <si>
    <t>2.22</t>
  </si>
  <si>
    <t>PISO REF. GERFLOR R-TILE, ESP. 5mm, COR PRETO, PLACAS INTERTRAVADAS SOBREPOSTAS AO PORCELANATO E C/ ARREMATE EM PERFIL REDUTOR COR PRETO SOLDADO NO PISO E COLADO NO PISO C/ FITA DUPLA-FACE (piso fornecimento C&amp;A)</t>
  </si>
  <si>
    <t>SERRALHERIA</t>
  </si>
  <si>
    <t>2.23</t>
  </si>
  <si>
    <t>ARREMATES DE CANTOS / CANTONEIRAS DE ALUMÍNIO</t>
  </si>
  <si>
    <t>2.24</t>
  </si>
  <si>
    <t>REVESTIMENTO DE PAREDE EM LAMINADO ÁRTICO TX</t>
  </si>
  <si>
    <t>2.25</t>
  </si>
  <si>
    <t>TUBO DE AÇO INOX 2" PARA ALIMENTAÇÃO CAIXA - MAT  +MO</t>
  </si>
  <si>
    <t>2.26</t>
  </si>
  <si>
    <t>CAIXA PARA HIDRANTES EM AÇO  COM VIDRO TEMPERADO - MAT + MO</t>
  </si>
  <si>
    <t>3.0</t>
  </si>
  <si>
    <t>PROVADORES</t>
  </si>
  <si>
    <t>3.1</t>
  </si>
  <si>
    <t>EXECUÇÃO DE FORRO DE GESSO GYPSUM LISO TABICADO, ESTRUTURADO REJUNTADO E EMASSADO, COM ACABAMENTO EM PINTURA - (MARCAS CORAL OU SUVINIL/COR BRANCO NEVE) - reparos devido às demolições/retirada de paredes/retiradas de sancas/molduras/interferências - MAT + MO</t>
  </si>
  <si>
    <t>3.2</t>
  </si>
  <si>
    <t>EXECUÇÃO DE PAREDE EM DRYWALL COM ACABAMENTO EM TEXTURA TERRACOR</t>
  </si>
  <si>
    <t>3.3</t>
  </si>
  <si>
    <t>EXECUÇÃO DE PAREDE EM DRYWALL COM ACABAMENTO PINTURA LATEX ACRÍLICO ACETINADO BRANCO NEVE (incluir SALA DE DISTRIBUIÇÃO)</t>
  </si>
  <si>
    <t>3.4</t>
  </si>
  <si>
    <t>REFORÇO ESTRUTURAL PARA FIXAÇÃO DO VARÃO CABINES</t>
  </si>
  <si>
    <t>3.5</t>
  </si>
  <si>
    <r>
      <t xml:space="preserve">PISO PORCELANATO AMADEIRADO REF. ELIANE/DECORTILES BOTÂNICA AMBAR MA - RET, COM REJUNTE QUARTZOBRÁS REJUNTE PRONTO ACRÍLICO REF. ARGILA CN  - </t>
    </r>
    <r>
      <rPr>
        <b/>
        <sz val="10"/>
        <color rgb="FFFF0000"/>
        <rFont val="Calibri"/>
        <family val="2"/>
      </rPr>
      <t>DESCONSIDERAR FORNECIMENTO DE ARGAMASSA E REJUNTE</t>
    </r>
    <r>
      <rPr>
        <b/>
        <sz val="10"/>
        <rFont val="Calibri"/>
        <family val="2"/>
      </rPr>
      <t xml:space="preserve"> (piso será fornecido pela C&amp;A)</t>
    </r>
  </si>
  <si>
    <t>3.6</t>
  </si>
  <si>
    <t>3.7</t>
  </si>
  <si>
    <t>SUPORTE METÁLICO COM A CABAMENTO EM AÇO INOX FIXADO NA PAREDE PARA SUSTENTAÇÃO DE CORTINA DE TECIDO JEANS</t>
  </si>
  <si>
    <t>3.8</t>
  </si>
  <si>
    <r>
      <t xml:space="preserve">ESPELHO CABINE PROVADOR COM CHASSIS, CONSIDERAR MÃO AMIGA PARA FIXAÇÃO NA PAREDE (MODELO: GUARDIAN GLASS 4mm)  </t>
    </r>
    <r>
      <rPr>
        <b/>
        <sz val="10"/>
        <color rgb="FFFF0000"/>
        <rFont val="Calibri"/>
        <family val="2"/>
      </rPr>
      <t>CONFIRMAR MEDIDA</t>
    </r>
  </si>
  <si>
    <t>3.9</t>
  </si>
  <si>
    <t>REFORÇO PARA FIXAÇÃO DOS ESPELHOS CABINES</t>
  </si>
  <si>
    <t>3.10</t>
  </si>
  <si>
    <t>ESPELHO DE CORREDOR GRANDE COM TOPOS LAPIDADOS DIRETAMENTE NA PAREDE (MODELO: GUARDIAN GLASS 4mm)</t>
  </si>
  <si>
    <t>3.11</t>
  </si>
  <si>
    <t>PORTA DE GIRO SIMPLES 1 FOLHA COMPLETA PARA SALA DE DISTRIBUIÇÃO 0,70X2,10 , ACABAMENTO EM PINTURA CONFORME PAREDES</t>
  </si>
  <si>
    <t>3.12</t>
  </si>
  <si>
    <t>PÓRTICO LOUNGE PROVADOR ESTRUTURADO EM MDF COM RIPADO DURATEX ITAPUA</t>
  </si>
  <si>
    <t>3.13</t>
  </si>
  <si>
    <t>BATENTE METÁLICO EM FÓRMICA STEEL SILVER BRUSH, PÓRTICO CABINES</t>
  </si>
  <si>
    <t>3.14</t>
  </si>
  <si>
    <t>CORTINA EM TECIDO JEANS COM DOBRA TIPO WAVE E COM ILHÓS EM AÇO INOX</t>
  </si>
  <si>
    <t>3.15</t>
  </si>
  <si>
    <t>CANTONEIRA EM ALUMÍNIO BRANCA 1 1/4"</t>
  </si>
  <si>
    <t>3.16</t>
  </si>
  <si>
    <t>3.17</t>
  </si>
  <si>
    <t>FIXADORES DE TETO</t>
  </si>
  <si>
    <t>3.18</t>
  </si>
  <si>
    <t xml:space="preserve">TUBO EM AÇO INOX PARA PROVADOR DEFICIENTE 160,0cm </t>
  </si>
  <si>
    <t>3.19</t>
  </si>
  <si>
    <t xml:space="preserve">TUBO EM AÇO INOX PARA PROVADOR DEFICIENTE 80,0cm </t>
  </si>
  <si>
    <t>3.20</t>
  </si>
  <si>
    <t>PAINEL EM MDF BRANCO L120TX (SALA DISTRIBUIÇÃO, CORREDOR)</t>
  </si>
  <si>
    <t>3.21</t>
  </si>
  <si>
    <t>ESPELHO DE COSTAS DA CABINE PROVADOR COM CHASSIS, CONSIDERAR MÃO AMIGA PARA FIXAÇÃO NA PAREDE (MODELO: GUARDIAN GLASS 4mm)  CONFIRMAR MEDIDA</t>
  </si>
  <si>
    <t>4.0</t>
  </si>
  <si>
    <t>FACHADAS</t>
  </si>
  <si>
    <t>4.1</t>
  </si>
  <si>
    <t>DEMOLIÇÃO DE FACHADAS/TABLADOS</t>
  </si>
  <si>
    <t>4.2</t>
  </si>
  <si>
    <t>EXECUÇÃO DE TESTEIRA EM DRYWALL C/ CURVAS E ILUMINAÇÃO EMBUTIDA, ACABAMENTO EM PINTURA LATEX ACRÍLICO ACETINADO BRANCO NEVE - MAT + MO</t>
  </si>
  <si>
    <t>4.3</t>
  </si>
  <si>
    <t>EXECUÇÃO DE TESTEIRA EM DRYWALL AO FUNDO C/ ACABAMENTO EM TEXTURA REF. TERRACOR VELVET COR 13323 - MAT + MO</t>
  </si>
  <si>
    <t>4.4</t>
  </si>
  <si>
    <t>MOLDURA PARA TESTEIRA EM AÇO INOX ESCOVADO 30mm</t>
  </si>
  <si>
    <t>4.5</t>
  </si>
  <si>
    <t>FECHAMENTO ESTRUTURADO DO PÓRTICO DE ACESSO EM AÇO INOX ESCOVADO</t>
  </si>
  <si>
    <t>4.6</t>
  </si>
  <si>
    <t>4.7</t>
  </si>
  <si>
    <t>SOLEIRA EM REVESTIMENTO ROCCIA, CALCE ANTRACITE , LINHA FOKOS, MARCA LAMINAM - MAT + MO</t>
  </si>
  <si>
    <t>4.8</t>
  </si>
  <si>
    <t>VIDRO TEMPERADO INCOLOR 10mm</t>
  </si>
  <si>
    <t>4.9</t>
  </si>
  <si>
    <t>PERFIL DE AÇO INOX ESCOVADO PARA CAIXILHO DOS VIDROS 150mm</t>
  </si>
  <si>
    <t>4.10</t>
  </si>
  <si>
    <t>ESTRUTURA METÁLICA EM METALON PARA REVESTIMENTO DE FACHADA</t>
  </si>
  <si>
    <t>4.11</t>
  </si>
  <si>
    <t>TABLADO DE MADEIRA EM MDF BRANCO TX PARA VITRINES</t>
  </si>
  <si>
    <t>4.12</t>
  </si>
  <si>
    <t>Adequação estrutura metálica para instalação nova porta enrolar</t>
  </si>
  <si>
    <t>5.0</t>
  </si>
  <si>
    <t>5.1</t>
  </si>
  <si>
    <t>Demolição Revestimentos dos Pilares</t>
  </si>
  <si>
    <t>5.2</t>
  </si>
  <si>
    <t>Furação da Laje - Átrio / Escada Rolante / Tomada de Ar</t>
  </si>
  <si>
    <t>5.3</t>
  </si>
  <si>
    <t>Guarda-Corpo - Vidro Blindex 10mm - Mat +  M.O.</t>
  </si>
  <si>
    <t>ml.</t>
  </si>
  <si>
    <t>5.4</t>
  </si>
  <si>
    <t>Sóculos para bancadas</t>
  </si>
  <si>
    <t>5.5</t>
  </si>
  <si>
    <t>Bases de concreto para equipamentos(ar condicionado, transformador)</t>
  </si>
  <si>
    <t>5.6</t>
  </si>
  <si>
    <t>Alçapões</t>
  </si>
  <si>
    <t>5.7</t>
  </si>
  <si>
    <t>Prever reforço para: placas aéreas cv, trilho vitrine</t>
  </si>
  <si>
    <t>5.8</t>
  </si>
  <si>
    <t>Tirantes para luminárias</t>
  </si>
  <si>
    <t>5.9</t>
  </si>
  <si>
    <t xml:space="preserve">EXECUÇÃO DE ESTRUTURA METALICA  PAINEL VERTICAL </t>
  </si>
  <si>
    <t>5.10</t>
  </si>
  <si>
    <t>PAREDES</t>
  </si>
  <si>
    <t>5.11</t>
  </si>
  <si>
    <t>PAREDE EM PLACAS DE GESSO STD - 1 face - acessórios para instalação, mão de obra e Chapas de Gesso ST STANDARD e Componentes (Massa fast fix/Guias 70M/Montantes/Tabicas/Suportes Nivelador e Conectores)</t>
  </si>
  <si>
    <t>5.12</t>
  </si>
  <si>
    <t>PAREDE EM PLACAS DE GESSO STD - 2 faces - acessórios para instalação, mão de obra e Chapas de Gesso ST STANDARD e Componentes (Massa fast fix/Guias 70M/Montantes/Tabicas/Suportes Nivelador e Conectores)</t>
  </si>
  <si>
    <t>5.13</t>
  </si>
  <si>
    <t>PAREDE EM PLACAS DE GESSO RU - 1 face resitente a umidade e 1 face standard - acessórios para instalação, mão de obra e Chapas de Gesso ST STANDARD e Componentes (Massa fast fix/Guias 70M/Montantes/Tabicas/Suportes Nivelador e Conectores)</t>
  </si>
  <si>
    <t>5.14</t>
  </si>
  <si>
    <t>PAREDE EM PLACAS DE GESSO RU - 2 faces resistentes a umidade - acessórios para instalação, mão de obra e Chapas de Gesso ST STANDARD e Componentes (Massa fast fix/Guias 70M/Montantes/Tabicas/Suportes Nivelador e Conectores)</t>
  </si>
  <si>
    <t>5.15</t>
  </si>
  <si>
    <t>PAREDE EM PLACAS DE GESSO RF + ST - 1 face resitente a fogo e 1 face standard - acessórios para instalação, mão de obra e Chapas de Gesso ST STANDARD e Componentes (Massa fast fix/Guias 70M/Montantes/Tabicas/Suportes Nivelador e Conectores)</t>
  </si>
  <si>
    <t>5.16</t>
  </si>
  <si>
    <t xml:space="preserve">Alvenaria em tijolo/bloco de concreto </t>
  </si>
  <si>
    <t>5.17</t>
  </si>
  <si>
    <t>PROTEÇÃO ELETROMAGNÉTICA EM MANTA ALUMINIZADA (RFID)</t>
  </si>
  <si>
    <t>5.18</t>
  </si>
  <si>
    <t>DIVISÓRIAS</t>
  </si>
  <si>
    <t>5.19</t>
  </si>
  <si>
    <t>Fecham. compartimentos: divisórias, ref. sistema divilux 35,  revest. formidur bp plus cor branco e montantes ntr branco, fabr. Eucatex</t>
  </si>
  <si>
    <t>5.20</t>
  </si>
  <si>
    <t>Sanitário: porta 0.60x1.65 - divisória eucatex com maçaneta para cela sanitária - abrir - 1f</t>
  </si>
  <si>
    <t>5.21</t>
  </si>
  <si>
    <t>FECHAM. COMPARTIMENTOS: DIVISÓRIAS, REF. SISTEMA DIVILUX 35,  REVEST. FORMIDUR BP PLUS COR BRANCO E MONTANTES NTR BRANCO, FABR. EUCATEX</t>
  </si>
  <si>
    <t>5.22</t>
  </si>
  <si>
    <t>Porta para divisória eucatex com maçaneta tipo alavanca - abrir - 1f</t>
  </si>
  <si>
    <t>5.23</t>
  </si>
  <si>
    <t>Porta e ferragens de Vidro ou Alumínio para Box chuveiro</t>
  </si>
  <si>
    <t>5.24</t>
  </si>
  <si>
    <t>PORTAS</t>
  </si>
  <si>
    <t>5.25</t>
  </si>
  <si>
    <t xml:space="preserve">Porta vai vem - Mat. + M.O. </t>
  </si>
  <si>
    <t>5.26</t>
  </si>
  <si>
    <t xml:space="preserve">Porta completa simples de correr 1.00m - Mat. + M.O. </t>
  </si>
  <si>
    <t>5.27</t>
  </si>
  <si>
    <t xml:space="preserve">Porta completa simples de correr 0.80m - Mat. + M.O. </t>
  </si>
  <si>
    <t>5.28</t>
  </si>
  <si>
    <t>Porta de madeira completa (0,82x2,10m) folhada Curupixa ou Tauari ou similar - Mat. + M.O.</t>
  </si>
  <si>
    <t>5.29</t>
  </si>
  <si>
    <t>Porta de madeira completa (0,92x2,10m) folhada Curupixa ou Tauari ou similar com painel de vidro - Mat. + M.O. - copa</t>
  </si>
  <si>
    <t>5.30</t>
  </si>
  <si>
    <t>Porta dupla de madeira (1,20x2,10) folhada Curupixa ou Tauari ou similar - Mat. + M.O. - Casa de Máquinas</t>
  </si>
  <si>
    <t>5.31</t>
  </si>
  <si>
    <t>Porta dupla de madeira (1,20x2,10) folhada Curupixa ou Tauari ou similar - Mat. + M.O. - Reserva</t>
  </si>
  <si>
    <t>5.32</t>
  </si>
  <si>
    <t>Porta em chapa de ferro lisa simples (0,80x2,10) - grelha conforme projeto de ar condicionado</t>
  </si>
  <si>
    <t>5.33</t>
  </si>
  <si>
    <t>Porta em chapa de ferro lisa simples (0,90x2,10) com barra anti-pânico</t>
  </si>
  <si>
    <t>5.34</t>
  </si>
  <si>
    <t>Fechadura elétrica com acionamento manual - porta back office</t>
  </si>
  <si>
    <t>5.35</t>
  </si>
  <si>
    <t>5.36</t>
  </si>
  <si>
    <t>Cabideiro cromado</t>
  </si>
  <si>
    <t>un</t>
  </si>
  <si>
    <t>5.37</t>
  </si>
  <si>
    <t>ADMINISTRATIVO</t>
  </si>
  <si>
    <t>5.38</t>
  </si>
  <si>
    <t>Rodapé em madeira Curupixá ou Tauari - 7cm</t>
  </si>
  <si>
    <t>5.39</t>
  </si>
  <si>
    <t>Rodapé em madeira Curupixá ou Tauari - 20cm</t>
  </si>
  <si>
    <t>5.40</t>
  </si>
  <si>
    <t>5.41</t>
  </si>
  <si>
    <t>5.42</t>
  </si>
  <si>
    <t xml:space="preserve">PISO - Aplicação de piso cerâmico c/ fornecimento de argamassa e rejunte  - Cerâmica ate 45x45 cm REF.: Cargo plus white Eliane - fornecido pela C&amp;A </t>
  </si>
  <si>
    <t>5.43</t>
  </si>
  <si>
    <t>CERÂMICA ELIANE 20x20, COR BRANCA, LINHA FORMA WHITE BRILHANTE, COM REJUNTE BRANCO E PERFIL DE ACABAMENTO H=140cm</t>
  </si>
  <si>
    <t>5.44</t>
  </si>
  <si>
    <t>PINTURA ACRÍLICA SEMI-BRILHO, COR BRANCO GELO FABRIC. SUVINIL, EM GESSO ACARTONADO</t>
  </si>
  <si>
    <t>5.45</t>
  </si>
  <si>
    <t>PINTURA ACRÍLICA FOSCA, COR DIÁRIO DE MENINA FABR. CORAL</t>
  </si>
  <si>
    <t>5.46</t>
  </si>
  <si>
    <t>PISO CIMENTADO COM PINTURA EPÓXI CINZA CLARO + CONTRAPISO – 3cm</t>
  </si>
  <si>
    <t>5.47</t>
  </si>
  <si>
    <t>Pintura esmalte cor amarela - Mat. + M.O. - bases casa de máquinas</t>
  </si>
  <si>
    <t>5.48</t>
  </si>
  <si>
    <t xml:space="preserve">Montagem de estante modular metálica - fornecido pela C&amp;A </t>
  </si>
  <si>
    <t>pç</t>
  </si>
  <si>
    <t>5.49</t>
  </si>
  <si>
    <t>Bancadas em granito para vestiários - Mat. + M.O.</t>
  </si>
  <si>
    <t>5.50</t>
  </si>
  <si>
    <t xml:space="preserve">Bancadas em granito para cantina (bancadas, área balcão térmico) - Mat. + M.O. </t>
  </si>
  <si>
    <t>5.51</t>
  </si>
  <si>
    <t xml:space="preserve">Aparadores para bancada de vestiários  - Mat. + M.O. </t>
  </si>
  <si>
    <t>5.52</t>
  </si>
  <si>
    <t xml:space="preserve">Nicho em granito nos box de chuveiro - Mat. + M.O. </t>
  </si>
  <si>
    <t>5.53</t>
  </si>
  <si>
    <t>Cuba de inox - copa</t>
  </si>
  <si>
    <t>5.54</t>
  </si>
  <si>
    <t>Cuba de embutir de louça oval</t>
  </si>
  <si>
    <t>5.55</t>
  </si>
  <si>
    <t>Obs.: Demais louças e metais serão fornecidas e instaladas pela Instaladora de hidráulica.</t>
  </si>
  <si>
    <t>5.56</t>
  </si>
  <si>
    <t>Espelho Cristal 4mm para colocação sobre bancadas dos sanitários com moldura alumínio (1 por cuba) - Mat. + M.O.</t>
  </si>
  <si>
    <t>5.57</t>
  </si>
  <si>
    <t>Espelho Cristal 4mm vertical com moldura para funcionários nos vestiários (1,40x0,50m) - 1 unidade por vestiário - Mat. + M.O.</t>
  </si>
  <si>
    <t>um.</t>
  </si>
  <si>
    <t>5.58</t>
  </si>
  <si>
    <t xml:space="preserve">Arquibancada: TABLADO FIXO EM MDP BRANCO 18mm. Prever estrutura  metálica interna em tubo de ferro metalon para sustentação a cada 1m. </t>
  </si>
  <si>
    <t>5.59</t>
  </si>
  <si>
    <t>MARCENARIA E ENXOVAL -ESTOQUE E ADM</t>
  </si>
  <si>
    <t>5.60</t>
  </si>
  <si>
    <t>Armário suspenso - refeitório</t>
  </si>
  <si>
    <t>5.61</t>
  </si>
  <si>
    <t>Bancada/ armário da copa</t>
  </si>
  <si>
    <t>5.62</t>
  </si>
  <si>
    <t>Armário suspenso e bancada - sala da gerência</t>
  </si>
  <si>
    <t>5.63</t>
  </si>
  <si>
    <t>Prateleira na circulação para caixa geral</t>
  </si>
  <si>
    <t>5.64</t>
  </si>
  <si>
    <t>Moldura para cofre - boca de lobo</t>
  </si>
  <si>
    <t>5.65</t>
  </si>
  <si>
    <t>Estante sala de rack</t>
  </si>
  <si>
    <t>5.66</t>
  </si>
  <si>
    <t>Armário boca de lobo - sala da gerência</t>
  </si>
  <si>
    <t>5.67</t>
  </si>
  <si>
    <t>Base de alumínio para bebedouro</t>
  </si>
  <si>
    <t>5.68</t>
  </si>
  <si>
    <t>Filtro para bebedouro Aqualar</t>
  </si>
  <si>
    <t>5.69</t>
  </si>
  <si>
    <t>Porta e Tampa de alumínio para lixeira copa</t>
  </si>
  <si>
    <t>5.70</t>
  </si>
  <si>
    <t>Suporte para TV, Projetor e Microondas</t>
  </si>
  <si>
    <t>5.71</t>
  </si>
  <si>
    <t>Lixeira para bancada da cantina</t>
  </si>
  <si>
    <t>5.72</t>
  </si>
  <si>
    <t>Lixeira para bancada dos sanitários</t>
  </si>
  <si>
    <t>5.73</t>
  </si>
  <si>
    <t>Lixeira para vasos sanitários</t>
  </si>
  <si>
    <t>5.74</t>
  </si>
  <si>
    <t>Portinhola branca para correio pneumático</t>
  </si>
  <si>
    <t>5.75</t>
  </si>
  <si>
    <t>Locker para vestiário</t>
  </si>
  <si>
    <t>5.76</t>
  </si>
  <si>
    <t>Banco para vestiário</t>
  </si>
  <si>
    <t>5.77</t>
  </si>
  <si>
    <t>Sapateira para vestiário</t>
  </si>
  <si>
    <t>5.78</t>
  </si>
  <si>
    <t>ESCADAS E ELEVADORES</t>
  </si>
  <si>
    <t>5.79</t>
  </si>
  <si>
    <t>Elevador</t>
  </si>
  <si>
    <t>5.80</t>
  </si>
  <si>
    <t>Escada Fixa</t>
  </si>
  <si>
    <t>5.81</t>
  </si>
  <si>
    <t>Escada Rolante</t>
  </si>
  <si>
    <t>5.82</t>
  </si>
  <si>
    <t>Guarda Corpo Para escada</t>
  </si>
  <si>
    <t>5.83</t>
  </si>
  <si>
    <t>5.84</t>
  </si>
  <si>
    <t>FORRO EM AÇO INOX ESTRUTURADO CONFORM DESIGN DESTE PROJETO – DEVE SER ESTIPULADO POR TÉCNICO ESPECIALISTA</t>
  </si>
  <si>
    <t>5.85</t>
  </si>
  <si>
    <t>Porta de correr envidraçada</t>
  </si>
  <si>
    <t>5.86</t>
  </si>
  <si>
    <t>Demolição da esquadria existente - 3,64m</t>
  </si>
  <si>
    <t>5.87</t>
  </si>
  <si>
    <t>Plataforma elevatória</t>
  </si>
  <si>
    <t>5.88</t>
  </si>
  <si>
    <t>Escada</t>
  </si>
  <si>
    <t>5.89</t>
  </si>
  <si>
    <t>5.90</t>
  </si>
  <si>
    <t>TAPETE ARTICULADO RETENTOR DE PARTÍCULAS ALTURA 14 MM,
ACABAMENTO CARPETE, INSTALAÇÃO EMBUTIDO, COR CARVÃO 795
PREVER PERFIL DE ALUMÍNIO COMO JUNTAS NA COR CINZA ESCURO.
INSTALADO COM RECORTE NO PISO.</t>
  </si>
  <si>
    <t>5.91</t>
  </si>
  <si>
    <t>Impermeabilização casa de máquinas, área técnica e área embaixo da cuba refeitório: manta butílica ou asfáltica tipo torodin ou similar (verificar projeto)</t>
  </si>
  <si>
    <t>5.92</t>
  </si>
  <si>
    <t>Impermeabilização sanitários: manta líquida (verificar projeto)</t>
  </si>
  <si>
    <t>5.93</t>
  </si>
  <si>
    <t xml:space="preserve">Piso tátil (escada rolante e elevador) - Mat. + M.O. </t>
  </si>
  <si>
    <t>5.94</t>
  </si>
  <si>
    <t>Grama sintética - sala descompressão</t>
  </si>
  <si>
    <t>5.95</t>
  </si>
  <si>
    <t>PISO PORCELANATO AMADEIRADO REF. ELIANE/DECORTILES BOTÂNICA AMBAR MA - RET, COM REJUNTE QUARTZOBRÁS REJUNTE PRONTO ACRÍLICO REF. ARGILA CN  - (piso será fornecido pela C&amp;A) - ABAIXO DA ESCADA - SALÃO DE VENDAS</t>
  </si>
  <si>
    <t>5.96</t>
  </si>
  <si>
    <t>RODAPÉ POLIESTIRENO SANTA LUZIA NA COR FENDI. DIMENSÕES: H=10cm ELETROSTÁTICA REF. SAYLERLACK X130 (TOM SIMILAR AO PISO) H= 9,5CM, ESP. 1,5CM</t>
  </si>
  <si>
    <t>5.97</t>
  </si>
  <si>
    <t>PINTURA  ACRÍLICA FOSCA, COR DIÁRIO DE MENINA FABR. CORAL - FORRO</t>
  </si>
  <si>
    <t>5.98</t>
  </si>
  <si>
    <t>DEMOLIÇÃO DE RAMPA, ESCADA E ELEVADOR</t>
  </si>
  <si>
    <t>5.100</t>
  </si>
  <si>
    <r>
      <t xml:space="preserve">EXECUÇÃO/FECHAMENTO VERTICAL( ATRIO ) MATERIAL E MÃO DE OBRA ) - </t>
    </r>
    <r>
      <rPr>
        <b/>
        <sz val="10"/>
        <rFont val="Calibri"/>
        <family val="2"/>
      </rPr>
      <t>REVESTIMENTO EM ACM</t>
    </r>
  </si>
  <si>
    <t>5.102</t>
  </si>
  <si>
    <t>LOCAÇÃO DO ESCORAMENTO PARA LAJE</t>
  </si>
  <si>
    <t>m³</t>
  </si>
  <si>
    <t>5.103</t>
  </si>
  <si>
    <t>TRANSPORTE DO ESCORAMENTO (ENTREGA E RETIRADA)</t>
  </si>
  <si>
    <t>5.104</t>
  </si>
  <si>
    <t>MONTAGEM E DESMONTAGEM DO ESCORAMENTO</t>
  </si>
  <si>
    <t xml:space="preserve">DEMOLIÇÃO DE POÇO PARA ESCADA ROLANTE E ELEVADOR </t>
  </si>
  <si>
    <t>5.105</t>
  </si>
  <si>
    <t>FECHAMENTO DE POÇOS EXISTENTES (ELEVADOR)</t>
  </si>
  <si>
    <t>UN</t>
  </si>
  <si>
    <t>Hora Normal</t>
  </si>
  <si>
    <t>Hora 60%</t>
  </si>
  <si>
    <t>Hora 100%</t>
  </si>
  <si>
    <t>Adicional Noturno</t>
  </si>
  <si>
    <t>Homem/Hora</t>
  </si>
  <si>
    <t>Engenheiro</t>
  </si>
  <si>
    <t>Mês</t>
  </si>
  <si>
    <t>Mestre</t>
  </si>
  <si>
    <t>h</t>
  </si>
  <si>
    <t>Encarregado</t>
  </si>
  <si>
    <t>Administrativo</t>
  </si>
  <si>
    <t xml:space="preserve">Servente </t>
  </si>
  <si>
    <t>Pedreiro</t>
  </si>
  <si>
    <t>Almoxarifado</t>
  </si>
  <si>
    <t>Carpinteiro</t>
  </si>
  <si>
    <t>Topografia</t>
  </si>
  <si>
    <t>Sondagem</t>
  </si>
  <si>
    <t xml:space="preserve">NÃO TEM MAIS </t>
  </si>
</sst>
</file>

<file path=xl/styles.xml><?xml version="1.0" encoding="utf-8"?>
<styleSheet xmlns="http://schemas.openxmlformats.org/spreadsheetml/2006/main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(* #,##0_);_(* \(#,##0\);_(* &quot;-&quot;??_);_(@_)"/>
    <numFmt numFmtId="167" formatCode="#,##0.00_ ;\-#,##0.00\ "/>
    <numFmt numFmtId="168" formatCode="_(&quot;R$ &quot;* #,##0.00_);_(&quot;R$ &quot;* \(#,##0.00\);_(&quot;R$ &quot;* &quot;-&quot;??_);_(@_)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6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3" tint="-0.249977111117893"/>
      <name val="Aptos Narrow"/>
      <family val="2"/>
      <scheme val="minor"/>
    </font>
    <font>
      <b/>
      <sz val="12"/>
      <color theme="3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Montserrat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0"/>
      <name val="Calibri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b/>
      <sz val="10"/>
      <color theme="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sz val="10"/>
      <color theme="0"/>
      <name val="Aptos Narrow"/>
      <family val="2"/>
      <scheme val="minor"/>
    </font>
    <font>
      <b/>
      <sz val="10"/>
      <color rgb="FFFF0000"/>
      <name val="Calibri"/>
      <family val="2"/>
    </font>
    <font>
      <sz val="10"/>
      <name val="Montserrat"/>
    </font>
    <font>
      <b/>
      <sz val="11"/>
      <color rgb="FFFF000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0"/>
      <name val="Montserrat"/>
    </font>
    <font>
      <sz val="11"/>
      <color rgb="FFCD5937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7">
    <xf numFmtId="0" fontId="0" fillId="0" borderId="0"/>
    <xf numFmtId="165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4">
    <xf numFmtId="0" fontId="0" fillId="0" borderId="0" xfId="0"/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10" fillId="4" borderId="3" xfId="2" applyFont="1" applyFill="1" applyBorder="1" applyAlignment="1" applyProtection="1">
      <alignment horizontal="center" vertical="center"/>
      <protection locked="0"/>
    </xf>
    <xf numFmtId="3" fontId="10" fillId="3" borderId="3" xfId="2" applyNumberFormat="1" applyFont="1" applyFill="1" applyBorder="1" applyAlignment="1" applyProtection="1">
      <alignment horizontal="center" vertical="center"/>
      <protection locked="0"/>
    </xf>
    <xf numFmtId="14" fontId="10" fillId="4" borderId="1" xfId="2" applyNumberFormat="1" applyFont="1" applyFill="1" applyBorder="1" applyAlignment="1" applyProtection="1">
      <alignment vertical="center"/>
      <protection locked="0"/>
    </xf>
    <xf numFmtId="14" fontId="10" fillId="4" borderId="3" xfId="2" applyNumberFormat="1" applyFont="1" applyFill="1" applyBorder="1" applyAlignment="1" applyProtection="1">
      <alignment horizontal="center" vertical="center"/>
      <protection locked="0"/>
    </xf>
    <xf numFmtId="0" fontId="10" fillId="4" borderId="1" xfId="3" applyNumberFormat="1" applyFont="1" applyFill="1" applyBorder="1" applyAlignment="1" applyProtection="1">
      <alignment horizontal="right" vertical="center"/>
      <protection locked="0"/>
    </xf>
    <xf numFmtId="164" fontId="10" fillId="4" borderId="4" xfId="3" applyNumberFormat="1" applyFont="1" applyFill="1" applyBorder="1" applyAlignment="1" applyProtection="1">
      <alignment horizontal="left" vertical="center"/>
      <protection locked="0"/>
    </xf>
    <xf numFmtId="0" fontId="0" fillId="0" borderId="5" xfId="2" applyFont="1" applyBorder="1" applyAlignment="1" applyProtection="1">
      <alignment horizontal="center" vertical="center"/>
      <protection locked="0"/>
    </xf>
    <xf numFmtId="0" fontId="1" fillId="0" borderId="0" xfId="2" applyFont="1" applyAlignment="1" applyProtection="1">
      <alignment vertical="center"/>
      <protection locked="0"/>
    </xf>
    <xf numFmtId="0" fontId="0" fillId="0" borderId="0" xfId="2" applyFont="1" applyAlignment="1" applyProtection="1">
      <alignment vertical="center"/>
      <protection locked="0"/>
    </xf>
    <xf numFmtId="0" fontId="1" fillId="0" borderId="5" xfId="2" applyFont="1" applyBorder="1" applyAlignment="1">
      <alignment horizontal="center" vertical="center"/>
    </xf>
    <xf numFmtId="0" fontId="1" fillId="0" borderId="0" xfId="2" applyFont="1" applyAlignment="1">
      <alignment vertical="center"/>
    </xf>
    <xf numFmtId="0" fontId="6" fillId="0" borderId="0" xfId="2" applyAlignment="1">
      <alignment horizontal="center"/>
    </xf>
    <xf numFmtId="0" fontId="6" fillId="0" borderId="0" xfId="2"/>
    <xf numFmtId="0" fontId="12" fillId="0" borderId="0" xfId="5" applyFont="1" applyFill="1" applyBorder="1" applyAlignment="1" applyProtection="1">
      <alignment vertical="center"/>
      <protection hidden="1"/>
    </xf>
    <xf numFmtId="0" fontId="2" fillId="2" borderId="3" xfId="5" applyFont="1" applyFill="1" applyBorder="1" applyAlignment="1" applyProtection="1">
      <alignment horizontal="center" vertical="center"/>
      <protection hidden="1"/>
    </xf>
    <xf numFmtId="0" fontId="13" fillId="0" borderId="0" xfId="6" applyFont="1" applyAlignment="1" applyProtection="1">
      <alignment horizontal="center" vertical="center"/>
      <protection hidden="1"/>
    </xf>
    <xf numFmtId="0" fontId="13" fillId="0" borderId="0" xfId="6" applyFont="1" applyAlignment="1" applyProtection="1">
      <alignment vertical="center"/>
      <protection hidden="1"/>
    </xf>
    <xf numFmtId="0" fontId="15" fillId="4" borderId="3" xfId="7" applyNumberFormat="1" applyFont="1" applyFill="1" applyBorder="1" applyAlignment="1" applyProtection="1">
      <alignment horizontal="center" vertical="center"/>
      <protection hidden="1"/>
    </xf>
    <xf numFmtId="165" fontId="15" fillId="4" borderId="3" xfId="1" applyFont="1" applyFill="1" applyBorder="1" applyAlignment="1" applyProtection="1">
      <alignment horizontal="center" vertical="center"/>
      <protection hidden="1"/>
    </xf>
    <xf numFmtId="43" fontId="18" fillId="2" borderId="3" xfId="2" applyNumberFormat="1" applyFont="1" applyFill="1" applyBorder="1" applyAlignment="1" applyProtection="1">
      <alignment horizontal="center" vertical="center"/>
      <protection hidden="1"/>
    </xf>
    <xf numFmtId="0" fontId="19" fillId="0" borderId="8" xfId="2" applyFont="1" applyBorder="1" applyAlignment="1" applyProtection="1">
      <alignment horizontal="center" vertical="center"/>
      <protection hidden="1"/>
    </xf>
    <xf numFmtId="0" fontId="19" fillId="0" borderId="0" xfId="2" applyFont="1" applyAlignment="1" applyProtection="1">
      <alignment horizontal="center" vertical="center"/>
      <protection hidden="1"/>
    </xf>
    <xf numFmtId="0" fontId="19" fillId="0" borderId="0" xfId="2" applyFont="1" applyAlignment="1" applyProtection="1">
      <alignment vertical="center" wrapText="1"/>
      <protection hidden="1"/>
    </xf>
    <xf numFmtId="0" fontId="20" fillId="0" borderId="0" xfId="2" applyFont="1" applyAlignment="1" applyProtection="1">
      <alignment vertical="center"/>
      <protection hidden="1"/>
    </xf>
    <xf numFmtId="0" fontId="20" fillId="0" borderId="0" xfId="2" applyFont="1" applyAlignment="1" applyProtection="1">
      <alignment horizontal="center" vertical="center"/>
      <protection hidden="1"/>
    </xf>
    <xf numFmtId="0" fontId="5" fillId="2" borderId="9" xfId="6" applyFont="1" applyFill="1" applyBorder="1" applyAlignment="1">
      <alignment horizontal="center" vertical="center"/>
    </xf>
    <xf numFmtId="0" fontId="21" fillId="2" borderId="3" xfId="2" applyFont="1" applyFill="1" applyBorder="1" applyAlignment="1" applyProtection="1">
      <alignment horizontal="center" vertical="center"/>
      <protection hidden="1"/>
    </xf>
    <xf numFmtId="0" fontId="22" fillId="2" borderId="3" xfId="5" applyFont="1" applyFill="1" applyBorder="1" applyAlignment="1" applyProtection="1">
      <alignment vertical="center"/>
      <protection hidden="1"/>
    </xf>
    <xf numFmtId="0" fontId="5" fillId="2" borderId="10" xfId="6" applyFont="1" applyFill="1" applyBorder="1" applyAlignment="1">
      <alignment horizontal="center" vertical="center"/>
    </xf>
    <xf numFmtId="0" fontId="22" fillId="2" borderId="3" xfId="5" applyFont="1" applyFill="1" applyBorder="1" applyAlignment="1" applyProtection="1">
      <alignment horizontal="center" vertical="center"/>
      <protection hidden="1"/>
    </xf>
    <xf numFmtId="0" fontId="5" fillId="2" borderId="11" xfId="6" applyFont="1" applyFill="1" applyBorder="1" applyAlignment="1">
      <alignment horizontal="center" vertical="center"/>
    </xf>
    <xf numFmtId="166" fontId="23" fillId="2" borderId="3" xfId="5" applyNumberFormat="1" applyFont="1" applyFill="1" applyBorder="1" applyAlignment="1" applyProtection="1">
      <alignment horizontal="center" vertical="center"/>
      <protection hidden="1"/>
    </xf>
    <xf numFmtId="0" fontId="23" fillId="2" borderId="3" xfId="2" applyFont="1" applyFill="1" applyBorder="1" applyAlignment="1" applyProtection="1">
      <alignment horizontal="left" vertical="center" wrapText="1"/>
      <protection hidden="1"/>
    </xf>
    <xf numFmtId="165" fontId="22" fillId="2" borderId="3" xfId="9" applyFont="1" applyFill="1" applyBorder="1" applyAlignment="1" applyProtection="1">
      <alignment vertical="center"/>
      <protection hidden="1"/>
    </xf>
    <xf numFmtId="0" fontId="19" fillId="0" borderId="10" xfId="2" applyFont="1" applyBorder="1" applyAlignment="1" applyProtection="1">
      <alignment horizontal="center" vertical="center" wrapText="1"/>
      <protection hidden="1"/>
    </xf>
    <xf numFmtId="0" fontId="19" fillId="0" borderId="3" xfId="2" applyFont="1" applyBorder="1" applyAlignment="1" applyProtection="1">
      <alignment horizontal="center" vertical="center" wrapText="1"/>
      <protection hidden="1"/>
    </xf>
    <xf numFmtId="0" fontId="19" fillId="0" borderId="3" xfId="2" applyFont="1" applyBorder="1" applyAlignment="1" applyProtection="1">
      <alignment vertical="center" wrapText="1"/>
      <protection hidden="1"/>
    </xf>
    <xf numFmtId="0" fontId="20" fillId="0" borderId="3" xfId="2" applyFont="1" applyBorder="1" applyAlignment="1" applyProtection="1">
      <alignment horizontal="center" vertical="center" wrapText="1"/>
      <protection locked="0"/>
    </xf>
    <xf numFmtId="43" fontId="20" fillId="5" borderId="3" xfId="10" applyFont="1" applyFill="1" applyBorder="1" applyAlignment="1" applyProtection="1">
      <alignment horizontal="right" vertical="center" wrapText="1"/>
      <protection locked="0"/>
    </xf>
    <xf numFmtId="43" fontId="20" fillId="0" borderId="3" xfId="10" applyFont="1" applyFill="1" applyBorder="1" applyAlignment="1" applyProtection="1">
      <alignment vertical="center" wrapText="1"/>
      <protection locked="0"/>
    </xf>
    <xf numFmtId="165" fontId="20" fillId="0" borderId="3" xfId="9" applyFont="1" applyFill="1" applyBorder="1" applyAlignment="1" applyProtection="1">
      <alignment vertical="center" wrapText="1"/>
      <protection locked="0"/>
    </xf>
    <xf numFmtId="0" fontId="24" fillId="0" borderId="10" xfId="2" applyFont="1" applyBorder="1" applyAlignment="1" applyProtection="1">
      <alignment horizontal="center" vertical="center" textRotation="90" wrapText="1"/>
      <protection hidden="1"/>
    </xf>
    <xf numFmtId="43" fontId="20" fillId="5" borderId="3" xfId="10" applyFont="1" applyFill="1" applyBorder="1" applyAlignment="1" applyProtection="1">
      <alignment vertical="center" wrapText="1"/>
      <protection locked="0"/>
    </xf>
    <xf numFmtId="165" fontId="20" fillId="6" borderId="3" xfId="9" applyFont="1" applyFill="1" applyBorder="1" applyAlignment="1" applyProtection="1">
      <alignment vertical="center" wrapText="1"/>
      <protection locked="0"/>
    </xf>
    <xf numFmtId="0" fontId="25" fillId="0" borderId="3" xfId="2" applyFont="1" applyBorder="1" applyAlignment="1" applyProtection="1">
      <alignment horizontal="center" vertical="center" wrapText="1"/>
      <protection hidden="1"/>
    </xf>
    <xf numFmtId="43" fontId="20" fillId="7" borderId="3" xfId="10" applyFont="1" applyFill="1" applyBorder="1" applyAlignment="1" applyProtection="1">
      <alignment horizontal="right" vertical="center" wrapText="1"/>
      <protection locked="0"/>
    </xf>
    <xf numFmtId="43" fontId="0" fillId="0" borderId="0" xfId="0" applyNumberFormat="1"/>
    <xf numFmtId="43" fontId="20" fillId="7" borderId="3" xfId="11" applyNumberFormat="1" applyFont="1" applyFill="1" applyBorder="1" applyAlignment="1" applyProtection="1">
      <alignment horizontal="right" vertical="center" wrapText="1"/>
      <protection locked="0"/>
    </xf>
    <xf numFmtId="43" fontId="20" fillId="0" borderId="3" xfId="12" applyNumberFormat="1" applyFont="1" applyFill="1" applyBorder="1" applyAlignment="1" applyProtection="1">
      <alignment vertical="center" wrapText="1"/>
      <protection locked="0"/>
    </xf>
    <xf numFmtId="43" fontId="20" fillId="0" borderId="3" xfId="10" applyFont="1" applyFill="1" applyBorder="1" applyAlignment="1" applyProtection="1">
      <alignment horizontal="right" vertical="center" wrapText="1"/>
      <protection locked="0"/>
    </xf>
    <xf numFmtId="43" fontId="20" fillId="0" borderId="3" xfId="11" applyNumberFormat="1" applyFont="1" applyFill="1" applyBorder="1" applyAlignment="1" applyProtection="1">
      <alignment vertical="center" wrapText="1"/>
      <protection locked="0"/>
    </xf>
    <xf numFmtId="43" fontId="20" fillId="5" borderId="3" xfId="11" applyNumberFormat="1" applyFont="1" applyFill="1" applyBorder="1" applyAlignment="1" applyProtection="1">
      <alignment vertical="center" wrapText="1"/>
      <protection locked="0"/>
    </xf>
    <xf numFmtId="165" fontId="20" fillId="7" borderId="3" xfId="9" applyFont="1" applyFill="1" applyBorder="1" applyAlignment="1" applyProtection="1">
      <alignment vertical="center" wrapText="1"/>
      <protection locked="0"/>
    </xf>
    <xf numFmtId="43" fontId="20" fillId="5" borderId="3" xfId="11" applyNumberFormat="1" applyFont="1" applyFill="1" applyBorder="1" applyAlignment="1" applyProtection="1">
      <alignment horizontal="right" vertical="center" wrapText="1"/>
      <protection locked="0"/>
    </xf>
    <xf numFmtId="0" fontId="21" fillId="8" borderId="3" xfId="2" applyFont="1" applyFill="1" applyBorder="1" applyAlignment="1" applyProtection="1">
      <alignment horizontal="center" vertical="center" wrapText="1"/>
      <protection hidden="1"/>
    </xf>
    <xf numFmtId="0" fontId="21" fillId="8" borderId="3" xfId="2" applyFont="1" applyFill="1" applyBorder="1" applyAlignment="1" applyProtection="1">
      <alignment vertical="center" wrapText="1"/>
      <protection hidden="1"/>
    </xf>
    <xf numFmtId="0" fontId="26" fillId="8" borderId="3" xfId="2" applyFont="1" applyFill="1" applyBorder="1" applyAlignment="1" applyProtection="1">
      <alignment horizontal="center" vertical="center" wrapText="1"/>
      <protection locked="0"/>
    </xf>
    <xf numFmtId="0" fontId="26" fillId="8" borderId="3" xfId="5" applyFont="1" applyFill="1" applyBorder="1" applyAlignment="1" applyProtection="1">
      <alignment horizontal="right" vertical="center" wrapText="1"/>
      <protection locked="0"/>
    </xf>
    <xf numFmtId="0" fontId="22" fillId="8" borderId="3" xfId="5" applyFont="1" applyFill="1" applyBorder="1" applyAlignment="1" applyProtection="1">
      <alignment vertical="center" wrapText="1"/>
      <protection locked="0"/>
    </xf>
    <xf numFmtId="165" fontId="22" fillId="8" borderId="3" xfId="9" applyFont="1" applyFill="1" applyBorder="1" applyAlignment="1" applyProtection="1">
      <alignment vertical="center" wrapText="1"/>
      <protection locked="0"/>
    </xf>
    <xf numFmtId="0" fontId="21" fillId="9" borderId="3" xfId="2" applyFont="1" applyFill="1" applyBorder="1" applyAlignment="1" applyProtection="1">
      <alignment horizontal="center" vertical="center" wrapText="1"/>
      <protection hidden="1"/>
    </xf>
    <xf numFmtId="0" fontId="21" fillId="9" borderId="10" xfId="2" applyFont="1" applyFill="1" applyBorder="1" applyAlignment="1" applyProtection="1">
      <alignment horizontal="center" vertical="center" wrapText="1"/>
      <protection hidden="1"/>
    </xf>
    <xf numFmtId="0" fontId="23" fillId="10" borderId="3" xfId="2" applyFont="1" applyFill="1" applyBorder="1" applyAlignment="1" applyProtection="1">
      <alignment vertical="center" wrapText="1"/>
      <protection hidden="1"/>
    </xf>
    <xf numFmtId="0" fontId="21" fillId="10" borderId="1" xfId="2" applyFont="1" applyFill="1" applyBorder="1" applyAlignment="1" applyProtection="1">
      <alignment horizontal="center" vertical="center" wrapText="1"/>
      <protection hidden="1"/>
    </xf>
    <xf numFmtId="0" fontId="26" fillId="10" borderId="3" xfId="2" applyFont="1" applyFill="1" applyBorder="1" applyAlignment="1" applyProtection="1">
      <alignment horizontal="center" vertical="center" wrapText="1"/>
      <protection locked="0"/>
    </xf>
    <xf numFmtId="0" fontId="26" fillId="10" borderId="3" xfId="5" applyFont="1" applyFill="1" applyBorder="1" applyAlignment="1" applyProtection="1">
      <alignment horizontal="right" vertical="center" wrapText="1"/>
      <protection locked="0"/>
    </xf>
    <xf numFmtId="0" fontId="22" fillId="10" borderId="3" xfId="5" applyFont="1" applyFill="1" applyBorder="1" applyAlignment="1" applyProtection="1">
      <alignment vertical="center" wrapText="1"/>
      <protection locked="0"/>
    </xf>
    <xf numFmtId="165" fontId="22" fillId="10" borderId="3" xfId="9" applyFont="1" applyFill="1" applyBorder="1" applyAlignment="1" applyProtection="1">
      <alignment vertical="center" wrapText="1"/>
      <protection locked="0"/>
    </xf>
    <xf numFmtId="0" fontId="19" fillId="0" borderId="9" xfId="2" applyFont="1" applyBorder="1" applyAlignment="1" applyProtection="1">
      <alignment horizontal="center" vertical="center" wrapText="1"/>
      <protection hidden="1"/>
    </xf>
    <xf numFmtId="0" fontId="19" fillId="0" borderId="1" xfId="2" applyFont="1" applyBorder="1" applyAlignment="1" applyProtection="1">
      <alignment horizontal="center" vertical="center" wrapText="1"/>
      <protection hidden="1"/>
    </xf>
    <xf numFmtId="0" fontId="19" fillId="9" borderId="3" xfId="2" applyFont="1" applyFill="1" applyBorder="1" applyAlignment="1" applyProtection="1">
      <alignment vertical="center" wrapText="1"/>
      <protection hidden="1"/>
    </xf>
    <xf numFmtId="0" fontId="20" fillId="11" borderId="3" xfId="2" applyFont="1" applyFill="1" applyBorder="1" applyAlignment="1" applyProtection="1">
      <alignment horizontal="center" vertical="center" wrapText="1"/>
      <protection locked="0"/>
    </xf>
    <xf numFmtId="43" fontId="20" fillId="7" borderId="3" xfId="10" applyFont="1" applyFill="1" applyBorder="1" applyAlignment="1" applyProtection="1">
      <alignment vertical="center" wrapText="1"/>
      <protection locked="0"/>
    </xf>
    <xf numFmtId="0" fontId="4" fillId="0" borderId="0" xfId="0" applyFont="1"/>
    <xf numFmtId="43" fontId="20" fillId="12" borderId="3" xfId="10" applyFont="1" applyFill="1" applyBorder="1" applyAlignment="1" applyProtection="1">
      <alignment horizontal="right" vertical="center" wrapText="1"/>
      <protection locked="0"/>
    </xf>
    <xf numFmtId="43" fontId="20" fillId="12" borderId="3" xfId="10" applyFont="1" applyFill="1" applyBorder="1" applyAlignment="1" applyProtection="1">
      <alignment vertical="center" wrapText="1"/>
      <protection locked="0"/>
    </xf>
    <xf numFmtId="165" fontId="20" fillId="12" borderId="3" xfId="9" applyFont="1" applyFill="1" applyBorder="1" applyAlignment="1" applyProtection="1">
      <alignment vertical="center" wrapText="1"/>
      <protection locked="0"/>
    </xf>
    <xf numFmtId="0" fontId="19" fillId="9" borderId="3" xfId="2" applyFont="1" applyFill="1" applyBorder="1" applyAlignment="1" applyProtection="1">
      <alignment horizontal="center" vertical="center" wrapText="1"/>
      <protection hidden="1"/>
    </xf>
    <xf numFmtId="165" fontId="20" fillId="9" borderId="3" xfId="9" applyFont="1" applyFill="1" applyBorder="1" applyAlignment="1" applyProtection="1">
      <alignment vertical="center" wrapText="1"/>
      <protection locked="0"/>
    </xf>
    <xf numFmtId="165" fontId="20" fillId="9" borderId="4" xfId="9" applyFont="1" applyFill="1" applyBorder="1" applyAlignment="1" applyProtection="1">
      <alignment vertical="center" wrapText="1"/>
      <protection locked="0"/>
    </xf>
    <xf numFmtId="0" fontId="4" fillId="0" borderId="0" xfId="0" applyFont="1" applyAlignment="1">
      <alignment vertical="center"/>
    </xf>
    <xf numFmtId="43" fontId="20" fillId="0" borderId="11" xfId="10" applyFont="1" applyFill="1" applyBorder="1" applyAlignment="1" applyProtection="1">
      <alignment horizontal="right" vertical="center" wrapText="1"/>
      <protection locked="0"/>
    </xf>
    <xf numFmtId="43" fontId="20" fillId="0" borderId="11" xfId="10" applyFont="1" applyFill="1" applyBorder="1" applyAlignment="1" applyProtection="1">
      <alignment vertical="center" wrapText="1"/>
      <protection locked="0"/>
    </xf>
    <xf numFmtId="0" fontId="24" fillId="0" borderId="3" xfId="2" applyFont="1" applyBorder="1" applyAlignment="1" applyProtection="1">
      <alignment vertical="center" wrapText="1"/>
      <protection hidden="1"/>
    </xf>
    <xf numFmtId="0" fontId="19" fillId="9" borderId="1" xfId="2" applyFont="1" applyFill="1" applyBorder="1" applyAlignment="1" applyProtection="1">
      <alignment horizontal="center" vertical="center" wrapText="1"/>
      <protection hidden="1"/>
    </xf>
    <xf numFmtId="43" fontId="20" fillId="6" borderId="3" xfId="10" applyFont="1" applyFill="1" applyBorder="1" applyAlignment="1" applyProtection="1">
      <alignment horizontal="right" vertical="center" wrapText="1"/>
      <protection locked="0"/>
    </xf>
    <xf numFmtId="43" fontId="20" fillId="6" borderId="3" xfId="10" applyFont="1" applyFill="1" applyBorder="1" applyAlignment="1" applyProtection="1">
      <alignment vertical="center" wrapText="1"/>
      <protection locked="0"/>
    </xf>
    <xf numFmtId="0" fontId="21" fillId="8" borderId="9" xfId="2" applyFont="1" applyFill="1" applyBorder="1" applyAlignment="1" applyProtection="1">
      <alignment horizontal="center" vertical="center" wrapText="1"/>
      <protection hidden="1"/>
    </xf>
    <xf numFmtId="165" fontId="20" fillId="0" borderId="3" xfId="13" applyFont="1" applyFill="1" applyBorder="1" applyAlignment="1" applyProtection="1">
      <alignment horizontal="right" vertical="center" wrapText="1"/>
      <protection locked="0"/>
    </xf>
    <xf numFmtId="165" fontId="20" fillId="0" borderId="3" xfId="13" applyFont="1" applyFill="1" applyBorder="1" applyAlignment="1" applyProtection="1">
      <alignment vertical="center" wrapText="1"/>
      <protection locked="0"/>
    </xf>
    <xf numFmtId="165" fontId="20" fillId="7" borderId="3" xfId="13" applyFont="1" applyFill="1" applyBorder="1" applyAlignment="1" applyProtection="1">
      <alignment vertical="center" wrapText="1"/>
      <protection locked="0"/>
    </xf>
    <xf numFmtId="165" fontId="20" fillId="5" borderId="3" xfId="13" applyFont="1" applyFill="1" applyBorder="1" applyAlignment="1" applyProtection="1">
      <alignment horizontal="right" vertical="center" wrapText="1"/>
      <protection locked="0"/>
    </xf>
    <xf numFmtId="165" fontId="20" fillId="5" borderId="9" xfId="13" applyFont="1" applyFill="1" applyBorder="1" applyAlignment="1" applyProtection="1">
      <alignment vertical="center" wrapText="1"/>
      <protection locked="0"/>
    </xf>
    <xf numFmtId="165" fontId="20" fillId="13" borderId="3" xfId="13" applyFont="1" applyFill="1" applyBorder="1" applyAlignment="1" applyProtection="1">
      <alignment horizontal="right" vertical="center" wrapText="1"/>
      <protection locked="0"/>
    </xf>
    <xf numFmtId="165" fontId="20" fillId="13" borderId="3" xfId="13" applyFont="1" applyFill="1" applyBorder="1" applyAlignment="1" applyProtection="1">
      <alignment vertical="center" wrapText="1"/>
      <protection locked="0"/>
    </xf>
    <xf numFmtId="165" fontId="20" fillId="7" borderId="3" xfId="13" applyFont="1" applyFill="1" applyBorder="1" applyAlignment="1" applyProtection="1">
      <alignment horizontal="right" vertical="center" wrapText="1"/>
      <protection locked="0"/>
    </xf>
    <xf numFmtId="165" fontId="20" fillId="5" borderId="3" xfId="13" applyFont="1" applyFill="1" applyBorder="1" applyAlignment="1" applyProtection="1">
      <alignment vertical="center" wrapText="1"/>
      <protection locked="0"/>
    </xf>
    <xf numFmtId="0" fontId="12" fillId="0" borderId="3" xfId="2" applyFont="1" applyBorder="1" applyAlignment="1" applyProtection="1">
      <alignment horizontal="center" vertical="center" wrapText="1"/>
      <protection locked="0"/>
    </xf>
    <xf numFmtId="165" fontId="20" fillId="6" borderId="3" xfId="13" applyFont="1" applyFill="1" applyBorder="1" applyAlignment="1" applyProtection="1">
      <alignment horizontal="right" vertical="center" wrapText="1"/>
      <protection locked="0"/>
    </xf>
    <xf numFmtId="165" fontId="20" fillId="6" borderId="3" xfId="13" applyFont="1" applyFill="1" applyBorder="1" applyAlignment="1" applyProtection="1">
      <alignment vertical="center" wrapText="1"/>
      <protection locked="0"/>
    </xf>
    <xf numFmtId="0" fontId="21" fillId="8" borderId="3" xfId="2" quotePrefix="1" applyFont="1" applyFill="1" applyBorder="1" applyAlignment="1" applyProtection="1">
      <alignment horizontal="center" vertical="center" wrapText="1"/>
      <protection hidden="1"/>
    </xf>
    <xf numFmtId="43" fontId="20" fillId="14" borderId="3" xfId="10" applyFont="1" applyFill="1" applyBorder="1" applyAlignment="1" applyProtection="1">
      <alignment horizontal="right" vertical="center" wrapText="1"/>
      <protection locked="0"/>
    </xf>
    <xf numFmtId="43" fontId="20" fillId="14" borderId="3" xfId="10" applyFont="1" applyFill="1" applyBorder="1" applyAlignment="1" applyProtection="1">
      <alignment vertical="center" wrapText="1"/>
      <protection locked="0"/>
    </xf>
    <xf numFmtId="0" fontId="19" fillId="9" borderId="1" xfId="2" applyFont="1" applyFill="1" applyBorder="1" applyAlignment="1" applyProtection="1">
      <alignment vertical="center" wrapText="1"/>
      <protection hidden="1"/>
    </xf>
    <xf numFmtId="0" fontId="19" fillId="9" borderId="2" xfId="2" applyFont="1" applyFill="1" applyBorder="1" applyAlignment="1" applyProtection="1">
      <alignment horizontal="center" vertical="center" wrapText="1"/>
      <protection hidden="1"/>
    </xf>
    <xf numFmtId="0" fontId="20" fillId="0" borderId="2" xfId="2" applyFont="1" applyBorder="1" applyAlignment="1" applyProtection="1">
      <alignment horizontal="center" vertical="center" wrapText="1"/>
      <protection locked="0"/>
    </xf>
    <xf numFmtId="0" fontId="19" fillId="0" borderId="2" xfId="2" applyFont="1" applyBorder="1" applyAlignment="1" applyProtection="1">
      <alignment horizontal="center" vertical="center" wrapText="1"/>
      <protection hidden="1"/>
    </xf>
    <xf numFmtId="0" fontId="20" fillId="11" borderId="2" xfId="2" applyFont="1" applyFill="1" applyBorder="1" applyAlignment="1" applyProtection="1">
      <alignment horizontal="center" vertical="center" wrapText="1"/>
      <protection locked="0"/>
    </xf>
    <xf numFmtId="0" fontId="20" fillId="9" borderId="3" xfId="2" applyFont="1" applyFill="1" applyBorder="1" applyAlignment="1" applyProtection="1">
      <alignment horizontal="center" vertical="center" wrapText="1"/>
      <protection locked="0"/>
    </xf>
    <xf numFmtId="165" fontId="20" fillId="0" borderId="2" xfId="13" applyFont="1" applyFill="1" applyBorder="1" applyAlignment="1" applyProtection="1">
      <alignment horizontal="right" vertical="center" wrapText="1"/>
      <protection locked="0"/>
    </xf>
    <xf numFmtId="0" fontId="19" fillId="0" borderId="1" xfId="2" applyFont="1" applyBorder="1" applyAlignment="1" applyProtection="1">
      <alignment vertical="center" wrapText="1"/>
      <protection hidden="1"/>
    </xf>
    <xf numFmtId="165" fontId="20" fillId="5" borderId="2" xfId="13" applyFont="1" applyFill="1" applyBorder="1" applyAlignment="1" applyProtection="1">
      <alignment horizontal="right" vertical="center" wrapText="1"/>
      <protection locked="0"/>
    </xf>
    <xf numFmtId="43" fontId="20" fillId="5" borderId="2" xfId="10" applyFont="1" applyFill="1" applyBorder="1" applyAlignment="1" applyProtection="1">
      <alignment horizontal="right" vertical="center" wrapText="1"/>
      <protection locked="0"/>
    </xf>
    <xf numFmtId="43" fontId="20" fillId="5" borderId="2" xfId="10" applyFont="1" applyFill="1" applyBorder="1" applyAlignment="1" applyProtection="1">
      <alignment vertical="center" wrapText="1"/>
      <protection locked="0"/>
    </xf>
    <xf numFmtId="43" fontId="20" fillId="0" borderId="2" xfId="10" applyFont="1" applyFill="1" applyBorder="1" applyAlignment="1" applyProtection="1">
      <alignment horizontal="right" vertical="center" wrapText="1"/>
      <protection locked="0"/>
    </xf>
    <xf numFmtId="43" fontId="20" fillId="0" borderId="2" xfId="10" applyFont="1" applyFill="1" applyBorder="1" applyAlignment="1" applyProtection="1">
      <alignment vertical="center" wrapText="1"/>
      <protection locked="0"/>
    </xf>
    <xf numFmtId="0" fontId="28" fillId="0" borderId="3" xfId="2" applyFont="1" applyBorder="1" applyAlignment="1" applyProtection="1">
      <alignment vertical="center" wrapText="1"/>
      <protection locked="0" hidden="1"/>
    </xf>
    <xf numFmtId="2" fontId="20" fillId="11" borderId="3" xfId="2" applyNumberFormat="1" applyFont="1" applyFill="1" applyBorder="1" applyAlignment="1" applyProtection="1">
      <alignment horizontal="center" vertical="center" wrapText="1"/>
      <protection locked="0"/>
    </xf>
    <xf numFmtId="0" fontId="28" fillId="0" borderId="3" xfId="2" applyFont="1" applyBorder="1" applyAlignment="1" applyProtection="1">
      <alignment vertical="center" wrapText="1"/>
      <protection hidden="1"/>
    </xf>
    <xf numFmtId="2" fontId="20" fillId="0" borderId="3" xfId="2" applyNumberFormat="1" applyFont="1" applyBorder="1" applyAlignment="1" applyProtection="1">
      <alignment horizontal="center" vertical="center" wrapText="1"/>
      <protection locked="0"/>
    </xf>
    <xf numFmtId="0" fontId="29" fillId="0" borderId="0" xfId="0" applyFont="1" applyAlignment="1">
      <alignment horizontal="left"/>
    </xf>
    <xf numFmtId="0" fontId="19" fillId="0" borderId="1" xfId="2" applyFont="1" applyBorder="1" applyAlignment="1" applyProtection="1">
      <alignment horizontal="left" vertical="center" wrapText="1"/>
      <protection hidden="1"/>
    </xf>
    <xf numFmtId="0" fontId="3" fillId="0" borderId="0" xfId="0" applyFont="1" applyAlignment="1">
      <alignment horizontal="center"/>
    </xf>
    <xf numFmtId="0" fontId="30" fillId="0" borderId="0" xfId="0" applyFont="1" applyAlignment="1">
      <alignment vertical="center" wrapText="1"/>
    </xf>
    <xf numFmtId="0" fontId="23" fillId="8" borderId="3" xfId="2" applyFont="1" applyFill="1" applyBorder="1" applyAlignment="1" applyProtection="1">
      <alignment horizontal="center" vertical="center" wrapText="1"/>
      <protection hidden="1"/>
    </xf>
    <xf numFmtId="0" fontId="23" fillId="8" borderId="3" xfId="2" applyFont="1" applyFill="1" applyBorder="1" applyAlignment="1" applyProtection="1">
      <alignment vertical="center" wrapText="1"/>
      <protection hidden="1"/>
    </xf>
    <xf numFmtId="0" fontId="23" fillId="8" borderId="3" xfId="5" applyFont="1" applyFill="1" applyBorder="1" applyAlignment="1" applyProtection="1">
      <alignment vertical="center" wrapText="1"/>
      <protection hidden="1"/>
    </xf>
    <xf numFmtId="165" fontId="17" fillId="8" borderId="3" xfId="9" applyFont="1" applyFill="1" applyBorder="1" applyAlignment="1" applyProtection="1">
      <alignment horizontal="center" vertical="center" wrapText="1"/>
      <protection hidden="1"/>
    </xf>
    <xf numFmtId="49" fontId="31" fillId="16" borderId="3" xfId="2" applyNumberFormat="1" applyFont="1" applyFill="1" applyBorder="1" applyAlignment="1" applyProtection="1">
      <alignment horizontal="center" vertical="center" wrapText="1"/>
      <protection locked="0"/>
    </xf>
    <xf numFmtId="49" fontId="31" fillId="16" borderId="3" xfId="2" applyNumberFormat="1" applyFont="1" applyFill="1" applyBorder="1" applyAlignment="1" applyProtection="1">
      <alignment vertical="center" wrapText="1"/>
      <protection locked="0"/>
    </xf>
    <xf numFmtId="0" fontId="31" fillId="16" borderId="3" xfId="2" applyFont="1" applyFill="1" applyBorder="1" applyAlignment="1" applyProtection="1">
      <alignment vertical="center" wrapText="1"/>
      <protection locked="0"/>
    </xf>
    <xf numFmtId="0" fontId="31" fillId="16" borderId="9" xfId="2" applyFont="1" applyFill="1" applyBorder="1" applyAlignment="1" applyProtection="1">
      <alignment horizontal="center" vertical="center" wrapText="1"/>
      <protection locked="0"/>
    </xf>
    <xf numFmtId="43" fontId="31" fillId="16" borderId="9" xfId="7" applyFont="1" applyFill="1" applyBorder="1" applyAlignment="1" applyProtection="1">
      <alignment horizontal="center" vertical="center" wrapText="1"/>
      <protection locked="0"/>
    </xf>
    <xf numFmtId="0" fontId="31" fillId="16" borderId="3" xfId="2" applyFont="1" applyFill="1" applyBorder="1" applyAlignment="1" applyProtection="1">
      <alignment horizontal="center" vertical="center"/>
      <protection locked="0"/>
    </xf>
    <xf numFmtId="0" fontId="31" fillId="16" borderId="3" xfId="2" applyFont="1" applyFill="1" applyBorder="1" applyAlignment="1" applyProtection="1">
      <alignment vertical="center"/>
      <protection locked="0"/>
    </xf>
    <xf numFmtId="0" fontId="31" fillId="16" borderId="11" xfId="2" applyFont="1" applyFill="1" applyBorder="1" applyAlignment="1" applyProtection="1">
      <alignment horizontal="center" vertical="center" wrapText="1"/>
      <protection locked="0"/>
    </xf>
    <xf numFmtId="43" fontId="31" fillId="16" borderId="11" xfId="7" applyFont="1" applyFill="1" applyBorder="1" applyAlignment="1" applyProtection="1">
      <alignment horizontal="center" vertical="center" wrapText="1"/>
      <protection locked="0"/>
    </xf>
    <xf numFmtId="0" fontId="28" fillId="0" borderId="3" xfId="2" applyFont="1" applyBorder="1" applyAlignment="1" applyProtection="1">
      <alignment horizontal="center"/>
      <protection locked="0"/>
    </xf>
    <xf numFmtId="0" fontId="28" fillId="0" borderId="3" xfId="2" applyFont="1" applyBorder="1" applyProtection="1">
      <protection locked="0"/>
    </xf>
    <xf numFmtId="4" fontId="13" fillId="0" borderId="3" xfId="2" applyNumberFormat="1" applyFont="1" applyBorder="1" applyAlignment="1" applyProtection="1">
      <alignment horizontal="center"/>
      <protection locked="0"/>
    </xf>
    <xf numFmtId="2" fontId="28" fillId="9" borderId="3" xfId="14" applyNumberFormat="1" applyFont="1" applyFill="1" applyBorder="1" applyAlignment="1" applyProtection="1">
      <alignment horizontal="center"/>
      <protection locked="0"/>
    </xf>
    <xf numFmtId="43" fontId="28" fillId="0" borderId="3" xfId="7" applyFont="1" applyFill="1" applyBorder="1" applyAlignment="1" applyProtection="1">
      <alignment horizontal="center"/>
      <protection locked="0"/>
    </xf>
    <xf numFmtId="0" fontId="28" fillId="0" borderId="0" xfId="2" applyFont="1" applyAlignment="1">
      <alignment horizontal="center"/>
    </xf>
    <xf numFmtId="0" fontId="28" fillId="0" borderId="0" xfId="2" applyFont="1"/>
    <xf numFmtId="0" fontId="28" fillId="0" borderId="0" xfId="2" applyFont="1" applyAlignment="1">
      <alignment wrapText="1"/>
    </xf>
    <xf numFmtId="9" fontId="28" fillId="0" borderId="0" xfId="15" applyFont="1" applyAlignment="1">
      <alignment horizontal="center"/>
    </xf>
    <xf numFmtId="9" fontId="16" fillId="0" borderId="0" xfId="15" applyFont="1" applyFill="1" applyAlignment="1">
      <alignment horizont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32" fillId="0" borderId="0" xfId="0" applyFont="1" applyAlignment="1">
      <alignment vertical="center" wrapText="1"/>
    </xf>
    <xf numFmtId="44" fontId="0" fillId="0" borderId="0" xfId="16" applyFont="1"/>
    <xf numFmtId="3" fontId="19" fillId="0" borderId="3" xfId="2" applyNumberFormat="1" applyFont="1" applyBorder="1" applyAlignment="1" applyProtection="1">
      <alignment horizontal="center" vertical="center" wrapText="1"/>
      <protection hidden="1"/>
    </xf>
    <xf numFmtId="0" fontId="14" fillId="4" borderId="1" xfId="2" applyFont="1" applyFill="1" applyBorder="1" applyAlignment="1" applyProtection="1">
      <alignment horizontal="left" vertical="center" wrapText="1"/>
      <protection locked="0"/>
    </xf>
    <xf numFmtId="0" fontId="14" fillId="4" borderId="2" xfId="2" applyFont="1" applyFill="1" applyBorder="1" applyAlignment="1" applyProtection="1">
      <alignment horizontal="left" vertical="center" wrapText="1"/>
      <protection locked="0"/>
    </xf>
    <xf numFmtId="0" fontId="7" fillId="0" borderId="1" xfId="2" applyFont="1" applyBorder="1" applyAlignment="1" applyProtection="1">
      <alignment horizontal="center" vertical="center" wrapText="1"/>
      <protection locked="0"/>
    </xf>
    <xf numFmtId="0" fontId="7" fillId="0" borderId="2" xfId="2" applyFont="1" applyBorder="1" applyAlignment="1" applyProtection="1">
      <alignment horizontal="center" vertical="center" wrapText="1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9" fillId="3" borderId="1" xfId="2" applyFont="1" applyFill="1" applyBorder="1" applyAlignment="1" applyProtection="1">
      <alignment horizontal="center" vertical="center"/>
      <protection locked="0"/>
    </xf>
    <xf numFmtId="0" fontId="9" fillId="3" borderId="4" xfId="2" applyFont="1" applyFill="1" applyBorder="1" applyAlignment="1" applyProtection="1">
      <alignment horizontal="center" vertical="center"/>
      <protection locked="0"/>
    </xf>
    <xf numFmtId="0" fontId="10" fillId="4" borderId="3" xfId="2" applyFont="1" applyFill="1" applyBorder="1" applyAlignment="1" applyProtection="1">
      <alignment horizontal="center" vertical="center"/>
      <protection locked="0"/>
    </xf>
    <xf numFmtId="0" fontId="10" fillId="4" borderId="1" xfId="2" applyFont="1" applyFill="1" applyBorder="1" applyAlignment="1" applyProtection="1">
      <alignment horizontal="center" vertical="center"/>
      <protection locked="0"/>
    </xf>
    <xf numFmtId="0" fontId="10" fillId="4" borderId="4" xfId="2" applyFont="1" applyFill="1" applyBorder="1" applyAlignment="1" applyProtection="1">
      <alignment horizontal="center" vertical="center"/>
      <protection locked="0"/>
    </xf>
    <xf numFmtId="0" fontId="10" fillId="3" borderId="1" xfId="2" applyFont="1" applyFill="1" applyBorder="1" applyAlignment="1" applyProtection="1">
      <alignment horizontal="center" vertical="center"/>
      <protection locked="0"/>
    </xf>
    <xf numFmtId="0" fontId="10" fillId="3" borderId="4" xfId="2" applyFont="1" applyFill="1" applyBorder="1" applyAlignment="1" applyProtection="1">
      <alignment horizontal="center" vertical="center"/>
      <protection locked="0"/>
    </xf>
    <xf numFmtId="0" fontId="10" fillId="4" borderId="1" xfId="2" applyFont="1" applyFill="1" applyBorder="1" applyAlignment="1" applyProtection="1">
      <alignment horizontal="center" vertical="center" wrapText="1"/>
      <protection locked="0"/>
    </xf>
    <xf numFmtId="0" fontId="10" fillId="4" borderId="2" xfId="2" applyFont="1" applyFill="1" applyBorder="1" applyAlignment="1" applyProtection="1">
      <alignment horizontal="center" vertical="center" wrapText="1"/>
      <protection locked="0"/>
    </xf>
    <xf numFmtId="0" fontId="10" fillId="4" borderId="4" xfId="2" applyFont="1" applyFill="1" applyBorder="1" applyAlignment="1" applyProtection="1">
      <alignment horizontal="center" vertical="center" wrapText="1"/>
      <protection locked="0"/>
    </xf>
    <xf numFmtId="0" fontId="11" fillId="3" borderId="1" xfId="4" applyFont="1" applyFill="1" applyBorder="1" applyAlignment="1" applyProtection="1">
      <alignment horizontal="center" vertical="center" wrapText="1"/>
      <protection locked="0"/>
    </xf>
    <xf numFmtId="0" fontId="11" fillId="3" borderId="2" xfId="4" applyFont="1" applyFill="1" applyBorder="1" applyAlignment="1" applyProtection="1">
      <alignment horizontal="center" vertical="center" wrapText="1"/>
      <protection locked="0"/>
    </xf>
    <xf numFmtId="0" fontId="10" fillId="4" borderId="2" xfId="2" applyFont="1" applyFill="1" applyBorder="1" applyAlignment="1" applyProtection="1">
      <alignment horizontal="center" vertical="center"/>
      <protection locked="0"/>
    </xf>
    <xf numFmtId="0" fontId="2" fillId="2" borderId="1" xfId="5" applyFont="1" applyFill="1" applyBorder="1" applyAlignment="1" applyProtection="1">
      <alignment horizontal="center" vertical="center"/>
      <protection hidden="1"/>
    </xf>
    <xf numFmtId="0" fontId="2" fillId="2" borderId="4" xfId="5" applyFont="1" applyFill="1" applyBorder="1" applyAlignment="1" applyProtection="1">
      <alignment horizontal="center" vertical="center"/>
      <protection hidden="1"/>
    </xf>
    <xf numFmtId="0" fontId="17" fillId="2" borderId="6" xfId="2" applyFont="1" applyFill="1" applyBorder="1" applyAlignment="1" applyProtection="1">
      <alignment horizontal="center" vertical="center"/>
      <protection hidden="1"/>
    </xf>
    <xf numFmtId="0" fontId="17" fillId="2" borderId="7" xfId="2" applyFont="1" applyFill="1" applyBorder="1" applyAlignment="1" applyProtection="1">
      <alignment horizontal="center" vertical="center"/>
      <protection hidden="1"/>
    </xf>
    <xf numFmtId="0" fontId="5" fillId="2" borderId="9" xfId="6" applyFont="1" applyFill="1" applyBorder="1" applyAlignment="1">
      <alignment horizontal="center" vertical="center"/>
    </xf>
    <xf numFmtId="0" fontId="5" fillId="2" borderId="10" xfId="6" applyFont="1" applyFill="1" applyBorder="1" applyAlignment="1">
      <alignment horizontal="center" vertical="center"/>
    </xf>
    <xf numFmtId="0" fontId="5" fillId="2" borderId="11" xfId="6" applyFont="1" applyFill="1" applyBorder="1" applyAlignment="1">
      <alignment horizontal="center" vertical="center"/>
    </xf>
    <xf numFmtId="0" fontId="21" fillId="2" borderId="9" xfId="2" applyFont="1" applyFill="1" applyBorder="1" applyAlignment="1" applyProtection="1">
      <alignment horizontal="center" vertical="center"/>
      <protection hidden="1"/>
    </xf>
    <xf numFmtId="0" fontId="21" fillId="2" borderId="11" xfId="2" applyFont="1" applyFill="1" applyBorder="1" applyAlignment="1" applyProtection="1">
      <alignment horizontal="center" vertical="center"/>
      <protection hidden="1"/>
    </xf>
    <xf numFmtId="0" fontId="21" fillId="2" borderId="9" xfId="2" applyFont="1" applyFill="1" applyBorder="1" applyAlignment="1" applyProtection="1">
      <alignment horizontal="center" vertical="center" wrapText="1"/>
      <protection hidden="1"/>
    </xf>
    <xf numFmtId="0" fontId="21" fillId="2" borderId="11" xfId="2" applyFont="1" applyFill="1" applyBorder="1" applyAlignment="1" applyProtection="1">
      <alignment horizontal="center" vertical="center" wrapText="1"/>
      <protection hidden="1"/>
    </xf>
    <xf numFmtId="0" fontId="22" fillId="2" borderId="3" xfId="5" applyFont="1" applyFill="1" applyBorder="1" applyAlignment="1" applyProtection="1">
      <alignment horizontal="center" vertical="center"/>
      <protection locked="0" hidden="1"/>
    </xf>
    <xf numFmtId="44" fontId="21" fillId="2" borderId="9" xfId="8" applyFont="1" applyFill="1" applyBorder="1" applyAlignment="1" applyProtection="1">
      <alignment horizontal="center" vertical="center"/>
      <protection hidden="1"/>
    </xf>
    <xf numFmtId="44" fontId="21" fillId="2" borderId="10" xfId="8" applyFont="1" applyFill="1" applyBorder="1" applyAlignment="1" applyProtection="1">
      <alignment horizontal="center" vertical="center"/>
      <protection hidden="1"/>
    </xf>
    <xf numFmtId="0" fontId="22" fillId="2" borderId="9" xfId="2" applyFont="1" applyFill="1" applyBorder="1" applyAlignment="1" applyProtection="1">
      <alignment horizontal="center" vertical="center"/>
      <protection hidden="1"/>
    </xf>
    <xf numFmtId="0" fontId="22" fillId="2" borderId="10" xfId="2" applyFont="1" applyFill="1" applyBorder="1" applyAlignment="1" applyProtection="1">
      <alignment horizontal="center" vertical="center"/>
      <protection hidden="1"/>
    </xf>
    <xf numFmtId="0" fontId="22" fillId="2" borderId="9" xfId="5" applyFont="1" applyFill="1" applyBorder="1" applyAlignment="1" applyProtection="1">
      <alignment horizontal="center" vertical="center"/>
      <protection locked="0" hidden="1"/>
    </xf>
    <xf numFmtId="0" fontId="22" fillId="2" borderId="10" xfId="5" applyFont="1" applyFill="1" applyBorder="1" applyAlignment="1" applyProtection="1">
      <alignment horizontal="center" vertical="center"/>
      <protection locked="0" hidden="1"/>
    </xf>
    <xf numFmtId="0" fontId="24" fillId="0" borderId="9" xfId="2" applyFont="1" applyBorder="1" applyAlignment="1" applyProtection="1">
      <alignment horizontal="center" vertical="center" textRotation="90" wrapText="1"/>
      <protection hidden="1"/>
    </xf>
    <xf numFmtId="0" fontId="24" fillId="0" borderId="10" xfId="2" applyFont="1" applyBorder="1" applyAlignment="1" applyProtection="1">
      <alignment horizontal="center" vertical="center" textRotation="90" wrapText="1"/>
      <protection hidden="1"/>
    </xf>
    <xf numFmtId="0" fontId="24" fillId="0" borderId="11" xfId="2" applyFont="1" applyBorder="1" applyAlignment="1" applyProtection="1">
      <alignment horizontal="center" vertical="center" textRotation="90" wrapText="1"/>
      <protection hidden="1"/>
    </xf>
    <xf numFmtId="0" fontId="16" fillId="4" borderId="1" xfId="2" applyFont="1" applyFill="1" applyBorder="1" applyAlignment="1" applyProtection="1">
      <alignment horizontal="left" vertical="center"/>
      <protection hidden="1"/>
    </xf>
    <xf numFmtId="0" fontId="16" fillId="4" borderId="4" xfId="2" applyFont="1" applyFill="1" applyBorder="1" applyAlignment="1" applyProtection="1">
      <alignment horizontal="left" vertical="center"/>
      <protection hidden="1"/>
    </xf>
    <xf numFmtId="0" fontId="24" fillId="15" borderId="1" xfId="2" applyFont="1" applyFill="1" applyBorder="1" applyAlignment="1" applyProtection="1">
      <alignment horizontal="left" vertical="center" wrapText="1"/>
      <protection hidden="1"/>
    </xf>
    <xf numFmtId="0" fontId="24" fillId="15" borderId="2" xfId="2" applyFont="1" applyFill="1" applyBorder="1" applyAlignment="1" applyProtection="1">
      <alignment horizontal="left" vertical="center" wrapText="1"/>
      <protection hidden="1"/>
    </xf>
    <xf numFmtId="0" fontId="24" fillId="15" borderId="4" xfId="2" applyFont="1" applyFill="1" applyBorder="1" applyAlignment="1" applyProtection="1">
      <alignment horizontal="left" vertical="center" wrapText="1"/>
      <protection hidden="1"/>
    </xf>
    <xf numFmtId="0" fontId="24" fillId="9" borderId="9" xfId="2" applyFont="1" applyFill="1" applyBorder="1" applyAlignment="1" applyProtection="1">
      <alignment horizontal="center" vertical="center" textRotation="90" wrapText="1"/>
      <protection hidden="1"/>
    </xf>
    <xf numFmtId="0" fontId="24" fillId="9" borderId="10" xfId="2" applyFont="1" applyFill="1" applyBorder="1" applyAlignment="1" applyProtection="1">
      <alignment horizontal="center" vertical="center" textRotation="90" wrapText="1"/>
      <protection hidden="1"/>
    </xf>
    <xf numFmtId="0" fontId="24" fillId="9" borderId="11" xfId="2" applyFont="1" applyFill="1" applyBorder="1" applyAlignment="1" applyProtection="1">
      <alignment horizontal="center" vertical="center" textRotation="90" wrapText="1"/>
      <protection hidden="1"/>
    </xf>
    <xf numFmtId="0" fontId="19" fillId="15" borderId="2" xfId="2" applyFont="1" applyFill="1" applyBorder="1" applyAlignment="1" applyProtection="1">
      <alignment horizontal="left" vertical="center" wrapText="1"/>
      <protection hidden="1"/>
    </xf>
    <xf numFmtId="0" fontId="19" fillId="15" borderId="4" xfId="2" applyFont="1" applyFill="1" applyBorder="1" applyAlignment="1" applyProtection="1">
      <alignment horizontal="left" vertical="center" wrapText="1"/>
      <protection hidden="1"/>
    </xf>
  </cellXfs>
  <cellStyles count="17">
    <cellStyle name="Comma 2 2" xfId="7"/>
    <cellStyle name="Moeda" xfId="16" builtinId="4"/>
    <cellStyle name="Moeda 2" xfId="14"/>
    <cellStyle name="Moeda 3 2 2" xfId="8"/>
    <cellStyle name="Normal" xfId="0" builtinId="0"/>
    <cellStyle name="Normal 2 2" xfId="2"/>
    <cellStyle name="Normal 2 2 2" xfId="4"/>
    <cellStyle name="Normal 3" xfId="6"/>
    <cellStyle name="Porcentagem 2" xfId="15"/>
    <cellStyle name="Separador de milhares" xfId="1" builtinId="3"/>
    <cellStyle name="Separador de milhares 2 2 2 3" xfId="11"/>
    <cellStyle name="Separador de milhares 2 2 3" xfId="13"/>
    <cellStyle name="Separador de milhares 2 2 3 3" xfId="10"/>
    <cellStyle name="Separador de milhares 2 2 4" xfId="12"/>
    <cellStyle name="Separador de milhares 2 3" xfId="5"/>
    <cellStyle name="Vírgula 2 2" xfId="3"/>
    <cellStyle name="Vírgula 3" xfId="9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:N234"/>
  <sheetViews>
    <sheetView showGridLines="0" tabSelected="1" topLeftCell="A13" zoomScale="90" zoomScaleNormal="90" workbookViewId="0">
      <selection activeCell="M60" sqref="M60"/>
    </sheetView>
  </sheetViews>
  <sheetFormatPr defaultRowHeight="14.25"/>
  <cols>
    <col min="4" max="4" width="9.375" style="14" customWidth="1"/>
    <col min="5" max="6" width="9.375" style="15" customWidth="1"/>
    <col min="7" max="7" width="75.875" style="15" customWidth="1"/>
    <col min="8" max="8" width="10.5" style="15" bestFit="1" customWidth="1"/>
    <col min="9" max="9" width="14.25" style="15" customWidth="1"/>
    <col min="10" max="10" width="11" style="15" bestFit="1" customWidth="1"/>
    <col min="11" max="11" width="12.5" style="15" customWidth="1"/>
    <col min="12" max="12" width="25.375" style="15" bestFit="1" customWidth="1"/>
    <col min="13" max="13" width="9.5" customWidth="1"/>
    <col min="14" max="14" width="15.875" bestFit="1" customWidth="1"/>
  </cols>
  <sheetData>
    <row r="1" spans="4:12" ht="20.25">
      <c r="D1" s="157"/>
      <c r="E1" s="158"/>
      <c r="F1" s="158"/>
      <c r="G1" s="158"/>
      <c r="H1" s="158"/>
      <c r="I1" s="158"/>
      <c r="J1" s="158"/>
      <c r="K1" s="158"/>
      <c r="L1" s="158"/>
    </row>
    <row r="2" spans="4:12" ht="31.5">
      <c r="D2" s="159" t="s">
        <v>0</v>
      </c>
      <c r="E2" s="159"/>
      <c r="F2" s="159"/>
      <c r="G2" s="159"/>
      <c r="H2" s="1" t="s">
        <v>1</v>
      </c>
      <c r="I2" s="1" t="s">
        <v>2</v>
      </c>
      <c r="J2" s="1" t="s">
        <v>3</v>
      </c>
      <c r="K2" s="2" t="s">
        <v>4</v>
      </c>
      <c r="L2" s="2" t="s">
        <v>5</v>
      </c>
    </row>
    <row r="3" spans="4:12" ht="18">
      <c r="D3" s="160"/>
      <c r="E3" s="161"/>
      <c r="F3" s="162" t="s">
        <v>6</v>
      </c>
      <c r="G3" s="162"/>
      <c r="H3" s="3"/>
      <c r="I3" s="3"/>
      <c r="J3" s="4"/>
      <c r="K3" s="5">
        <v>46051</v>
      </c>
      <c r="L3" s="6">
        <v>46231</v>
      </c>
    </row>
    <row r="4" spans="4:12" ht="15.75">
      <c r="D4" s="163" t="s">
        <v>7</v>
      </c>
      <c r="E4" s="164"/>
      <c r="F4" s="165"/>
      <c r="G4" s="166"/>
      <c r="H4" s="167" t="s">
        <v>8</v>
      </c>
      <c r="I4" s="168"/>
      <c r="J4" s="169"/>
      <c r="K4" s="7">
        <v>180</v>
      </c>
      <c r="L4" s="8" t="s">
        <v>9</v>
      </c>
    </row>
    <row r="5" spans="4:12">
      <c r="D5" s="9"/>
      <c r="E5" s="10"/>
      <c r="F5" s="11"/>
      <c r="G5" s="10"/>
      <c r="H5" s="10"/>
      <c r="I5" s="10"/>
      <c r="J5" s="10"/>
      <c r="K5" s="10"/>
      <c r="L5" s="10"/>
    </row>
    <row r="6" spans="4:12" ht="18">
      <c r="D6" s="167" t="s">
        <v>10</v>
      </c>
      <c r="E6" s="168"/>
      <c r="F6" s="169"/>
      <c r="G6" s="170" t="s">
        <v>11</v>
      </c>
      <c r="H6" s="171"/>
      <c r="I6" s="171"/>
      <c r="J6" s="171"/>
      <c r="K6" s="171"/>
      <c r="L6" s="171"/>
    </row>
    <row r="7" spans="4:12" ht="18">
      <c r="D7" s="163" t="s">
        <v>12</v>
      </c>
      <c r="E7" s="172"/>
      <c r="F7" s="164"/>
      <c r="G7" s="170" t="s">
        <v>13</v>
      </c>
      <c r="H7" s="171"/>
      <c r="I7" s="171"/>
      <c r="J7" s="171"/>
      <c r="K7" s="171"/>
      <c r="L7" s="171"/>
    </row>
    <row r="8" spans="4:12">
      <c r="D8" s="12"/>
      <c r="E8" s="13"/>
      <c r="F8" s="13"/>
      <c r="G8" s="13"/>
      <c r="H8" s="13"/>
      <c r="I8" s="13"/>
      <c r="J8" s="13"/>
      <c r="K8" s="13"/>
      <c r="L8" s="13"/>
    </row>
    <row r="9" spans="4:12" ht="15">
      <c r="F9" s="16"/>
      <c r="G9" s="173" t="s">
        <v>14</v>
      </c>
      <c r="H9" s="174"/>
      <c r="I9" s="17" t="s">
        <v>15</v>
      </c>
      <c r="J9" s="17" t="s">
        <v>16</v>
      </c>
      <c r="K9" s="17" t="s">
        <v>17</v>
      </c>
      <c r="L9" s="17" t="s">
        <v>18</v>
      </c>
    </row>
    <row r="10" spans="4:12" ht="15.75">
      <c r="D10" s="18"/>
      <c r="E10" s="19"/>
      <c r="F10" s="19"/>
      <c r="G10" s="155" t="s">
        <v>19</v>
      </c>
      <c r="H10" s="156"/>
      <c r="I10" s="20">
        <v>810030</v>
      </c>
      <c r="J10" s="20">
        <v>10</v>
      </c>
      <c r="K10" s="20">
        <v>7317011</v>
      </c>
      <c r="L10" s="21">
        <f t="shared" ref="L10:L25" si="0">SUMIF($D$30:$D$219,I10,$L$30:$L$219)</f>
        <v>228768.96</v>
      </c>
    </row>
    <row r="11" spans="4:12" ht="15.75">
      <c r="D11" s="18"/>
      <c r="E11" s="19"/>
      <c r="F11" s="19"/>
      <c r="G11" s="155" t="s">
        <v>20</v>
      </c>
      <c r="H11" s="156"/>
      <c r="I11" s="20">
        <v>810031</v>
      </c>
      <c r="J11" s="20">
        <v>20</v>
      </c>
      <c r="K11" s="20">
        <v>7316000</v>
      </c>
      <c r="L11" s="21">
        <f t="shared" si="0"/>
        <v>41600</v>
      </c>
    </row>
    <row r="12" spans="4:12" ht="15.75">
      <c r="D12" s="18"/>
      <c r="E12" s="19"/>
      <c r="F12" s="19"/>
      <c r="G12" s="155" t="s">
        <v>21</v>
      </c>
      <c r="H12" s="156"/>
      <c r="I12" s="20">
        <v>810040</v>
      </c>
      <c r="J12" s="20">
        <v>30</v>
      </c>
      <c r="K12" s="20">
        <v>7317000</v>
      </c>
      <c r="L12" s="21">
        <f t="shared" si="0"/>
        <v>0</v>
      </c>
    </row>
    <row r="13" spans="4:12" ht="15.75">
      <c r="D13" s="18"/>
      <c r="E13" s="19"/>
      <c r="F13" s="19"/>
      <c r="G13" s="155" t="s">
        <v>22</v>
      </c>
      <c r="H13" s="156"/>
      <c r="I13" s="20">
        <v>810041</v>
      </c>
      <c r="J13" s="20">
        <v>40</v>
      </c>
      <c r="K13" s="20">
        <v>7317120</v>
      </c>
      <c r="L13" s="21">
        <f t="shared" si="0"/>
        <v>673309.29</v>
      </c>
    </row>
    <row r="14" spans="4:12" ht="15.75">
      <c r="D14" s="18"/>
      <c r="E14" s="19"/>
      <c r="F14" s="19"/>
      <c r="G14" s="155" t="s">
        <v>23</v>
      </c>
      <c r="H14" s="156"/>
      <c r="I14" s="20">
        <v>810051</v>
      </c>
      <c r="J14" s="20">
        <v>50</v>
      </c>
      <c r="K14" s="20">
        <v>7317002</v>
      </c>
      <c r="L14" s="21">
        <f t="shared" si="0"/>
        <v>305865.13000000006</v>
      </c>
    </row>
    <row r="15" spans="4:12" ht="15.75">
      <c r="D15" s="18"/>
      <c r="E15" s="19"/>
      <c r="F15" s="19"/>
      <c r="G15" s="155" t="s">
        <v>24</v>
      </c>
      <c r="H15" s="156"/>
      <c r="I15" s="20">
        <v>810080</v>
      </c>
      <c r="J15" s="20">
        <v>60</v>
      </c>
      <c r="K15" s="20">
        <v>7361002</v>
      </c>
      <c r="L15" s="21">
        <f t="shared" si="0"/>
        <v>943580.64000000013</v>
      </c>
    </row>
    <row r="16" spans="4:12" ht="15.75">
      <c r="D16" s="18"/>
      <c r="E16" s="19"/>
      <c r="F16" s="19"/>
      <c r="G16" s="155" t="s">
        <v>25</v>
      </c>
      <c r="H16" s="156"/>
      <c r="I16" s="20">
        <v>810082</v>
      </c>
      <c r="J16" s="20">
        <v>70</v>
      </c>
      <c r="K16" s="20">
        <v>7318000</v>
      </c>
      <c r="L16" s="21">
        <f t="shared" si="0"/>
        <v>20268.52</v>
      </c>
    </row>
    <row r="17" spans="4:14" ht="15.75">
      <c r="D17" s="18"/>
      <c r="E17" s="19"/>
      <c r="F17" s="19"/>
      <c r="G17" s="155" t="s">
        <v>26</v>
      </c>
      <c r="H17" s="156"/>
      <c r="I17" s="20">
        <v>810100</v>
      </c>
      <c r="J17" s="20">
        <v>80</v>
      </c>
      <c r="K17" s="20">
        <v>7317012</v>
      </c>
      <c r="L17" s="21">
        <f t="shared" si="0"/>
        <v>0</v>
      </c>
    </row>
    <row r="18" spans="4:14" ht="15.75">
      <c r="D18" s="18"/>
      <c r="E18" s="19"/>
      <c r="F18" s="19"/>
      <c r="G18" s="155" t="s">
        <v>27</v>
      </c>
      <c r="H18" s="156"/>
      <c r="I18" s="20">
        <v>810162</v>
      </c>
      <c r="J18" s="20">
        <v>90</v>
      </c>
      <c r="K18" s="20">
        <v>7333060</v>
      </c>
      <c r="L18" s="21">
        <f t="shared" si="0"/>
        <v>110523.6</v>
      </c>
    </row>
    <row r="19" spans="4:14" ht="15.75">
      <c r="D19" s="18"/>
      <c r="E19" s="19"/>
      <c r="F19" s="19"/>
      <c r="G19" s="155" t="s">
        <v>28</v>
      </c>
      <c r="H19" s="156"/>
      <c r="I19" s="20">
        <v>810230</v>
      </c>
      <c r="J19" s="20">
        <v>100</v>
      </c>
      <c r="K19" s="20">
        <v>7317003</v>
      </c>
      <c r="L19" s="21">
        <f t="shared" si="0"/>
        <v>0</v>
      </c>
    </row>
    <row r="20" spans="4:14" ht="15.75">
      <c r="D20" s="18"/>
      <c r="E20" s="19"/>
      <c r="F20" s="19"/>
      <c r="G20" s="155" t="s">
        <v>29</v>
      </c>
      <c r="H20" s="156"/>
      <c r="I20" s="20">
        <v>810250</v>
      </c>
      <c r="J20" s="20">
        <v>110</v>
      </c>
      <c r="K20" s="20">
        <v>7317010</v>
      </c>
      <c r="L20" s="21">
        <f t="shared" si="0"/>
        <v>0</v>
      </c>
    </row>
    <row r="21" spans="4:14" ht="15.75">
      <c r="D21" s="18"/>
      <c r="E21" s="19"/>
      <c r="F21" s="19"/>
      <c r="G21" s="155" t="s">
        <v>30</v>
      </c>
      <c r="H21" s="156"/>
      <c r="I21" s="20">
        <v>810260</v>
      </c>
      <c r="J21" s="20">
        <v>120</v>
      </c>
      <c r="K21" s="20">
        <v>7316012</v>
      </c>
      <c r="L21" s="21">
        <f t="shared" si="0"/>
        <v>227809.4</v>
      </c>
    </row>
    <row r="22" spans="4:14" ht="15.75">
      <c r="D22" s="18"/>
      <c r="E22" s="19"/>
      <c r="F22" s="19"/>
      <c r="G22" s="155" t="s">
        <v>31</v>
      </c>
      <c r="H22" s="156"/>
      <c r="I22" s="20">
        <v>810321</v>
      </c>
      <c r="J22" s="20">
        <v>130</v>
      </c>
      <c r="K22" s="20">
        <v>7312130</v>
      </c>
      <c r="L22" s="21">
        <f t="shared" si="0"/>
        <v>0</v>
      </c>
    </row>
    <row r="23" spans="4:14" ht="15.75">
      <c r="D23" s="18"/>
      <c r="E23" s="19"/>
      <c r="F23" s="19"/>
      <c r="G23" s="155" t="s">
        <v>32</v>
      </c>
      <c r="H23" s="156"/>
      <c r="I23" s="20">
        <v>810210</v>
      </c>
      <c r="J23" s="20">
        <v>140</v>
      </c>
      <c r="K23" s="20">
        <v>7332021</v>
      </c>
      <c r="L23" s="21">
        <f t="shared" si="0"/>
        <v>73300</v>
      </c>
    </row>
    <row r="24" spans="4:14" ht="15.75">
      <c r="D24" s="18"/>
      <c r="E24" s="19"/>
      <c r="F24" s="19"/>
      <c r="G24" s="155" t="s">
        <v>33</v>
      </c>
      <c r="H24" s="156"/>
      <c r="I24" s="20">
        <v>810213</v>
      </c>
      <c r="J24" s="20">
        <v>150</v>
      </c>
      <c r="K24" s="20">
        <v>7332023</v>
      </c>
      <c r="L24" s="21">
        <f t="shared" si="0"/>
        <v>379667.26</v>
      </c>
    </row>
    <row r="25" spans="4:14" ht="15.75">
      <c r="D25" s="18"/>
      <c r="E25" s="19"/>
      <c r="F25" s="19"/>
      <c r="G25" s="194"/>
      <c r="H25" s="195"/>
      <c r="I25" s="20" t="s">
        <v>34</v>
      </c>
      <c r="J25" s="20">
        <v>160</v>
      </c>
      <c r="K25" s="20"/>
      <c r="L25" s="21">
        <f t="shared" si="0"/>
        <v>0</v>
      </c>
    </row>
    <row r="26" spans="4:14" ht="18.75">
      <c r="D26" s="18"/>
      <c r="E26" s="19"/>
      <c r="F26" s="19"/>
      <c r="G26" s="175" t="s">
        <v>35</v>
      </c>
      <c r="H26" s="175"/>
      <c r="I26" s="175"/>
      <c r="J26" s="175"/>
      <c r="K26" s="176"/>
      <c r="L26" s="22">
        <f>SUM(L10:L25)</f>
        <v>3004692.8000000007</v>
      </c>
      <c r="N26" s="153"/>
    </row>
    <row r="27" spans="4:14">
      <c r="D27" s="23"/>
      <c r="E27" s="24"/>
      <c r="F27" s="24"/>
      <c r="G27" s="25"/>
      <c r="H27" s="24"/>
      <c r="I27" s="26"/>
      <c r="J27" s="26"/>
      <c r="K27" s="27"/>
      <c r="L27" s="27"/>
    </row>
    <row r="28" spans="4:14">
      <c r="D28" s="177" t="s">
        <v>15</v>
      </c>
      <c r="E28" s="28"/>
      <c r="F28" s="180" t="s">
        <v>16</v>
      </c>
      <c r="G28" s="182" t="s">
        <v>14</v>
      </c>
      <c r="H28" s="29"/>
      <c r="I28" s="30"/>
      <c r="J28" s="184" t="s">
        <v>36</v>
      </c>
      <c r="K28" s="184"/>
      <c r="L28" s="30"/>
    </row>
    <row r="29" spans="4:14">
      <c r="D29" s="178"/>
      <c r="E29" s="31"/>
      <c r="F29" s="181"/>
      <c r="G29" s="183"/>
      <c r="H29" s="185" t="s">
        <v>37</v>
      </c>
      <c r="I29" s="187" t="s">
        <v>38</v>
      </c>
      <c r="J29" s="189" t="s">
        <v>39</v>
      </c>
      <c r="K29" s="189" t="s">
        <v>40</v>
      </c>
      <c r="L29" s="32" t="s">
        <v>35</v>
      </c>
    </row>
    <row r="30" spans="4:14">
      <c r="D30" s="179"/>
      <c r="E30" s="33"/>
      <c r="F30" s="34" t="s">
        <v>41</v>
      </c>
      <c r="G30" s="35" t="s">
        <v>42</v>
      </c>
      <c r="H30" s="186"/>
      <c r="I30" s="188"/>
      <c r="J30" s="190"/>
      <c r="K30" s="190"/>
      <c r="L30" s="36">
        <f>SUM(L31:L44)</f>
        <v>476788.9</v>
      </c>
    </row>
    <row r="31" spans="4:14">
      <c r="D31" s="37">
        <v>810080</v>
      </c>
      <c r="E31" s="191" t="s">
        <v>42</v>
      </c>
      <c r="F31" s="38" t="s">
        <v>43</v>
      </c>
      <c r="G31" s="39" t="s">
        <v>44</v>
      </c>
      <c r="H31" s="38" t="s">
        <v>45</v>
      </c>
      <c r="I31" s="40">
        <v>12</v>
      </c>
      <c r="J31" s="41">
        <v>442</v>
      </c>
      <c r="K31" s="42">
        <v>0</v>
      </c>
      <c r="L31" s="43">
        <f t="shared" ref="L31:L44" si="1">I31*J31+K31*I31</f>
        <v>5304</v>
      </c>
    </row>
    <row r="32" spans="4:14" ht="25.5">
      <c r="D32" s="37">
        <v>810080</v>
      </c>
      <c r="E32" s="192"/>
      <c r="F32" s="38" t="s">
        <v>46</v>
      </c>
      <c r="G32" s="39" t="s">
        <v>47</v>
      </c>
      <c r="H32" s="38" t="s">
        <v>48</v>
      </c>
      <c r="I32" s="40"/>
      <c r="J32" s="41">
        <v>16000</v>
      </c>
      <c r="K32" s="45">
        <v>1800</v>
      </c>
      <c r="L32" s="46">
        <f t="shared" si="1"/>
        <v>0</v>
      </c>
    </row>
    <row r="33" spans="4:14">
      <c r="D33" s="37">
        <v>810080</v>
      </c>
      <c r="E33" s="192"/>
      <c r="F33" s="47" t="s">
        <v>49</v>
      </c>
      <c r="G33" s="39" t="s">
        <v>50</v>
      </c>
      <c r="H33" s="38" t="s">
        <v>48</v>
      </c>
      <c r="I33" s="40">
        <v>1</v>
      </c>
      <c r="J33" s="48">
        <v>64000</v>
      </c>
      <c r="K33" s="42"/>
      <c r="L33" s="43">
        <f t="shared" si="1"/>
        <v>64000</v>
      </c>
      <c r="N33" s="49"/>
    </row>
    <row r="34" spans="4:14">
      <c r="D34" s="37">
        <v>810080</v>
      </c>
      <c r="E34" s="192"/>
      <c r="F34" s="47" t="s">
        <v>51</v>
      </c>
      <c r="G34" s="39" t="s">
        <v>52</v>
      </c>
      <c r="H34" s="38" t="s">
        <v>48</v>
      </c>
      <c r="I34" s="40">
        <v>1</v>
      </c>
      <c r="J34" s="50">
        <v>33000</v>
      </c>
      <c r="K34" s="51"/>
      <c r="L34" s="43">
        <f t="shared" si="1"/>
        <v>33000</v>
      </c>
      <c r="N34" s="49"/>
    </row>
    <row r="35" spans="4:14">
      <c r="D35" s="37">
        <v>810080</v>
      </c>
      <c r="E35" s="192"/>
      <c r="F35" s="38" t="s">
        <v>53</v>
      </c>
      <c r="G35" s="39" t="s">
        <v>54</v>
      </c>
      <c r="H35" s="38" t="s">
        <v>48</v>
      </c>
      <c r="I35" s="40">
        <v>1</v>
      </c>
      <c r="J35" s="52"/>
      <c r="K35" s="53">
        <v>9000</v>
      </c>
      <c r="L35" s="43">
        <f t="shared" si="1"/>
        <v>9000</v>
      </c>
    </row>
    <row r="36" spans="4:14">
      <c r="D36" s="37">
        <v>810080</v>
      </c>
      <c r="E36" s="192"/>
      <c r="F36" s="47" t="s">
        <v>55</v>
      </c>
      <c r="G36" s="39" t="s">
        <v>56</v>
      </c>
      <c r="H36" s="38" t="s">
        <v>57</v>
      </c>
      <c r="I36" s="40">
        <v>180</v>
      </c>
      <c r="J36" s="41">
        <v>70</v>
      </c>
      <c r="K36" s="54">
        <v>400</v>
      </c>
      <c r="L36" s="55">
        <f t="shared" si="1"/>
        <v>84600</v>
      </c>
      <c r="M36" s="49"/>
    </row>
    <row r="37" spans="4:14">
      <c r="D37" s="37">
        <v>810080</v>
      </c>
      <c r="E37" s="192"/>
      <c r="F37" s="47" t="s">
        <v>58</v>
      </c>
      <c r="G37" s="39" t="s">
        <v>59</v>
      </c>
      <c r="H37" s="38" t="s">
        <v>57</v>
      </c>
      <c r="I37" s="40">
        <v>30</v>
      </c>
      <c r="J37" s="52">
        <v>270</v>
      </c>
      <c r="K37" s="42">
        <v>400</v>
      </c>
      <c r="L37" s="55">
        <f t="shared" si="1"/>
        <v>20100</v>
      </c>
    </row>
    <row r="38" spans="4:14" ht="38.25">
      <c r="D38" s="37">
        <v>810080</v>
      </c>
      <c r="E38" s="192"/>
      <c r="F38" s="47" t="s">
        <v>60</v>
      </c>
      <c r="G38" s="39" t="s">
        <v>61</v>
      </c>
      <c r="H38" s="38" t="s">
        <v>48</v>
      </c>
      <c r="I38" s="40">
        <v>1</v>
      </c>
      <c r="J38" s="56">
        <v>42000</v>
      </c>
      <c r="K38" s="54">
        <v>4100</v>
      </c>
      <c r="L38" s="55">
        <f t="shared" si="1"/>
        <v>46100</v>
      </c>
    </row>
    <row r="39" spans="4:14" ht="25.5">
      <c r="D39" s="37">
        <v>810080</v>
      </c>
      <c r="E39" s="192"/>
      <c r="F39" s="38" t="s">
        <v>62</v>
      </c>
      <c r="G39" s="39" t="s">
        <v>63</v>
      </c>
      <c r="H39" s="38" t="s">
        <v>48</v>
      </c>
      <c r="I39" s="40">
        <v>1</v>
      </c>
      <c r="J39" s="52">
        <v>5500</v>
      </c>
      <c r="K39" s="42"/>
      <c r="L39" s="55">
        <f t="shared" si="1"/>
        <v>5500</v>
      </c>
    </row>
    <row r="40" spans="4:14" ht="38.25">
      <c r="D40" s="37">
        <v>810080</v>
      </c>
      <c r="E40" s="192"/>
      <c r="F40" s="38" t="s">
        <v>64</v>
      </c>
      <c r="G40" s="39" t="s">
        <v>65</v>
      </c>
      <c r="H40" s="38" t="s">
        <v>48</v>
      </c>
      <c r="I40" s="40">
        <v>1</v>
      </c>
      <c r="J40" s="41">
        <v>1600</v>
      </c>
      <c r="K40" s="42"/>
      <c r="L40" s="55">
        <f t="shared" si="1"/>
        <v>1600</v>
      </c>
    </row>
    <row r="41" spans="4:14">
      <c r="D41" s="37">
        <v>810080</v>
      </c>
      <c r="E41" s="192"/>
      <c r="F41" s="47" t="s">
        <v>66</v>
      </c>
      <c r="G41" s="39" t="s">
        <v>67</v>
      </c>
      <c r="H41" s="38" t="s">
        <v>48</v>
      </c>
      <c r="I41" s="40">
        <v>1</v>
      </c>
      <c r="J41" s="41">
        <v>20000</v>
      </c>
      <c r="K41" s="42"/>
      <c r="L41" s="43">
        <f t="shared" si="1"/>
        <v>20000</v>
      </c>
    </row>
    <row r="42" spans="4:14">
      <c r="D42" s="37">
        <v>810080</v>
      </c>
      <c r="E42" s="192"/>
      <c r="F42" s="38" t="s">
        <v>68</v>
      </c>
      <c r="G42" s="39" t="s">
        <v>69</v>
      </c>
      <c r="H42" s="38" t="s">
        <v>70</v>
      </c>
      <c r="I42" s="40">
        <v>135.87</v>
      </c>
      <c r="J42" s="52">
        <v>210</v>
      </c>
      <c r="K42" s="42">
        <v>60</v>
      </c>
      <c r="L42" s="55">
        <f t="shared" si="1"/>
        <v>36684.9</v>
      </c>
    </row>
    <row r="43" spans="4:14">
      <c r="D43" s="37">
        <v>810080</v>
      </c>
      <c r="E43" s="192"/>
      <c r="F43" s="38" t="s">
        <v>71</v>
      </c>
      <c r="G43" s="39" t="s">
        <v>72</v>
      </c>
      <c r="H43" s="38" t="s">
        <v>73</v>
      </c>
      <c r="I43" s="40">
        <v>6</v>
      </c>
      <c r="J43" s="52"/>
      <c r="K43" s="45">
        <v>17500</v>
      </c>
      <c r="L43" s="43">
        <f t="shared" si="1"/>
        <v>105000</v>
      </c>
    </row>
    <row r="44" spans="4:14">
      <c r="D44" s="37">
        <v>810080</v>
      </c>
      <c r="E44" s="193"/>
      <c r="F44" s="38" t="s">
        <v>74</v>
      </c>
      <c r="G44" s="39" t="s">
        <v>75</v>
      </c>
      <c r="H44" s="38" t="s">
        <v>73</v>
      </c>
      <c r="I44" s="40">
        <v>6</v>
      </c>
      <c r="J44" s="41">
        <v>1150</v>
      </c>
      <c r="K44" s="45">
        <v>6500</v>
      </c>
      <c r="L44" s="43">
        <f t="shared" si="1"/>
        <v>45900</v>
      </c>
    </row>
    <row r="45" spans="4:14">
      <c r="D45" s="57"/>
      <c r="E45" s="57"/>
      <c r="F45" s="57" t="s">
        <v>76</v>
      </c>
      <c r="G45" s="58" t="s">
        <v>77</v>
      </c>
      <c r="H45" s="57"/>
      <c r="I45" s="59"/>
      <c r="J45" s="60"/>
      <c r="K45" s="61"/>
      <c r="L45" s="62">
        <f>SUM(L47:L75)</f>
        <v>627378.9800000001</v>
      </c>
    </row>
    <row r="46" spans="4:14">
      <c r="D46" s="63"/>
      <c r="E46" s="64"/>
      <c r="F46" s="63"/>
      <c r="G46" s="65" t="s">
        <v>78</v>
      </c>
      <c r="H46" s="66"/>
      <c r="I46" s="67"/>
      <c r="J46" s="68"/>
      <c r="K46" s="69"/>
      <c r="L46" s="70"/>
    </row>
    <row r="47" spans="4:14">
      <c r="D47" s="71">
        <v>810080</v>
      </c>
      <c r="E47" s="192" t="s">
        <v>77</v>
      </c>
      <c r="F47" s="38" t="s">
        <v>79</v>
      </c>
      <c r="G47" s="39" t="s">
        <v>80</v>
      </c>
      <c r="H47" s="72" t="s">
        <v>70</v>
      </c>
      <c r="I47" s="40">
        <v>0</v>
      </c>
      <c r="J47" s="52"/>
      <c r="K47" s="42"/>
      <c r="L47" s="43">
        <f t="shared" ref="L47:L52" si="2">I47*J47+K47*I47</f>
        <v>0</v>
      </c>
    </row>
    <row r="48" spans="4:14">
      <c r="D48" s="71">
        <v>810030</v>
      </c>
      <c r="E48" s="192"/>
      <c r="F48" s="38" t="s">
        <v>81</v>
      </c>
      <c r="G48" s="73" t="s">
        <v>82</v>
      </c>
      <c r="H48" s="72" t="s">
        <v>70</v>
      </c>
      <c r="I48" s="40">
        <v>0</v>
      </c>
      <c r="J48" s="52"/>
      <c r="K48" s="42"/>
      <c r="L48" s="43">
        <f t="shared" si="2"/>
        <v>0</v>
      </c>
    </row>
    <row r="49" spans="4:13" ht="25.5">
      <c r="D49" s="71">
        <v>810041</v>
      </c>
      <c r="E49" s="192"/>
      <c r="F49" s="38" t="s">
        <v>83</v>
      </c>
      <c r="G49" s="39" t="s">
        <v>84</v>
      </c>
      <c r="H49" s="72" t="s">
        <v>70</v>
      </c>
      <c r="I49" s="74">
        <v>86</v>
      </c>
      <c r="J49" s="48">
        <v>16.8</v>
      </c>
      <c r="K49" s="75">
        <v>22</v>
      </c>
      <c r="L49" s="43">
        <f t="shared" si="2"/>
        <v>3336.8</v>
      </c>
      <c r="M49" s="76" t="s">
        <v>85</v>
      </c>
    </row>
    <row r="50" spans="4:13">
      <c r="D50" s="71">
        <v>810041</v>
      </c>
      <c r="E50" s="192"/>
      <c r="F50" s="38" t="s">
        <v>86</v>
      </c>
      <c r="G50" s="39" t="s">
        <v>87</v>
      </c>
      <c r="H50" s="72" t="str">
        <f>H49</f>
        <v>m²</v>
      </c>
      <c r="I50" s="40"/>
      <c r="J50" s="77"/>
      <c r="K50" s="78"/>
      <c r="L50" s="79">
        <f t="shared" si="2"/>
        <v>0</v>
      </c>
    </row>
    <row r="51" spans="4:13">
      <c r="D51" s="71">
        <v>810041</v>
      </c>
      <c r="E51" s="192"/>
      <c r="F51" s="38" t="s">
        <v>88</v>
      </c>
      <c r="G51" s="39" t="s">
        <v>89</v>
      </c>
      <c r="H51" s="72" t="str">
        <f>H50</f>
        <v>m²</v>
      </c>
      <c r="I51" s="74">
        <v>28</v>
      </c>
      <c r="J51" s="41">
        <v>32</v>
      </c>
      <c r="K51" s="45">
        <v>40</v>
      </c>
      <c r="L51" s="43">
        <f t="shared" si="2"/>
        <v>2016</v>
      </c>
    </row>
    <row r="52" spans="4:13" ht="25.5">
      <c r="D52" s="71">
        <v>810031</v>
      </c>
      <c r="E52" s="192"/>
      <c r="F52" s="80" t="s">
        <v>90</v>
      </c>
      <c r="G52" s="39" t="s">
        <v>91</v>
      </c>
      <c r="H52" s="72" t="s">
        <v>92</v>
      </c>
      <c r="I52" s="40">
        <v>13</v>
      </c>
      <c r="J52" s="52">
        <v>2300</v>
      </c>
      <c r="K52" s="42">
        <v>900</v>
      </c>
      <c r="L52" s="43">
        <f t="shared" si="2"/>
        <v>41600</v>
      </c>
    </row>
    <row r="53" spans="4:13">
      <c r="D53" s="71"/>
      <c r="E53" s="192"/>
      <c r="F53" s="63"/>
      <c r="G53" s="65" t="s">
        <v>93</v>
      </c>
      <c r="H53" s="66"/>
      <c r="I53" s="67"/>
      <c r="J53" s="68"/>
      <c r="K53" s="69"/>
      <c r="L53" s="70"/>
    </row>
    <row r="54" spans="4:13">
      <c r="D54" s="71">
        <v>810041</v>
      </c>
      <c r="E54" s="192"/>
      <c r="F54" s="38" t="s">
        <v>94</v>
      </c>
      <c r="G54" s="39" t="s">
        <v>95</v>
      </c>
      <c r="H54" s="72" t="s">
        <v>70</v>
      </c>
      <c r="I54" s="40"/>
      <c r="J54" s="77"/>
      <c r="K54" s="42">
        <v>40</v>
      </c>
      <c r="L54" s="81">
        <f>I54*J54+K54*I54</f>
        <v>0</v>
      </c>
    </row>
    <row r="55" spans="4:13" ht="25.5">
      <c r="D55" s="71">
        <v>810041</v>
      </c>
      <c r="E55" s="192"/>
      <c r="F55" s="47" t="s">
        <v>96</v>
      </c>
      <c r="G55" s="73" t="s">
        <v>97</v>
      </c>
      <c r="H55" s="72" t="s">
        <v>70</v>
      </c>
      <c r="I55" s="40">
        <v>1655.5900000000001</v>
      </c>
      <c r="J55" s="52"/>
      <c r="K55" s="45">
        <v>70</v>
      </c>
      <c r="L55" s="82">
        <f>I55*J55+K55*I55</f>
        <v>115891.30000000002</v>
      </c>
      <c r="M55" s="83" t="s">
        <v>85</v>
      </c>
    </row>
    <row r="56" spans="4:13">
      <c r="D56" s="71"/>
      <c r="E56" s="192"/>
      <c r="F56" s="38" t="s">
        <v>98</v>
      </c>
      <c r="G56" s="73" t="s">
        <v>99</v>
      </c>
      <c r="H56" s="72" t="s">
        <v>70</v>
      </c>
      <c r="I56" s="40"/>
      <c r="J56" s="84"/>
      <c r="K56" s="85"/>
      <c r="L56" s="43"/>
    </row>
    <row r="57" spans="4:13" ht="15">
      <c r="D57" s="71">
        <v>810041</v>
      </c>
      <c r="E57" s="192"/>
      <c r="F57" s="38" t="s">
        <v>100</v>
      </c>
      <c r="G57" s="73" t="s">
        <v>101</v>
      </c>
      <c r="H57" s="72" t="s">
        <v>70</v>
      </c>
      <c r="I57" s="74">
        <v>1576</v>
      </c>
      <c r="J57" s="48">
        <v>19.5</v>
      </c>
      <c r="K57" s="75">
        <v>23</v>
      </c>
      <c r="L57" s="43">
        <f t="shared" ref="L57:L63" si="3">I57*J57+K57*I57</f>
        <v>66980</v>
      </c>
      <c r="M57" s="83" t="s">
        <v>85</v>
      </c>
    </row>
    <row r="58" spans="4:13" ht="25.5">
      <c r="D58" s="71">
        <v>810041</v>
      </c>
      <c r="E58" s="192"/>
      <c r="F58" s="47" t="s">
        <v>102</v>
      </c>
      <c r="G58" s="86" t="s">
        <v>103</v>
      </c>
      <c r="H58" s="72" t="s">
        <v>48</v>
      </c>
      <c r="I58" s="40">
        <v>1</v>
      </c>
      <c r="J58" s="41">
        <v>30000</v>
      </c>
      <c r="K58" s="45">
        <v>20000</v>
      </c>
      <c r="L58" s="43">
        <f t="shared" si="3"/>
        <v>50000</v>
      </c>
    </row>
    <row r="59" spans="4:13" ht="25.5">
      <c r="D59" s="71">
        <v>810230</v>
      </c>
      <c r="E59" s="192"/>
      <c r="F59" s="38" t="s">
        <v>104</v>
      </c>
      <c r="G59" s="73" t="s">
        <v>105</v>
      </c>
      <c r="H59" s="72" t="s">
        <v>106</v>
      </c>
      <c r="I59" s="40"/>
      <c r="J59" s="77"/>
      <c r="K59" s="78"/>
      <c r="L59" s="43">
        <f t="shared" si="3"/>
        <v>0</v>
      </c>
    </row>
    <row r="60" spans="4:13" ht="25.5">
      <c r="D60" s="71">
        <v>810041</v>
      </c>
      <c r="E60" s="192"/>
      <c r="F60" s="38" t="s">
        <v>107</v>
      </c>
      <c r="G60" s="73" t="s">
        <v>108</v>
      </c>
      <c r="H60" s="72" t="s">
        <v>106</v>
      </c>
      <c r="I60" s="40"/>
      <c r="J60" s="77"/>
      <c r="K60" s="78"/>
      <c r="L60" s="43">
        <f t="shared" si="3"/>
        <v>0</v>
      </c>
    </row>
    <row r="61" spans="4:13">
      <c r="D61" s="71">
        <v>810210</v>
      </c>
      <c r="E61" s="192"/>
      <c r="F61" s="38" t="s">
        <v>109</v>
      </c>
      <c r="G61" s="73" t="s">
        <v>110</v>
      </c>
      <c r="H61" s="72" t="s">
        <v>48</v>
      </c>
      <c r="I61" s="40">
        <v>1</v>
      </c>
      <c r="J61" s="41">
        <v>30000</v>
      </c>
      <c r="K61" s="45">
        <v>20000</v>
      </c>
      <c r="L61" s="43">
        <f t="shared" si="3"/>
        <v>50000</v>
      </c>
    </row>
    <row r="62" spans="4:13">
      <c r="D62" s="71">
        <v>810210</v>
      </c>
      <c r="E62" s="192"/>
      <c r="F62" s="38" t="s">
        <v>111</v>
      </c>
      <c r="G62" s="73" t="s">
        <v>112</v>
      </c>
      <c r="H62" s="72" t="s">
        <v>48</v>
      </c>
      <c r="I62" s="40">
        <v>1</v>
      </c>
      <c r="J62" s="52">
        <v>12800</v>
      </c>
      <c r="K62" s="42">
        <v>10500</v>
      </c>
      <c r="L62" s="43">
        <f t="shared" si="3"/>
        <v>23300</v>
      </c>
    </row>
    <row r="63" spans="4:13" ht="25.5">
      <c r="D63" s="71">
        <v>810041</v>
      </c>
      <c r="E63" s="192"/>
      <c r="F63" s="38" t="s">
        <v>113</v>
      </c>
      <c r="G63" s="73" t="s">
        <v>114</v>
      </c>
      <c r="H63" s="87" t="s">
        <v>70</v>
      </c>
      <c r="I63" s="74">
        <v>41.21</v>
      </c>
      <c r="J63" s="48">
        <v>22</v>
      </c>
      <c r="K63" s="75">
        <v>23</v>
      </c>
      <c r="L63" s="43">
        <f t="shared" si="3"/>
        <v>1854.45</v>
      </c>
      <c r="M63" s="83" t="s">
        <v>85</v>
      </c>
    </row>
    <row r="64" spans="4:13">
      <c r="D64" s="71">
        <v>810051</v>
      </c>
      <c r="E64" s="192"/>
      <c r="F64" s="63"/>
      <c r="G64" s="65" t="s">
        <v>115</v>
      </c>
      <c r="H64" s="66"/>
      <c r="I64" s="67"/>
      <c r="J64" s="68"/>
      <c r="K64" s="69"/>
      <c r="L64" s="70"/>
    </row>
    <row r="65" spans="4:13" ht="15">
      <c r="D65" s="71">
        <v>810051</v>
      </c>
      <c r="E65" s="192"/>
      <c r="F65" s="47" t="s">
        <v>116</v>
      </c>
      <c r="G65" s="86" t="s">
        <v>117</v>
      </c>
      <c r="H65" s="72" t="s">
        <v>70</v>
      </c>
      <c r="I65" s="40">
        <v>1187.72</v>
      </c>
      <c r="J65" s="48">
        <v>15</v>
      </c>
      <c r="K65" s="45">
        <v>35</v>
      </c>
      <c r="L65" s="43">
        <f t="shared" ref="L65:L70" si="4">I65*J65+K65*I65</f>
        <v>59386</v>
      </c>
      <c r="M65" s="83" t="s">
        <v>85</v>
      </c>
    </row>
    <row r="66" spans="4:13">
      <c r="D66" s="71">
        <v>810051</v>
      </c>
      <c r="E66" s="192"/>
      <c r="F66" s="38" t="s">
        <v>118</v>
      </c>
      <c r="G66" s="39" t="s">
        <v>119</v>
      </c>
      <c r="H66" s="72" t="s">
        <v>70</v>
      </c>
      <c r="I66" s="40">
        <v>1187.72</v>
      </c>
      <c r="J66" s="41">
        <v>8</v>
      </c>
      <c r="K66" s="45">
        <v>25</v>
      </c>
      <c r="L66" s="43">
        <f t="shared" si="4"/>
        <v>39194.76</v>
      </c>
    </row>
    <row r="67" spans="4:13" ht="25.5">
      <c r="D67" s="71">
        <v>810051</v>
      </c>
      <c r="E67" s="192"/>
      <c r="F67" s="38" t="s">
        <v>120</v>
      </c>
      <c r="G67" s="73" t="s">
        <v>121</v>
      </c>
      <c r="H67" s="72" t="s">
        <v>70</v>
      </c>
      <c r="I67" s="40">
        <v>1832.41</v>
      </c>
      <c r="J67" s="52"/>
      <c r="K67" s="75">
        <v>87</v>
      </c>
      <c r="L67" s="43">
        <f t="shared" si="4"/>
        <v>159419.67000000001</v>
      </c>
      <c r="M67" s="83" t="s">
        <v>85</v>
      </c>
    </row>
    <row r="68" spans="4:13" ht="25.5">
      <c r="D68" s="71">
        <v>810051</v>
      </c>
      <c r="E68" s="192"/>
      <c r="F68" s="38" t="s">
        <v>122</v>
      </c>
      <c r="G68" s="39" t="s">
        <v>123</v>
      </c>
      <c r="H68" s="72" t="s">
        <v>124</v>
      </c>
      <c r="I68" s="40"/>
      <c r="J68" s="88"/>
      <c r="K68" s="42"/>
      <c r="L68" s="43">
        <f t="shared" si="4"/>
        <v>0</v>
      </c>
      <c r="M68" t="s">
        <v>432</v>
      </c>
    </row>
    <row r="69" spans="4:13" ht="15">
      <c r="D69" s="71">
        <v>810051</v>
      </c>
      <c r="E69" s="192"/>
      <c r="F69" s="38" t="s">
        <v>125</v>
      </c>
      <c r="G69" s="39" t="s">
        <v>126</v>
      </c>
      <c r="H69" s="72" t="s">
        <v>124</v>
      </c>
      <c r="I69" s="40">
        <v>80</v>
      </c>
      <c r="J69" s="52">
        <v>150</v>
      </c>
      <c r="K69" s="42">
        <v>30</v>
      </c>
      <c r="L69" s="43">
        <f t="shared" si="4"/>
        <v>14400</v>
      </c>
      <c r="M69" s="76" t="s">
        <v>127</v>
      </c>
    </row>
    <row r="70" spans="4:13" ht="38.25">
      <c r="D70" s="71">
        <v>810051</v>
      </c>
      <c r="E70" s="192"/>
      <c r="F70" s="38" t="s">
        <v>128</v>
      </c>
      <c r="G70" s="39" t="s">
        <v>129</v>
      </c>
      <c r="H70" s="72" t="s">
        <v>70</v>
      </c>
      <c r="I70" s="40">
        <v>115.4</v>
      </c>
      <c r="J70" s="52">
        <v>0</v>
      </c>
      <c r="K70" s="75">
        <v>0</v>
      </c>
      <c r="L70" s="43">
        <f t="shared" si="4"/>
        <v>0</v>
      </c>
    </row>
    <row r="71" spans="4:13">
      <c r="D71" s="71">
        <v>810210</v>
      </c>
      <c r="E71" s="192"/>
      <c r="F71" s="63"/>
      <c r="G71" s="65" t="s">
        <v>130</v>
      </c>
      <c r="H71" s="66"/>
      <c r="I71" s="67"/>
      <c r="J71" s="68"/>
      <c r="K71" s="69"/>
      <c r="L71" s="70"/>
    </row>
    <row r="72" spans="4:13">
      <c r="D72" s="71">
        <v>810210</v>
      </c>
      <c r="E72" s="192"/>
      <c r="F72" s="38" t="s">
        <v>131</v>
      </c>
      <c r="G72" s="39" t="s">
        <v>132</v>
      </c>
      <c r="H72" s="38" t="s">
        <v>70</v>
      </c>
      <c r="I72" s="40">
        <v>0</v>
      </c>
      <c r="J72" s="88"/>
      <c r="K72" s="89"/>
      <c r="L72" s="43">
        <f>I72*J72+K72*I72</f>
        <v>0</v>
      </c>
    </row>
    <row r="73" spans="4:13">
      <c r="D73" s="71">
        <v>810210</v>
      </c>
      <c r="E73" s="192"/>
      <c r="F73" s="38" t="s">
        <v>133</v>
      </c>
      <c r="G73" s="39" t="s">
        <v>134</v>
      </c>
      <c r="H73" s="38" t="s">
        <v>106</v>
      </c>
      <c r="I73" s="40">
        <v>0</v>
      </c>
      <c r="J73" s="52"/>
      <c r="K73" s="42"/>
      <c r="L73" s="43">
        <f>I73*J73+K73*I73</f>
        <v>0</v>
      </c>
    </row>
    <row r="74" spans="4:13">
      <c r="D74" s="71">
        <v>810210</v>
      </c>
      <c r="E74" s="192"/>
      <c r="F74" s="38" t="s">
        <v>135</v>
      </c>
      <c r="G74" s="39" t="s">
        <v>136</v>
      </c>
      <c r="H74" s="38" t="s">
        <v>106</v>
      </c>
      <c r="I74" s="40">
        <v>0</v>
      </c>
      <c r="J74" s="52"/>
      <c r="K74" s="42"/>
      <c r="L74" s="43">
        <f>I74*J74+K74*I74</f>
        <v>0</v>
      </c>
    </row>
    <row r="75" spans="4:13">
      <c r="D75" s="71">
        <v>810210</v>
      </c>
      <c r="E75" s="193"/>
      <c r="F75" s="38" t="s">
        <v>137</v>
      </c>
      <c r="G75" s="39" t="s">
        <v>138</v>
      </c>
      <c r="H75" s="38" t="s">
        <v>106</v>
      </c>
      <c r="I75" s="40"/>
      <c r="J75" s="88"/>
      <c r="K75" s="89"/>
      <c r="L75" s="43">
        <f>I75*J75+K75*I75</f>
        <v>0</v>
      </c>
    </row>
    <row r="76" spans="4:13">
      <c r="D76" s="90"/>
      <c r="E76" s="90"/>
      <c r="F76" s="57" t="s">
        <v>139</v>
      </c>
      <c r="G76" s="58" t="s">
        <v>140</v>
      </c>
      <c r="H76" s="57"/>
      <c r="I76" s="59"/>
      <c r="J76" s="59"/>
      <c r="K76" s="59"/>
      <c r="L76" s="62">
        <f>SUM(L77:L97)</f>
        <v>365267.26</v>
      </c>
    </row>
    <row r="77" spans="4:13" ht="38.25">
      <c r="D77" s="71">
        <v>810213</v>
      </c>
      <c r="E77" s="191" t="s">
        <v>140</v>
      </c>
      <c r="F77" s="38" t="s">
        <v>141</v>
      </c>
      <c r="G77" s="39" t="s">
        <v>142</v>
      </c>
      <c r="H77" s="72" t="s">
        <v>70</v>
      </c>
      <c r="I77" s="40"/>
      <c r="J77" s="91">
        <v>0</v>
      </c>
      <c r="K77" s="92"/>
      <c r="L77" s="43">
        <f t="shared" ref="L77:L97" si="5">I77*J77+K77*I77</f>
        <v>0</v>
      </c>
    </row>
    <row r="78" spans="4:13">
      <c r="D78" s="71">
        <v>810213</v>
      </c>
      <c r="E78" s="192"/>
      <c r="F78" s="38" t="s">
        <v>143</v>
      </c>
      <c r="G78" s="39" t="s">
        <v>144</v>
      </c>
      <c r="H78" s="72" t="s">
        <v>70</v>
      </c>
      <c r="I78" s="40"/>
      <c r="J78" s="91"/>
      <c r="K78" s="92"/>
      <c r="L78" s="43">
        <f t="shared" si="5"/>
        <v>0</v>
      </c>
    </row>
    <row r="79" spans="4:13" ht="25.5">
      <c r="D79" s="71">
        <v>810213</v>
      </c>
      <c r="E79" s="192"/>
      <c r="F79" s="38" t="s">
        <v>145</v>
      </c>
      <c r="G79" s="39" t="s">
        <v>146</v>
      </c>
      <c r="H79" s="72" t="s">
        <v>70</v>
      </c>
      <c r="I79" s="40"/>
      <c r="J79" s="91">
        <v>0</v>
      </c>
      <c r="K79" s="92"/>
      <c r="L79" s="43">
        <f t="shared" si="5"/>
        <v>0</v>
      </c>
    </row>
    <row r="80" spans="4:13">
      <c r="D80" s="71">
        <v>810213</v>
      </c>
      <c r="E80" s="192"/>
      <c r="F80" s="38" t="s">
        <v>147</v>
      </c>
      <c r="G80" s="39" t="s">
        <v>148</v>
      </c>
      <c r="H80" s="38" t="s">
        <v>106</v>
      </c>
      <c r="I80" s="40">
        <v>40</v>
      </c>
      <c r="J80" s="91">
        <v>70</v>
      </c>
      <c r="K80" s="92">
        <v>30</v>
      </c>
      <c r="L80" s="43">
        <f t="shared" si="5"/>
        <v>4000</v>
      </c>
    </row>
    <row r="81" spans="4:14" ht="38.25">
      <c r="D81" s="71">
        <v>810213</v>
      </c>
      <c r="E81" s="192"/>
      <c r="F81" s="38" t="s">
        <v>149</v>
      </c>
      <c r="G81" s="86" t="s">
        <v>150</v>
      </c>
      <c r="H81" s="72" t="s">
        <v>70</v>
      </c>
      <c r="I81" s="40">
        <v>346.98</v>
      </c>
      <c r="J81" s="91">
        <v>0</v>
      </c>
      <c r="K81" s="93">
        <v>87</v>
      </c>
      <c r="L81" s="43">
        <f t="shared" si="5"/>
        <v>30187.260000000002</v>
      </c>
      <c r="M81" s="76" t="s">
        <v>85</v>
      </c>
    </row>
    <row r="82" spans="4:14">
      <c r="D82" s="71">
        <v>810213</v>
      </c>
      <c r="E82" s="192"/>
      <c r="F82" s="38" t="s">
        <v>151</v>
      </c>
      <c r="G82" s="39" t="s">
        <v>126</v>
      </c>
      <c r="H82" s="72" t="s">
        <v>124</v>
      </c>
      <c r="I82" s="40">
        <v>327</v>
      </c>
      <c r="J82" s="91">
        <v>150</v>
      </c>
      <c r="K82" s="92">
        <v>30</v>
      </c>
      <c r="L82" s="43">
        <f t="shared" si="5"/>
        <v>58860</v>
      </c>
    </row>
    <row r="83" spans="4:14" ht="25.5">
      <c r="D83" s="71">
        <v>810213</v>
      </c>
      <c r="E83" s="192"/>
      <c r="F83" s="38" t="s">
        <v>152</v>
      </c>
      <c r="G83" s="39" t="s">
        <v>153</v>
      </c>
      <c r="H83" s="72" t="s">
        <v>106</v>
      </c>
      <c r="I83" s="40">
        <v>40</v>
      </c>
      <c r="J83" s="94">
        <v>450</v>
      </c>
      <c r="K83" s="95">
        <v>30</v>
      </c>
      <c r="L83" s="43">
        <f t="shared" si="5"/>
        <v>19200</v>
      </c>
    </row>
    <row r="84" spans="4:14" ht="25.5">
      <c r="D84" s="71">
        <v>810213</v>
      </c>
      <c r="E84" s="192"/>
      <c r="F84" s="38" t="s">
        <v>154</v>
      </c>
      <c r="G84" s="39" t="s">
        <v>155</v>
      </c>
      <c r="H84" s="72" t="s">
        <v>106</v>
      </c>
      <c r="I84" s="40">
        <v>40</v>
      </c>
      <c r="J84" s="91">
        <v>1200</v>
      </c>
      <c r="K84" s="92">
        <v>80</v>
      </c>
      <c r="L84" s="43">
        <f t="shared" si="5"/>
        <v>51200</v>
      </c>
    </row>
    <row r="85" spans="4:14">
      <c r="D85" s="71">
        <v>810213</v>
      </c>
      <c r="E85" s="192"/>
      <c r="F85" s="38" t="s">
        <v>156</v>
      </c>
      <c r="G85" s="39" t="s">
        <v>157</v>
      </c>
      <c r="H85" s="72" t="s">
        <v>106</v>
      </c>
      <c r="I85" s="40">
        <v>80</v>
      </c>
      <c r="J85" s="96">
        <v>70</v>
      </c>
      <c r="K85" s="97">
        <v>30</v>
      </c>
      <c r="L85" s="43">
        <f t="shared" si="5"/>
        <v>8000</v>
      </c>
    </row>
    <row r="86" spans="4:14" ht="25.5">
      <c r="D86" s="71">
        <v>810213</v>
      </c>
      <c r="E86" s="192"/>
      <c r="F86" s="38" t="s">
        <v>158</v>
      </c>
      <c r="G86" s="39" t="s">
        <v>159</v>
      </c>
      <c r="H86" s="72" t="s">
        <v>70</v>
      </c>
      <c r="I86" s="40">
        <v>7</v>
      </c>
      <c r="J86" s="96">
        <v>700</v>
      </c>
      <c r="K86" s="97">
        <v>60</v>
      </c>
      <c r="L86" s="43">
        <f t="shared" si="5"/>
        <v>5320</v>
      </c>
    </row>
    <row r="87" spans="4:14" ht="25.5">
      <c r="D87" s="71">
        <v>810213</v>
      </c>
      <c r="E87" s="192"/>
      <c r="F87" s="38" t="s">
        <v>160</v>
      </c>
      <c r="G87" s="39" t="s">
        <v>161</v>
      </c>
      <c r="H87" s="38" t="s">
        <v>106</v>
      </c>
      <c r="I87" s="40">
        <v>2</v>
      </c>
      <c r="J87" s="96">
        <v>2900</v>
      </c>
      <c r="K87" s="97">
        <v>300</v>
      </c>
      <c r="L87" s="43">
        <f t="shared" si="5"/>
        <v>6400</v>
      </c>
    </row>
    <row r="88" spans="4:14" ht="15">
      <c r="D88" s="71">
        <v>810213</v>
      </c>
      <c r="E88" s="192"/>
      <c r="F88" s="38" t="s">
        <v>162</v>
      </c>
      <c r="G88" s="39" t="s">
        <v>163</v>
      </c>
      <c r="H88" s="38" t="s">
        <v>48</v>
      </c>
      <c r="I88" s="40">
        <v>2</v>
      </c>
      <c r="J88" s="98">
        <v>5200</v>
      </c>
      <c r="K88" s="93">
        <v>4000</v>
      </c>
      <c r="L88" s="43">
        <f t="shared" si="5"/>
        <v>18400</v>
      </c>
      <c r="M88" s="76" t="s">
        <v>85</v>
      </c>
    </row>
    <row r="89" spans="4:14">
      <c r="D89" s="71">
        <v>810213</v>
      </c>
      <c r="E89" s="192"/>
      <c r="F89" s="47" t="s">
        <v>164</v>
      </c>
      <c r="G89" s="86" t="s">
        <v>165</v>
      </c>
      <c r="H89" s="38" t="s">
        <v>106</v>
      </c>
      <c r="I89" s="40">
        <v>40</v>
      </c>
      <c r="J89" s="94">
        <v>2600</v>
      </c>
      <c r="K89" s="99">
        <v>400</v>
      </c>
      <c r="L89" s="43">
        <f t="shared" si="5"/>
        <v>120000</v>
      </c>
    </row>
    <row r="90" spans="4:14">
      <c r="D90" s="71">
        <v>810213</v>
      </c>
      <c r="E90" s="192"/>
      <c r="F90" s="38" t="s">
        <v>166</v>
      </c>
      <c r="G90" s="39" t="s">
        <v>167</v>
      </c>
      <c r="H90" s="38" t="s">
        <v>48</v>
      </c>
      <c r="I90" s="40">
        <v>40</v>
      </c>
      <c r="J90" s="91"/>
      <c r="K90" s="92">
        <v>350</v>
      </c>
      <c r="L90" s="43">
        <f t="shared" si="5"/>
        <v>14000</v>
      </c>
      <c r="N90" s="49"/>
    </row>
    <row r="91" spans="4:14">
      <c r="D91" s="71">
        <v>810213</v>
      </c>
      <c r="E91" s="192"/>
      <c r="F91" s="38" t="s">
        <v>168</v>
      </c>
      <c r="G91" s="39" t="s">
        <v>169</v>
      </c>
      <c r="H91" s="38" t="s">
        <v>106</v>
      </c>
      <c r="I91" s="40"/>
      <c r="J91" s="94"/>
      <c r="K91" s="99"/>
      <c r="L91" s="43">
        <f t="shared" si="5"/>
        <v>0</v>
      </c>
    </row>
    <row r="92" spans="4:14">
      <c r="D92" s="71">
        <v>810213</v>
      </c>
      <c r="E92" s="192"/>
      <c r="F92" s="38" t="s">
        <v>170</v>
      </c>
      <c r="G92" s="39" t="s">
        <v>132</v>
      </c>
      <c r="H92" s="38" t="s">
        <v>106</v>
      </c>
      <c r="I92" s="100">
        <v>9</v>
      </c>
      <c r="J92" s="101"/>
      <c r="K92" s="102"/>
      <c r="L92" s="43">
        <f t="shared" si="5"/>
        <v>0</v>
      </c>
    </row>
    <row r="93" spans="4:14">
      <c r="D93" s="71">
        <v>810213</v>
      </c>
      <c r="E93" s="192"/>
      <c r="F93" s="38" t="s">
        <v>171</v>
      </c>
      <c r="G93" s="39" t="s">
        <v>172</v>
      </c>
      <c r="H93" s="38" t="s">
        <v>106</v>
      </c>
      <c r="I93" s="40"/>
      <c r="J93" s="91"/>
      <c r="K93" s="92"/>
      <c r="L93" s="43">
        <f t="shared" si="5"/>
        <v>0</v>
      </c>
    </row>
    <row r="94" spans="4:14">
      <c r="D94" s="71">
        <v>810213</v>
      </c>
      <c r="E94" s="192"/>
      <c r="F94" s="38" t="s">
        <v>173</v>
      </c>
      <c r="G94" s="39" t="s">
        <v>174</v>
      </c>
      <c r="H94" s="38" t="s">
        <v>106</v>
      </c>
      <c r="I94" s="40">
        <v>2</v>
      </c>
      <c r="J94" s="94">
        <v>650</v>
      </c>
      <c r="K94" s="99">
        <v>60</v>
      </c>
      <c r="L94" s="43">
        <f t="shared" si="5"/>
        <v>1420</v>
      </c>
    </row>
    <row r="95" spans="4:14">
      <c r="D95" s="71">
        <v>810213</v>
      </c>
      <c r="E95" s="192"/>
      <c r="F95" s="38" t="s">
        <v>175</v>
      </c>
      <c r="G95" s="39" t="s">
        <v>176</v>
      </c>
      <c r="H95" s="38" t="s">
        <v>106</v>
      </c>
      <c r="I95" s="40">
        <v>4</v>
      </c>
      <c r="J95" s="94">
        <v>650</v>
      </c>
      <c r="K95" s="99">
        <v>60</v>
      </c>
      <c r="L95" s="43">
        <f t="shared" si="5"/>
        <v>2840</v>
      </c>
    </row>
    <row r="96" spans="4:14">
      <c r="D96" s="71">
        <v>810213</v>
      </c>
      <c r="E96" s="192"/>
      <c r="F96" s="38" t="s">
        <v>177</v>
      </c>
      <c r="G96" s="39" t="s">
        <v>178</v>
      </c>
      <c r="H96" s="38" t="s">
        <v>70</v>
      </c>
      <c r="I96" s="40"/>
      <c r="J96" s="91"/>
      <c r="K96" s="92"/>
      <c r="L96" s="43">
        <f t="shared" si="5"/>
        <v>0</v>
      </c>
    </row>
    <row r="97" spans="4:13" ht="25.5">
      <c r="D97" s="71">
        <v>810213</v>
      </c>
      <c r="E97" s="193"/>
      <c r="F97" s="38" t="s">
        <v>179</v>
      </c>
      <c r="G97" s="39" t="s">
        <v>180</v>
      </c>
      <c r="H97" s="38" t="s">
        <v>106</v>
      </c>
      <c r="I97" s="40">
        <v>40</v>
      </c>
      <c r="J97" s="98">
        <v>556</v>
      </c>
      <c r="K97" s="92">
        <v>80</v>
      </c>
      <c r="L97" s="43">
        <f t="shared" si="5"/>
        <v>25440</v>
      </c>
      <c r="M97" s="76" t="s">
        <v>85</v>
      </c>
    </row>
    <row r="98" spans="4:13">
      <c r="D98" s="103"/>
      <c r="E98" s="103"/>
      <c r="F98" s="57" t="s">
        <v>181</v>
      </c>
      <c r="G98" s="58" t="s">
        <v>182</v>
      </c>
      <c r="H98" s="57"/>
      <c r="I98" s="59"/>
      <c r="J98" s="60"/>
      <c r="K98" s="61"/>
      <c r="L98" s="62">
        <f>SUM(L99:L110)</f>
        <v>173356</v>
      </c>
    </row>
    <row r="99" spans="4:13">
      <c r="D99" s="71">
        <v>810260</v>
      </c>
      <c r="E99" s="199" t="s">
        <v>182</v>
      </c>
      <c r="F99" s="47" t="s">
        <v>183</v>
      </c>
      <c r="G99" s="39" t="s">
        <v>184</v>
      </c>
      <c r="H99" s="38" t="s">
        <v>70</v>
      </c>
      <c r="I99" s="74">
        <v>29.12</v>
      </c>
      <c r="J99" s="104">
        <v>380</v>
      </c>
      <c r="K99" s="105">
        <v>170</v>
      </c>
      <c r="L99" s="43">
        <f t="shared" ref="L99:L110" si="6">I99*J99+K99*I99</f>
        <v>16016</v>
      </c>
    </row>
    <row r="100" spans="4:13" ht="25.5">
      <c r="D100" s="71">
        <v>810260</v>
      </c>
      <c r="E100" s="200"/>
      <c r="F100" s="38" t="s">
        <v>185</v>
      </c>
      <c r="G100" s="39" t="s">
        <v>186</v>
      </c>
      <c r="H100" s="38" t="s">
        <v>70</v>
      </c>
      <c r="I100" s="74">
        <v>28</v>
      </c>
      <c r="J100" s="104">
        <f>320+180</f>
        <v>500</v>
      </c>
      <c r="K100" s="105">
        <v>260</v>
      </c>
      <c r="L100" s="43">
        <f t="shared" si="6"/>
        <v>21280</v>
      </c>
    </row>
    <row r="101" spans="4:13" ht="25.5">
      <c r="D101" s="71">
        <v>810260</v>
      </c>
      <c r="E101" s="200"/>
      <c r="F101" s="38" t="s">
        <v>187</v>
      </c>
      <c r="G101" s="39" t="s">
        <v>188</v>
      </c>
      <c r="H101" s="38" t="s">
        <v>70</v>
      </c>
      <c r="I101" s="74">
        <v>26</v>
      </c>
      <c r="J101" s="104">
        <v>500</v>
      </c>
      <c r="K101" s="105">
        <v>260</v>
      </c>
      <c r="L101" s="43">
        <f t="shared" si="6"/>
        <v>19760</v>
      </c>
    </row>
    <row r="102" spans="4:13">
      <c r="D102" s="71">
        <v>810260</v>
      </c>
      <c r="E102" s="200"/>
      <c r="F102" s="38" t="s">
        <v>189</v>
      </c>
      <c r="G102" s="39" t="s">
        <v>190</v>
      </c>
      <c r="H102" s="38" t="s">
        <v>124</v>
      </c>
      <c r="I102" s="74">
        <v>19</v>
      </c>
      <c r="J102" s="104">
        <v>190</v>
      </c>
      <c r="K102" s="105">
        <v>60</v>
      </c>
      <c r="L102" s="43">
        <f t="shared" si="6"/>
        <v>4750</v>
      </c>
    </row>
    <row r="103" spans="4:13">
      <c r="D103" s="71">
        <v>810260</v>
      </c>
      <c r="E103" s="200"/>
      <c r="F103" s="38" t="s">
        <v>191</v>
      </c>
      <c r="G103" s="39" t="s">
        <v>192</v>
      </c>
      <c r="H103" s="38" t="s">
        <v>124</v>
      </c>
      <c r="I103" s="74">
        <v>23</v>
      </c>
      <c r="J103" s="104">
        <v>1100</v>
      </c>
      <c r="K103" s="105">
        <v>310</v>
      </c>
      <c r="L103" s="43">
        <f t="shared" si="6"/>
        <v>32430</v>
      </c>
    </row>
    <row r="104" spans="4:13">
      <c r="D104" s="71">
        <v>810260</v>
      </c>
      <c r="E104" s="200"/>
      <c r="F104" s="38" t="s">
        <v>193</v>
      </c>
      <c r="G104" s="39" t="s">
        <v>126</v>
      </c>
      <c r="H104" s="38" t="s">
        <v>124</v>
      </c>
      <c r="I104" s="40"/>
      <c r="J104" s="52"/>
      <c r="K104" s="42"/>
      <c r="L104" s="43">
        <f t="shared" si="6"/>
        <v>0</v>
      </c>
    </row>
    <row r="105" spans="4:13">
      <c r="D105" s="71">
        <v>810260</v>
      </c>
      <c r="E105" s="200"/>
      <c r="F105" s="38" t="s">
        <v>194</v>
      </c>
      <c r="G105" s="86" t="s">
        <v>195</v>
      </c>
      <c r="H105" s="38" t="s">
        <v>70</v>
      </c>
      <c r="I105" s="74">
        <v>23</v>
      </c>
      <c r="J105" s="52">
        <v>1250</v>
      </c>
      <c r="K105" s="42">
        <v>1050</v>
      </c>
      <c r="L105" s="43">
        <f t="shared" si="6"/>
        <v>52900</v>
      </c>
    </row>
    <row r="106" spans="4:13">
      <c r="D106" s="71">
        <v>810260</v>
      </c>
      <c r="E106" s="200"/>
      <c r="F106" s="38" t="s">
        <v>196</v>
      </c>
      <c r="G106" s="39" t="s">
        <v>197</v>
      </c>
      <c r="H106" s="38" t="s">
        <v>70</v>
      </c>
      <c r="I106" s="40">
        <v>2</v>
      </c>
      <c r="J106" s="41">
        <v>1380</v>
      </c>
      <c r="K106" s="45">
        <v>380</v>
      </c>
      <c r="L106" s="43">
        <f t="shared" si="6"/>
        <v>3520</v>
      </c>
    </row>
    <row r="107" spans="4:13">
      <c r="D107" s="71">
        <v>810260</v>
      </c>
      <c r="E107" s="200"/>
      <c r="F107" s="38" t="s">
        <v>198</v>
      </c>
      <c r="G107" s="39" t="s">
        <v>199</v>
      </c>
      <c r="H107" s="38" t="s">
        <v>124</v>
      </c>
      <c r="I107" s="40"/>
      <c r="J107" s="52"/>
      <c r="K107" s="42"/>
      <c r="L107" s="43">
        <f t="shared" si="6"/>
        <v>0</v>
      </c>
    </row>
    <row r="108" spans="4:13">
      <c r="D108" s="71">
        <v>810260</v>
      </c>
      <c r="E108" s="200"/>
      <c r="F108" s="38" t="s">
        <v>200</v>
      </c>
      <c r="G108" s="39" t="s">
        <v>201</v>
      </c>
      <c r="H108" s="38" t="s">
        <v>48</v>
      </c>
      <c r="I108" s="40">
        <v>1</v>
      </c>
      <c r="J108" s="41">
        <v>9800</v>
      </c>
      <c r="K108" s="45">
        <v>6500</v>
      </c>
      <c r="L108" s="43">
        <f t="shared" si="6"/>
        <v>16300</v>
      </c>
    </row>
    <row r="109" spans="4:13">
      <c r="D109" s="71">
        <v>810260</v>
      </c>
      <c r="E109" s="200"/>
      <c r="F109" s="38" t="s">
        <v>202</v>
      </c>
      <c r="G109" s="39" t="s">
        <v>203</v>
      </c>
      <c r="H109" s="38" t="s">
        <v>106</v>
      </c>
      <c r="I109" s="40"/>
      <c r="J109" s="52"/>
      <c r="K109" s="42"/>
      <c r="L109" s="43">
        <f t="shared" si="6"/>
        <v>0</v>
      </c>
    </row>
    <row r="110" spans="4:13">
      <c r="D110" s="71">
        <v>810260</v>
      </c>
      <c r="E110" s="201"/>
      <c r="F110" s="38" t="s">
        <v>204</v>
      </c>
      <c r="G110" s="39" t="s">
        <v>205</v>
      </c>
      <c r="H110" s="38" t="s">
        <v>48</v>
      </c>
      <c r="I110" s="40">
        <v>1</v>
      </c>
      <c r="J110" s="52">
        <v>4600</v>
      </c>
      <c r="K110" s="42">
        <v>1800</v>
      </c>
      <c r="L110" s="43">
        <f t="shared" si="6"/>
        <v>6400</v>
      </c>
    </row>
    <row r="111" spans="4:13">
      <c r="D111" s="103"/>
      <c r="E111" s="103"/>
      <c r="F111" s="57" t="s">
        <v>206</v>
      </c>
      <c r="G111" s="58" t="s">
        <v>34</v>
      </c>
      <c r="H111" s="57"/>
      <c r="I111" s="59"/>
      <c r="J111" s="60"/>
      <c r="K111" s="61"/>
      <c r="L111" s="62">
        <f>SUM(L112:L218)</f>
        <v>1361901.6599999997</v>
      </c>
    </row>
    <row r="112" spans="4:13">
      <c r="D112" s="71">
        <v>810030</v>
      </c>
      <c r="E112" s="191" t="s">
        <v>34</v>
      </c>
      <c r="F112" s="38" t="s">
        <v>207</v>
      </c>
      <c r="G112" s="39" t="s">
        <v>208</v>
      </c>
      <c r="H112" s="72" t="s">
        <v>48</v>
      </c>
      <c r="I112" s="40">
        <v>1</v>
      </c>
      <c r="J112" s="91">
        <v>3600</v>
      </c>
      <c r="K112" s="92">
        <v>1200</v>
      </c>
      <c r="L112" s="43">
        <f t="shared" ref="L112:L120" si="7">I112*J112+K112*I112</f>
        <v>4800</v>
      </c>
    </row>
    <row r="113" spans="4:12">
      <c r="D113" s="71">
        <v>810080</v>
      </c>
      <c r="E113" s="192"/>
      <c r="F113" s="38" t="s">
        <v>209</v>
      </c>
      <c r="G113" s="39" t="s">
        <v>210</v>
      </c>
      <c r="H113" s="72" t="s">
        <v>70</v>
      </c>
      <c r="I113" s="40">
        <v>53.18</v>
      </c>
      <c r="J113" s="94">
        <v>1030</v>
      </c>
      <c r="K113" s="99">
        <v>950</v>
      </c>
      <c r="L113" s="43">
        <f t="shared" si="7"/>
        <v>105296.4</v>
      </c>
    </row>
    <row r="114" spans="4:12">
      <c r="D114" s="71">
        <v>810080</v>
      </c>
      <c r="E114" s="192"/>
      <c r="F114" s="47" t="s">
        <v>211</v>
      </c>
      <c r="G114" s="106" t="s">
        <v>212</v>
      </c>
      <c r="H114" s="107" t="s">
        <v>213</v>
      </c>
      <c r="I114" s="108">
        <v>18.5</v>
      </c>
      <c r="J114" s="94">
        <v>4310</v>
      </c>
      <c r="K114" s="99">
        <v>650</v>
      </c>
      <c r="L114" s="43">
        <f t="shared" si="7"/>
        <v>91760</v>
      </c>
    </row>
    <row r="115" spans="4:12">
      <c r="D115" s="71">
        <v>810080</v>
      </c>
      <c r="E115" s="192"/>
      <c r="F115" s="38" t="s">
        <v>214</v>
      </c>
      <c r="G115" s="106" t="s">
        <v>215</v>
      </c>
      <c r="H115" s="107" t="s">
        <v>48</v>
      </c>
      <c r="I115" s="108">
        <v>1</v>
      </c>
      <c r="J115" s="94">
        <v>1650</v>
      </c>
      <c r="K115" s="99">
        <v>900</v>
      </c>
      <c r="L115" s="43">
        <f t="shared" si="7"/>
        <v>2550</v>
      </c>
    </row>
    <row r="116" spans="4:12">
      <c r="D116" s="71">
        <v>810080</v>
      </c>
      <c r="E116" s="192"/>
      <c r="F116" s="38" t="s">
        <v>216</v>
      </c>
      <c r="G116" s="106" t="s">
        <v>217</v>
      </c>
      <c r="H116" s="107" t="s">
        <v>48</v>
      </c>
      <c r="I116" s="108">
        <v>1</v>
      </c>
      <c r="J116" s="91">
        <v>2500</v>
      </c>
      <c r="K116" s="92">
        <v>1200</v>
      </c>
      <c r="L116" s="43">
        <f t="shared" si="7"/>
        <v>3700</v>
      </c>
    </row>
    <row r="117" spans="4:12">
      <c r="D117" s="71">
        <v>810041</v>
      </c>
      <c r="E117" s="192"/>
      <c r="F117" s="38" t="s">
        <v>218</v>
      </c>
      <c r="G117" s="106" t="s">
        <v>219</v>
      </c>
      <c r="H117" s="109" t="s">
        <v>106</v>
      </c>
      <c r="I117" s="110">
        <v>12</v>
      </c>
      <c r="J117" s="91">
        <v>410</v>
      </c>
      <c r="K117" s="92">
        <v>65</v>
      </c>
      <c r="L117" s="43">
        <f t="shared" si="7"/>
        <v>5700</v>
      </c>
    </row>
    <row r="118" spans="4:12">
      <c r="D118" s="71">
        <v>810041</v>
      </c>
      <c r="E118" s="192"/>
      <c r="F118" s="38" t="s">
        <v>220</v>
      </c>
      <c r="G118" s="106" t="s">
        <v>221</v>
      </c>
      <c r="H118" s="109" t="s">
        <v>48</v>
      </c>
      <c r="I118" s="108">
        <v>1</v>
      </c>
      <c r="J118" s="94">
        <v>2500</v>
      </c>
      <c r="K118" s="99">
        <v>900</v>
      </c>
      <c r="L118" s="43">
        <f t="shared" si="7"/>
        <v>3400</v>
      </c>
    </row>
    <row r="119" spans="4:12">
      <c r="D119" s="71">
        <v>810041</v>
      </c>
      <c r="E119" s="192"/>
      <c r="F119" s="47" t="s">
        <v>222</v>
      </c>
      <c r="G119" s="106" t="s">
        <v>223</v>
      </c>
      <c r="H119" s="109" t="s">
        <v>106</v>
      </c>
      <c r="I119" s="108">
        <v>195</v>
      </c>
      <c r="J119" s="94">
        <v>23</v>
      </c>
      <c r="K119" s="99">
        <v>45</v>
      </c>
      <c r="L119" s="43">
        <f t="shared" si="7"/>
        <v>13260</v>
      </c>
    </row>
    <row r="120" spans="4:12">
      <c r="D120" s="71">
        <v>810041</v>
      </c>
      <c r="E120" s="192"/>
      <c r="F120" s="47" t="s">
        <v>224</v>
      </c>
      <c r="G120" s="73" t="s">
        <v>225</v>
      </c>
      <c r="H120" s="87" t="s">
        <v>48</v>
      </c>
      <c r="I120" s="40">
        <v>1</v>
      </c>
      <c r="J120" s="41">
        <v>25000</v>
      </c>
      <c r="K120" s="45">
        <v>35000</v>
      </c>
      <c r="L120" s="43">
        <f t="shared" si="7"/>
        <v>60000</v>
      </c>
    </row>
    <row r="121" spans="4:12">
      <c r="D121" s="71"/>
      <c r="E121" s="192"/>
      <c r="F121" s="38" t="s">
        <v>226</v>
      </c>
      <c r="G121" s="196" t="s">
        <v>227</v>
      </c>
      <c r="H121" s="202"/>
      <c r="I121" s="202"/>
      <c r="J121" s="202"/>
      <c r="K121" s="202"/>
      <c r="L121" s="203"/>
    </row>
    <row r="122" spans="4:12" ht="38.25">
      <c r="D122" s="71">
        <v>810041</v>
      </c>
      <c r="E122" s="192"/>
      <c r="F122" s="38" t="s">
        <v>228</v>
      </c>
      <c r="G122" s="39" t="s">
        <v>229</v>
      </c>
      <c r="H122" s="38" t="s">
        <v>70</v>
      </c>
      <c r="I122" s="40">
        <v>1012</v>
      </c>
      <c r="J122" s="91"/>
      <c r="K122" s="91">
        <v>70</v>
      </c>
      <c r="L122" s="81">
        <f>I122*J122+K122*I122</f>
        <v>70840</v>
      </c>
    </row>
    <row r="123" spans="4:12" ht="38.25">
      <c r="D123" s="71">
        <v>810041</v>
      </c>
      <c r="E123" s="192"/>
      <c r="F123" s="38" t="s">
        <v>230</v>
      </c>
      <c r="G123" s="39" t="s">
        <v>231</v>
      </c>
      <c r="H123" s="38" t="s">
        <v>70</v>
      </c>
      <c r="I123" s="40">
        <v>1211</v>
      </c>
      <c r="J123" s="91"/>
      <c r="K123" s="91">
        <v>80</v>
      </c>
      <c r="L123" s="81">
        <f>I123*J123+K123*I123</f>
        <v>96880</v>
      </c>
    </row>
    <row r="124" spans="4:12" ht="38.25">
      <c r="D124" s="71">
        <v>810041</v>
      </c>
      <c r="E124" s="192"/>
      <c r="F124" s="38" t="s">
        <v>232</v>
      </c>
      <c r="G124" s="39" t="s">
        <v>233</v>
      </c>
      <c r="H124" s="38" t="s">
        <v>70</v>
      </c>
      <c r="I124" s="111">
        <v>25</v>
      </c>
      <c r="J124" s="91">
        <v>135</v>
      </c>
      <c r="K124" s="91">
        <v>70</v>
      </c>
      <c r="L124" s="81">
        <f>J124*I124+K124*I124</f>
        <v>5125</v>
      </c>
    </row>
    <row r="125" spans="4:12" ht="38.25">
      <c r="D125" s="71">
        <v>810041</v>
      </c>
      <c r="E125" s="192"/>
      <c r="F125" s="38" t="s">
        <v>234</v>
      </c>
      <c r="G125" s="39" t="s">
        <v>235</v>
      </c>
      <c r="H125" s="38" t="s">
        <v>70</v>
      </c>
      <c r="I125" s="40">
        <v>89</v>
      </c>
      <c r="J125" s="94">
        <v>165</v>
      </c>
      <c r="K125" s="94">
        <v>90</v>
      </c>
      <c r="L125" s="43">
        <f>I125*J125+K125*I125</f>
        <v>22695</v>
      </c>
    </row>
    <row r="126" spans="4:12" ht="38.25">
      <c r="D126" s="71">
        <v>810041</v>
      </c>
      <c r="E126" s="192"/>
      <c r="F126" s="38" t="s">
        <v>236</v>
      </c>
      <c r="G126" s="39" t="s">
        <v>237</v>
      </c>
      <c r="H126" s="38" t="s">
        <v>70</v>
      </c>
      <c r="I126" s="40">
        <v>30</v>
      </c>
      <c r="J126" s="94">
        <v>135</v>
      </c>
      <c r="K126" s="94">
        <v>70</v>
      </c>
      <c r="L126" s="43">
        <f>I126*J126+K126*I126</f>
        <v>6150</v>
      </c>
    </row>
    <row r="127" spans="4:12">
      <c r="D127" s="71">
        <v>810041</v>
      </c>
      <c r="E127" s="192"/>
      <c r="F127" s="38" t="s">
        <v>238</v>
      </c>
      <c r="G127" s="39" t="s">
        <v>239</v>
      </c>
      <c r="H127" s="38" t="s">
        <v>70</v>
      </c>
      <c r="I127" s="40">
        <v>190</v>
      </c>
      <c r="J127" s="98">
        <v>185</v>
      </c>
      <c r="K127" s="98">
        <v>80</v>
      </c>
      <c r="L127" s="43">
        <f>I127*J127+K127*I127</f>
        <v>50350</v>
      </c>
    </row>
    <row r="128" spans="4:12">
      <c r="D128" s="71">
        <v>810041</v>
      </c>
      <c r="E128" s="192"/>
      <c r="F128" s="38" t="s">
        <v>240</v>
      </c>
      <c r="G128" s="39" t="s">
        <v>241</v>
      </c>
      <c r="H128" s="38" t="s">
        <v>70</v>
      </c>
      <c r="I128" s="40">
        <v>642</v>
      </c>
      <c r="J128" s="112">
        <f>680/50</f>
        <v>13.6</v>
      </c>
      <c r="K128" s="112">
        <v>45</v>
      </c>
      <c r="L128" s="43">
        <f>I128*J128+K128*I128</f>
        <v>37621.199999999997</v>
      </c>
    </row>
    <row r="129" spans="4:12">
      <c r="D129" s="71"/>
      <c r="E129" s="192"/>
      <c r="F129" s="38" t="s">
        <v>242</v>
      </c>
      <c r="G129" s="196" t="s">
        <v>243</v>
      </c>
      <c r="H129" s="202"/>
      <c r="I129" s="202"/>
      <c r="J129" s="202"/>
      <c r="K129" s="202"/>
      <c r="L129" s="203"/>
    </row>
    <row r="130" spans="4:12" ht="25.5">
      <c r="D130" s="71">
        <v>810162</v>
      </c>
      <c r="E130" s="192"/>
      <c r="F130" s="38" t="s">
        <v>244</v>
      </c>
      <c r="G130" s="113" t="s">
        <v>245</v>
      </c>
      <c r="H130" s="38" t="s">
        <v>70</v>
      </c>
      <c r="I130" s="108">
        <v>29</v>
      </c>
      <c r="J130" s="114">
        <v>320</v>
      </c>
      <c r="K130" s="114">
        <v>85</v>
      </c>
      <c r="L130" s="55">
        <f t="shared" ref="L130:L132" si="8">I130*J130+K130*I130</f>
        <v>11745</v>
      </c>
    </row>
    <row r="131" spans="4:12">
      <c r="D131" s="71">
        <v>810162</v>
      </c>
      <c r="E131" s="192"/>
      <c r="F131" s="38" t="s">
        <v>246</v>
      </c>
      <c r="G131" s="113" t="s">
        <v>247</v>
      </c>
      <c r="H131" s="109" t="s">
        <v>106</v>
      </c>
      <c r="I131" s="108">
        <v>6</v>
      </c>
      <c r="J131" s="114">
        <v>1180</v>
      </c>
      <c r="K131" s="114">
        <v>90</v>
      </c>
      <c r="L131" s="55">
        <f t="shared" si="8"/>
        <v>7620</v>
      </c>
    </row>
    <row r="132" spans="4:12" ht="25.5">
      <c r="D132" s="71">
        <v>810162</v>
      </c>
      <c r="E132" s="192"/>
      <c r="F132" s="38" t="s">
        <v>248</v>
      </c>
      <c r="G132" s="113" t="s">
        <v>249</v>
      </c>
      <c r="H132" s="38" t="s">
        <v>70</v>
      </c>
      <c r="I132" s="108">
        <v>32</v>
      </c>
      <c r="J132" s="114">
        <v>230</v>
      </c>
      <c r="K132" s="114">
        <v>85</v>
      </c>
      <c r="L132" s="55">
        <f t="shared" si="8"/>
        <v>10080</v>
      </c>
    </row>
    <row r="133" spans="4:12">
      <c r="D133" s="71">
        <v>810162</v>
      </c>
      <c r="E133" s="192"/>
      <c r="F133" s="38" t="s">
        <v>250</v>
      </c>
      <c r="G133" s="113" t="s">
        <v>251</v>
      </c>
      <c r="H133" s="109" t="s">
        <v>106</v>
      </c>
      <c r="I133" s="108">
        <v>2</v>
      </c>
      <c r="J133" s="112">
        <v>460</v>
      </c>
      <c r="K133" s="112">
        <v>90</v>
      </c>
      <c r="L133" s="43">
        <f>I133*J133+K133*I133</f>
        <v>1100</v>
      </c>
    </row>
    <row r="134" spans="4:12">
      <c r="D134" s="71">
        <v>810162</v>
      </c>
      <c r="E134" s="192"/>
      <c r="F134" s="38" t="s">
        <v>252</v>
      </c>
      <c r="G134" s="113" t="s">
        <v>253</v>
      </c>
      <c r="H134" s="109" t="s">
        <v>106</v>
      </c>
      <c r="I134" s="108">
        <v>2</v>
      </c>
      <c r="J134" s="114">
        <v>1610</v>
      </c>
      <c r="K134" s="114">
        <v>110</v>
      </c>
      <c r="L134" s="55">
        <f>I134*J134+K134*I134</f>
        <v>3440</v>
      </c>
    </row>
    <row r="135" spans="4:12">
      <c r="D135" s="71"/>
      <c r="E135" s="192"/>
      <c r="F135" s="38" t="s">
        <v>254</v>
      </c>
      <c r="G135" s="196" t="s">
        <v>255</v>
      </c>
      <c r="H135" s="197"/>
      <c r="I135" s="197"/>
      <c r="J135" s="197"/>
      <c r="K135" s="197"/>
      <c r="L135" s="198"/>
    </row>
    <row r="136" spans="4:12">
      <c r="D136" s="71">
        <v>810030</v>
      </c>
      <c r="E136" s="192"/>
      <c r="F136" s="38" t="s">
        <v>256</v>
      </c>
      <c r="G136" s="113" t="s">
        <v>257</v>
      </c>
      <c r="H136" s="109" t="s">
        <v>106</v>
      </c>
      <c r="I136" s="108">
        <v>1</v>
      </c>
      <c r="J136" s="114">
        <v>4300</v>
      </c>
      <c r="K136" s="114">
        <v>300</v>
      </c>
      <c r="L136" s="55">
        <f t="shared" ref="L136:L138" si="9">I136*J136+K136*I136</f>
        <v>4600</v>
      </c>
    </row>
    <row r="137" spans="4:12">
      <c r="D137" s="71">
        <v>810030</v>
      </c>
      <c r="E137" s="192"/>
      <c r="F137" s="38" t="s">
        <v>258</v>
      </c>
      <c r="G137" s="113" t="s">
        <v>259</v>
      </c>
      <c r="H137" s="109" t="s">
        <v>106</v>
      </c>
      <c r="I137" s="108">
        <v>2</v>
      </c>
      <c r="J137" s="112">
        <v>2100</v>
      </c>
      <c r="K137" s="112">
        <v>300</v>
      </c>
      <c r="L137" s="55">
        <f t="shared" si="9"/>
        <v>4800</v>
      </c>
    </row>
    <row r="138" spans="4:12">
      <c r="D138" s="71">
        <v>810030</v>
      </c>
      <c r="E138" s="192"/>
      <c r="F138" s="38" t="s">
        <v>260</v>
      </c>
      <c r="G138" s="113" t="s">
        <v>261</v>
      </c>
      <c r="H138" s="109" t="s">
        <v>106</v>
      </c>
      <c r="I138" s="108">
        <v>1</v>
      </c>
      <c r="J138" s="112">
        <v>2100</v>
      </c>
      <c r="K138" s="112">
        <v>300</v>
      </c>
      <c r="L138" s="55">
        <f t="shared" si="9"/>
        <v>2400</v>
      </c>
    </row>
    <row r="139" spans="4:12">
      <c r="D139" s="71">
        <v>810030</v>
      </c>
      <c r="E139" s="192"/>
      <c r="F139" s="38" t="s">
        <v>262</v>
      </c>
      <c r="G139" s="113" t="s">
        <v>263</v>
      </c>
      <c r="H139" s="109" t="s">
        <v>106</v>
      </c>
      <c r="I139" s="108">
        <v>10</v>
      </c>
      <c r="J139" s="114">
        <v>2100</v>
      </c>
      <c r="K139" s="114">
        <v>300</v>
      </c>
      <c r="L139" s="43">
        <f t="shared" ref="L139:L145" si="10">I139*J139+K139*I139</f>
        <v>24000</v>
      </c>
    </row>
    <row r="140" spans="4:12" ht="25.5">
      <c r="D140" s="71">
        <v>810030</v>
      </c>
      <c r="E140" s="192"/>
      <c r="F140" s="38" t="s">
        <v>264</v>
      </c>
      <c r="G140" s="113" t="s">
        <v>265</v>
      </c>
      <c r="H140" s="109" t="s">
        <v>106</v>
      </c>
      <c r="I140" s="108">
        <v>1</v>
      </c>
      <c r="J140" s="114">
        <v>2600</v>
      </c>
      <c r="K140" s="114">
        <v>300</v>
      </c>
      <c r="L140" s="43">
        <f t="shared" si="10"/>
        <v>2900</v>
      </c>
    </row>
    <row r="141" spans="4:12" ht="25.5">
      <c r="D141" s="71">
        <v>810030</v>
      </c>
      <c r="E141" s="192"/>
      <c r="F141" s="38" t="s">
        <v>266</v>
      </c>
      <c r="G141" s="113" t="s">
        <v>267</v>
      </c>
      <c r="H141" s="109" t="s">
        <v>106</v>
      </c>
      <c r="I141" s="108">
        <v>2</v>
      </c>
      <c r="J141" s="114">
        <v>3600</v>
      </c>
      <c r="K141" s="114">
        <v>600</v>
      </c>
      <c r="L141" s="43">
        <f t="shared" si="10"/>
        <v>8400</v>
      </c>
    </row>
    <row r="142" spans="4:12">
      <c r="D142" s="71">
        <v>810030</v>
      </c>
      <c r="E142" s="192"/>
      <c r="F142" s="38" t="s">
        <v>268</v>
      </c>
      <c r="G142" s="113" t="s">
        <v>269</v>
      </c>
      <c r="H142" s="109" t="s">
        <v>106</v>
      </c>
      <c r="I142" s="108">
        <v>1</v>
      </c>
      <c r="J142" s="114">
        <v>3600</v>
      </c>
      <c r="K142" s="114">
        <v>600</v>
      </c>
      <c r="L142" s="43">
        <f t="shared" si="10"/>
        <v>4200</v>
      </c>
    </row>
    <row r="143" spans="4:12">
      <c r="D143" s="71">
        <v>810030</v>
      </c>
      <c r="E143" s="192"/>
      <c r="F143" s="38" t="s">
        <v>270</v>
      </c>
      <c r="G143" s="113" t="s">
        <v>271</v>
      </c>
      <c r="H143" s="109" t="s">
        <v>106</v>
      </c>
      <c r="I143" s="108">
        <v>1</v>
      </c>
      <c r="J143" s="112">
        <v>2980</v>
      </c>
      <c r="K143" s="112">
        <v>600</v>
      </c>
      <c r="L143" s="43">
        <f t="shared" si="10"/>
        <v>3580</v>
      </c>
    </row>
    <row r="144" spans="4:12">
      <c r="D144" s="71">
        <v>810030</v>
      </c>
      <c r="E144" s="192"/>
      <c r="F144" s="38" t="s">
        <v>272</v>
      </c>
      <c r="G144" s="113" t="s">
        <v>273</v>
      </c>
      <c r="H144" s="109" t="s">
        <v>106</v>
      </c>
      <c r="I144" s="108">
        <v>2</v>
      </c>
      <c r="J144" s="112">
        <v>3200</v>
      </c>
      <c r="K144" s="112">
        <v>600</v>
      </c>
      <c r="L144" s="43">
        <f t="shared" si="10"/>
        <v>7600</v>
      </c>
    </row>
    <row r="145" spans="4:12">
      <c r="D145" s="71">
        <v>810030</v>
      </c>
      <c r="E145" s="192"/>
      <c r="F145" s="38" t="s">
        <v>274</v>
      </c>
      <c r="G145" s="113" t="s">
        <v>275</v>
      </c>
      <c r="H145" s="109" t="s">
        <v>106</v>
      </c>
      <c r="I145" s="108">
        <v>1</v>
      </c>
      <c r="J145" s="112">
        <v>650</v>
      </c>
      <c r="K145" s="112">
        <v>350</v>
      </c>
      <c r="L145" s="43">
        <f t="shared" si="10"/>
        <v>1000</v>
      </c>
    </row>
    <row r="146" spans="4:12">
      <c r="D146" s="71"/>
      <c r="E146" s="192"/>
      <c r="F146" s="38" t="s">
        <v>276</v>
      </c>
      <c r="G146" s="196" t="s">
        <v>140</v>
      </c>
      <c r="H146" s="197"/>
      <c r="I146" s="197"/>
      <c r="J146" s="197"/>
      <c r="K146" s="197"/>
      <c r="L146" s="198"/>
    </row>
    <row r="147" spans="4:12">
      <c r="D147" s="71">
        <v>810213</v>
      </c>
      <c r="E147" s="192"/>
      <c r="F147" s="38" t="s">
        <v>277</v>
      </c>
      <c r="G147" s="39" t="s">
        <v>278</v>
      </c>
      <c r="H147" s="38" t="s">
        <v>279</v>
      </c>
      <c r="I147" s="40">
        <v>120</v>
      </c>
      <c r="J147" s="91">
        <v>90</v>
      </c>
      <c r="K147" s="91">
        <v>30</v>
      </c>
      <c r="L147" s="43">
        <f>I147*J147+K147*I147</f>
        <v>14400</v>
      </c>
    </row>
    <row r="148" spans="4:12">
      <c r="D148" s="71"/>
      <c r="E148" s="192"/>
      <c r="F148" s="38" t="s">
        <v>280</v>
      </c>
      <c r="G148" s="196" t="s">
        <v>281</v>
      </c>
      <c r="H148" s="197"/>
      <c r="I148" s="197"/>
      <c r="J148" s="197"/>
      <c r="K148" s="197"/>
      <c r="L148" s="198"/>
    </row>
    <row r="149" spans="4:12">
      <c r="D149" s="71">
        <v>810030</v>
      </c>
      <c r="E149" s="192"/>
      <c r="F149" s="38" t="s">
        <v>282</v>
      </c>
      <c r="G149" s="73" t="s">
        <v>283</v>
      </c>
      <c r="H149" s="87" t="s">
        <v>213</v>
      </c>
      <c r="I149" s="111">
        <v>52.69</v>
      </c>
      <c r="J149" s="98">
        <v>55</v>
      </c>
      <c r="K149" s="93">
        <v>45</v>
      </c>
      <c r="L149" s="43">
        <f t="shared" ref="L149:L169" si="11">I149*J149+K149*I149</f>
        <v>5269</v>
      </c>
    </row>
    <row r="150" spans="4:12">
      <c r="D150" s="71">
        <v>810030</v>
      </c>
      <c r="E150" s="192"/>
      <c r="F150" s="38" t="s">
        <v>284</v>
      </c>
      <c r="G150" s="73" t="s">
        <v>285</v>
      </c>
      <c r="H150" s="87" t="s">
        <v>213</v>
      </c>
      <c r="I150" s="40">
        <v>193.22</v>
      </c>
      <c r="J150" s="41">
        <v>76</v>
      </c>
      <c r="K150" s="45">
        <v>45</v>
      </c>
      <c r="L150" s="43">
        <f t="shared" si="11"/>
        <v>23379.62</v>
      </c>
    </row>
    <row r="151" spans="4:12">
      <c r="D151" s="71">
        <v>810030</v>
      </c>
      <c r="E151" s="192"/>
      <c r="F151" s="38" t="s">
        <v>286</v>
      </c>
      <c r="G151" s="106" t="s">
        <v>215</v>
      </c>
      <c r="H151" s="107" t="s">
        <v>48</v>
      </c>
      <c r="I151" s="108">
        <v>1</v>
      </c>
      <c r="J151" s="115">
        <v>1450</v>
      </c>
      <c r="K151" s="116">
        <v>900</v>
      </c>
      <c r="L151" s="55">
        <f t="shared" si="11"/>
        <v>2350</v>
      </c>
    </row>
    <row r="152" spans="4:12">
      <c r="D152" s="71">
        <v>810030</v>
      </c>
      <c r="E152" s="192"/>
      <c r="F152" s="38" t="s">
        <v>287</v>
      </c>
      <c r="G152" s="106" t="s">
        <v>217</v>
      </c>
      <c r="H152" s="107" t="s">
        <v>48</v>
      </c>
      <c r="I152" s="108">
        <v>1</v>
      </c>
      <c r="J152" s="117">
        <v>2100</v>
      </c>
      <c r="K152" s="118">
        <v>1200</v>
      </c>
      <c r="L152" s="43">
        <f t="shared" si="11"/>
        <v>3300</v>
      </c>
    </row>
    <row r="153" spans="4:12" ht="25.5">
      <c r="D153" s="71">
        <v>810030</v>
      </c>
      <c r="E153" s="192"/>
      <c r="F153" s="38" t="s">
        <v>288</v>
      </c>
      <c r="G153" s="113" t="s">
        <v>289</v>
      </c>
      <c r="H153" s="72" t="s">
        <v>70</v>
      </c>
      <c r="I153" s="108">
        <v>508.96</v>
      </c>
      <c r="J153" s="112">
        <v>0</v>
      </c>
      <c r="K153" s="112">
        <v>70</v>
      </c>
      <c r="L153" s="43">
        <f t="shared" si="11"/>
        <v>35627.199999999997</v>
      </c>
    </row>
    <row r="154" spans="4:12" ht="25.5">
      <c r="D154" s="71">
        <v>810030</v>
      </c>
      <c r="E154" s="192"/>
      <c r="F154" s="38" t="s">
        <v>290</v>
      </c>
      <c r="G154" s="113" t="s">
        <v>291</v>
      </c>
      <c r="H154" s="72" t="s">
        <v>70</v>
      </c>
      <c r="I154" s="110">
        <v>101</v>
      </c>
      <c r="J154" s="112">
        <v>130</v>
      </c>
      <c r="K154" s="112">
        <v>70</v>
      </c>
      <c r="L154" s="43">
        <f t="shared" si="11"/>
        <v>20200</v>
      </c>
    </row>
    <row r="155" spans="4:12">
      <c r="D155" s="71">
        <v>810041</v>
      </c>
      <c r="E155" s="192"/>
      <c r="F155" s="38" t="s">
        <v>292</v>
      </c>
      <c r="G155" s="113" t="s">
        <v>293</v>
      </c>
      <c r="H155" s="72" t="s">
        <v>70</v>
      </c>
      <c r="I155" s="108">
        <v>1208</v>
      </c>
      <c r="J155" s="114">
        <v>21</v>
      </c>
      <c r="K155" s="114">
        <v>26</v>
      </c>
      <c r="L155" s="43">
        <f t="shared" si="11"/>
        <v>56776</v>
      </c>
    </row>
    <row r="156" spans="4:12">
      <c r="D156" s="71">
        <v>810041</v>
      </c>
      <c r="E156" s="192"/>
      <c r="F156" s="38" t="s">
        <v>294</v>
      </c>
      <c r="G156" s="113" t="s">
        <v>295</v>
      </c>
      <c r="H156" s="72" t="s">
        <v>70</v>
      </c>
      <c r="I156" s="110">
        <v>39</v>
      </c>
      <c r="J156" s="114">
        <v>23.5</v>
      </c>
      <c r="K156" s="114">
        <v>36</v>
      </c>
      <c r="L156" s="43">
        <f t="shared" si="11"/>
        <v>2320.5</v>
      </c>
    </row>
    <row r="157" spans="4:12">
      <c r="D157" s="71">
        <v>810030</v>
      </c>
      <c r="E157" s="192"/>
      <c r="F157" s="38" t="s">
        <v>296</v>
      </c>
      <c r="G157" s="113" t="s">
        <v>297</v>
      </c>
      <c r="H157" s="72" t="s">
        <v>70</v>
      </c>
      <c r="I157" s="108">
        <v>61.02</v>
      </c>
      <c r="J157" s="112">
        <v>112</v>
      </c>
      <c r="K157" s="112">
        <v>75</v>
      </c>
      <c r="L157" s="43">
        <f t="shared" si="11"/>
        <v>11410.740000000002</v>
      </c>
    </row>
    <row r="158" spans="4:12">
      <c r="D158" s="71">
        <v>810041</v>
      </c>
      <c r="E158" s="192"/>
      <c r="F158" s="38" t="s">
        <v>298</v>
      </c>
      <c r="G158" s="113" t="s">
        <v>299</v>
      </c>
      <c r="H158" s="109" t="s">
        <v>48</v>
      </c>
      <c r="I158" s="108">
        <v>1</v>
      </c>
      <c r="J158" s="112">
        <v>780</v>
      </c>
      <c r="K158" s="112">
        <v>600</v>
      </c>
      <c r="L158" s="43">
        <f t="shared" si="11"/>
        <v>1380</v>
      </c>
    </row>
    <row r="159" spans="4:12">
      <c r="D159" s="71">
        <v>810162</v>
      </c>
      <c r="E159" s="192"/>
      <c r="F159" s="38" t="s">
        <v>300</v>
      </c>
      <c r="G159" s="113" t="s">
        <v>301</v>
      </c>
      <c r="H159" s="109" t="s">
        <v>302</v>
      </c>
      <c r="I159" s="108">
        <v>432</v>
      </c>
      <c r="J159" s="112"/>
      <c r="K159" s="114">
        <v>20</v>
      </c>
      <c r="L159" s="43">
        <f t="shared" si="11"/>
        <v>8640</v>
      </c>
    </row>
    <row r="160" spans="4:12">
      <c r="D160" s="71">
        <v>810030</v>
      </c>
      <c r="E160" s="192"/>
      <c r="F160" s="38" t="s">
        <v>303</v>
      </c>
      <c r="G160" s="113" t="s">
        <v>304</v>
      </c>
      <c r="H160" s="72" t="s">
        <v>70</v>
      </c>
      <c r="I160" s="108">
        <v>2.2599999999999998</v>
      </c>
      <c r="J160" s="112">
        <v>1850</v>
      </c>
      <c r="K160" s="112">
        <v>350</v>
      </c>
      <c r="L160" s="43">
        <f t="shared" si="11"/>
        <v>4972</v>
      </c>
    </row>
    <row r="161" spans="4:12">
      <c r="D161" s="71">
        <v>810030</v>
      </c>
      <c r="E161" s="192"/>
      <c r="F161" s="38" t="s">
        <v>305</v>
      </c>
      <c r="G161" s="113" t="s">
        <v>306</v>
      </c>
      <c r="H161" s="72" t="s">
        <v>70</v>
      </c>
      <c r="I161" s="108">
        <v>2</v>
      </c>
      <c r="J161" s="114">
        <v>2100</v>
      </c>
      <c r="K161" s="114">
        <v>350</v>
      </c>
      <c r="L161" s="43">
        <f t="shared" si="11"/>
        <v>4900</v>
      </c>
    </row>
    <row r="162" spans="4:12">
      <c r="D162" s="71">
        <v>810030</v>
      </c>
      <c r="E162" s="192"/>
      <c r="F162" s="38" t="s">
        <v>307</v>
      </c>
      <c r="G162" s="113" t="s">
        <v>308</v>
      </c>
      <c r="H162" s="109" t="s">
        <v>106</v>
      </c>
      <c r="I162" s="108">
        <v>2</v>
      </c>
      <c r="J162" s="112">
        <v>350</v>
      </c>
      <c r="K162" s="112">
        <v>130</v>
      </c>
      <c r="L162" s="43">
        <f t="shared" si="11"/>
        <v>960</v>
      </c>
    </row>
    <row r="163" spans="4:12">
      <c r="D163" s="71">
        <v>810030</v>
      </c>
      <c r="E163" s="192"/>
      <c r="F163" s="38" t="s">
        <v>309</v>
      </c>
      <c r="G163" s="113" t="s">
        <v>310</v>
      </c>
      <c r="H163" s="109" t="s">
        <v>106</v>
      </c>
      <c r="I163" s="108">
        <v>2</v>
      </c>
      <c r="J163" s="114">
        <v>830</v>
      </c>
      <c r="K163" s="114">
        <v>650</v>
      </c>
      <c r="L163" s="43">
        <f t="shared" si="11"/>
        <v>2960</v>
      </c>
    </row>
    <row r="164" spans="4:12">
      <c r="D164" s="71">
        <v>810030</v>
      </c>
      <c r="E164" s="192"/>
      <c r="F164" s="38" t="s">
        <v>311</v>
      </c>
      <c r="G164" s="113" t="s">
        <v>312</v>
      </c>
      <c r="H164" s="109" t="s">
        <v>106</v>
      </c>
      <c r="I164" s="108">
        <v>1</v>
      </c>
      <c r="J164" s="114">
        <v>1980</v>
      </c>
      <c r="K164" s="114">
        <v>110</v>
      </c>
      <c r="L164" s="43">
        <f t="shared" si="11"/>
        <v>2090</v>
      </c>
    </row>
    <row r="165" spans="4:12">
      <c r="D165" s="71">
        <v>810030</v>
      </c>
      <c r="E165" s="192"/>
      <c r="F165" s="38" t="s">
        <v>313</v>
      </c>
      <c r="G165" s="113" t="s">
        <v>314</v>
      </c>
      <c r="H165" s="109" t="s">
        <v>106</v>
      </c>
      <c r="I165" s="108">
        <v>4</v>
      </c>
      <c r="J165" s="114">
        <v>650</v>
      </c>
      <c r="K165" s="114">
        <v>90</v>
      </c>
      <c r="L165" s="43">
        <f t="shared" si="11"/>
        <v>2960</v>
      </c>
    </row>
    <row r="166" spans="4:12">
      <c r="D166" s="71"/>
      <c r="E166" s="192"/>
      <c r="F166" s="38" t="s">
        <v>315</v>
      </c>
      <c r="G166" s="113" t="s">
        <v>316</v>
      </c>
      <c r="H166" s="109" t="s">
        <v>48</v>
      </c>
      <c r="I166" s="108">
        <v>1</v>
      </c>
      <c r="J166" s="112"/>
      <c r="K166" s="112"/>
      <c r="L166" s="43">
        <f t="shared" si="11"/>
        <v>0</v>
      </c>
    </row>
    <row r="167" spans="4:12" ht="25.5">
      <c r="D167" s="71">
        <v>810162</v>
      </c>
      <c r="E167" s="192"/>
      <c r="F167" s="38" t="s">
        <v>317</v>
      </c>
      <c r="G167" s="113" t="s">
        <v>318</v>
      </c>
      <c r="H167" s="109" t="s">
        <v>106</v>
      </c>
      <c r="I167" s="108">
        <v>4</v>
      </c>
      <c r="J167" s="114">
        <v>980</v>
      </c>
      <c r="K167" s="114">
        <v>210</v>
      </c>
      <c r="L167" s="43">
        <f t="shared" si="11"/>
        <v>4760</v>
      </c>
    </row>
    <row r="168" spans="4:12" ht="25.5">
      <c r="D168" s="71">
        <v>810162</v>
      </c>
      <c r="E168" s="192"/>
      <c r="F168" s="38" t="s">
        <v>319</v>
      </c>
      <c r="G168" s="113" t="s">
        <v>320</v>
      </c>
      <c r="H168" s="109" t="s">
        <v>321</v>
      </c>
      <c r="I168" s="108">
        <v>2</v>
      </c>
      <c r="J168" s="114">
        <v>1900</v>
      </c>
      <c r="K168" s="114">
        <v>350</v>
      </c>
      <c r="L168" s="43">
        <f t="shared" si="11"/>
        <v>4500</v>
      </c>
    </row>
    <row r="169" spans="4:12" ht="25.5">
      <c r="D169" s="71">
        <v>810162</v>
      </c>
      <c r="E169" s="192"/>
      <c r="F169" s="38" t="s">
        <v>322</v>
      </c>
      <c r="G169" s="113" t="s">
        <v>323</v>
      </c>
      <c r="H169" s="109" t="s">
        <v>106</v>
      </c>
      <c r="I169" s="108">
        <v>1</v>
      </c>
      <c r="J169" s="112">
        <v>6500</v>
      </c>
      <c r="K169" s="112">
        <v>2500</v>
      </c>
      <c r="L169" s="43">
        <f t="shared" si="11"/>
        <v>9000</v>
      </c>
    </row>
    <row r="170" spans="4:12">
      <c r="D170" s="71"/>
      <c r="E170" s="192"/>
      <c r="F170" s="38" t="s">
        <v>324</v>
      </c>
      <c r="G170" s="196" t="s">
        <v>325</v>
      </c>
      <c r="H170" s="197"/>
      <c r="I170" s="197"/>
      <c r="J170" s="197"/>
      <c r="K170" s="197"/>
      <c r="L170" s="198"/>
    </row>
    <row r="171" spans="4:12">
      <c r="D171" s="71">
        <v>810162</v>
      </c>
      <c r="E171" s="192"/>
      <c r="F171" s="38" t="s">
        <v>326</v>
      </c>
      <c r="G171" s="39" t="s">
        <v>327</v>
      </c>
      <c r="H171" s="38" t="s">
        <v>92</v>
      </c>
      <c r="I171" s="40">
        <v>1</v>
      </c>
      <c r="J171" s="94">
        <v>5300</v>
      </c>
      <c r="K171" s="94">
        <v>900</v>
      </c>
      <c r="L171" s="43">
        <f t="shared" ref="L171:L188" si="12">I171*J171+K171*I171</f>
        <v>6200</v>
      </c>
    </row>
    <row r="172" spans="4:12">
      <c r="D172" s="71">
        <v>810162</v>
      </c>
      <c r="E172" s="192"/>
      <c r="F172" s="38" t="s">
        <v>328</v>
      </c>
      <c r="G172" s="39" t="s">
        <v>329</v>
      </c>
      <c r="H172" s="38" t="s">
        <v>92</v>
      </c>
      <c r="I172" s="40">
        <v>1</v>
      </c>
      <c r="J172" s="91">
        <v>860</v>
      </c>
      <c r="K172" s="91">
        <v>110</v>
      </c>
      <c r="L172" s="43">
        <f t="shared" si="12"/>
        <v>970</v>
      </c>
    </row>
    <row r="173" spans="4:12">
      <c r="D173" s="71">
        <v>810162</v>
      </c>
      <c r="E173" s="192"/>
      <c r="F173" s="38" t="s">
        <v>330</v>
      </c>
      <c r="G173" s="39" t="s">
        <v>331</v>
      </c>
      <c r="H173" s="38" t="s">
        <v>92</v>
      </c>
      <c r="I173" s="74">
        <v>1</v>
      </c>
      <c r="J173" s="94">
        <v>4300</v>
      </c>
      <c r="K173" s="94">
        <v>900</v>
      </c>
      <c r="L173" s="43">
        <f t="shared" si="12"/>
        <v>5200</v>
      </c>
    </row>
    <row r="174" spans="4:12">
      <c r="D174" s="71">
        <v>810162</v>
      </c>
      <c r="E174" s="192"/>
      <c r="F174" s="38" t="s">
        <v>332</v>
      </c>
      <c r="G174" s="39" t="s">
        <v>333</v>
      </c>
      <c r="H174" s="38" t="s">
        <v>92</v>
      </c>
      <c r="I174" s="40">
        <v>1</v>
      </c>
      <c r="J174" s="91">
        <v>1200</v>
      </c>
      <c r="K174" s="91">
        <v>110</v>
      </c>
      <c r="L174" s="43">
        <f t="shared" si="12"/>
        <v>1310</v>
      </c>
    </row>
    <row r="175" spans="4:12">
      <c r="D175" s="71">
        <v>810162</v>
      </c>
      <c r="E175" s="192"/>
      <c r="F175" s="38" t="s">
        <v>334</v>
      </c>
      <c r="G175" s="39" t="s">
        <v>335</v>
      </c>
      <c r="H175" s="38" t="s">
        <v>92</v>
      </c>
      <c r="I175" s="40">
        <v>1</v>
      </c>
      <c r="J175" s="94">
        <v>450</v>
      </c>
      <c r="K175" s="94">
        <v>110</v>
      </c>
      <c r="L175" s="43">
        <f t="shared" si="12"/>
        <v>560</v>
      </c>
    </row>
    <row r="176" spans="4:12">
      <c r="D176" s="71">
        <v>810162</v>
      </c>
      <c r="E176" s="192"/>
      <c r="F176" s="38" t="s">
        <v>336</v>
      </c>
      <c r="G176" s="39" t="s">
        <v>337</v>
      </c>
      <c r="H176" s="38" t="s">
        <v>92</v>
      </c>
      <c r="I176" s="40">
        <v>1</v>
      </c>
      <c r="J176" s="94">
        <v>2850</v>
      </c>
      <c r="K176" s="94">
        <v>900</v>
      </c>
      <c r="L176" s="43">
        <f t="shared" si="12"/>
        <v>3750</v>
      </c>
    </row>
    <row r="177" spans="4:12">
      <c r="D177" s="71">
        <v>810162</v>
      </c>
      <c r="E177" s="192"/>
      <c r="F177" s="38" t="s">
        <v>338</v>
      </c>
      <c r="G177" s="39" t="s">
        <v>339</v>
      </c>
      <c r="H177" s="38" t="s">
        <v>92</v>
      </c>
      <c r="I177" s="40">
        <v>1</v>
      </c>
      <c r="J177" s="94">
        <v>2050</v>
      </c>
      <c r="K177" s="94">
        <v>900</v>
      </c>
      <c r="L177" s="43">
        <f t="shared" si="12"/>
        <v>2950</v>
      </c>
    </row>
    <row r="178" spans="4:12">
      <c r="D178" s="71">
        <v>810162</v>
      </c>
      <c r="E178" s="192"/>
      <c r="F178" s="38" t="s">
        <v>340</v>
      </c>
      <c r="G178" s="39" t="s">
        <v>341</v>
      </c>
      <c r="H178" s="38" t="s">
        <v>92</v>
      </c>
      <c r="I178" s="40">
        <v>2</v>
      </c>
      <c r="J178" s="94">
        <v>950</v>
      </c>
      <c r="K178" s="94">
        <v>110</v>
      </c>
      <c r="L178" s="43">
        <f t="shared" si="12"/>
        <v>2120</v>
      </c>
    </row>
    <row r="179" spans="4:12">
      <c r="D179" s="71">
        <v>810162</v>
      </c>
      <c r="E179" s="192"/>
      <c r="F179" s="38" t="s">
        <v>342</v>
      </c>
      <c r="G179" s="39" t="s">
        <v>343</v>
      </c>
      <c r="H179" s="38" t="s">
        <v>92</v>
      </c>
      <c r="I179" s="40">
        <v>2</v>
      </c>
      <c r="J179" s="94">
        <v>450</v>
      </c>
      <c r="K179" s="91"/>
      <c r="L179" s="43">
        <f t="shared" si="12"/>
        <v>900</v>
      </c>
    </row>
    <row r="180" spans="4:12">
      <c r="D180" s="71">
        <v>810162</v>
      </c>
      <c r="E180" s="192"/>
      <c r="F180" s="38" t="s">
        <v>344</v>
      </c>
      <c r="G180" s="39" t="s">
        <v>345</v>
      </c>
      <c r="H180" s="38" t="s">
        <v>92</v>
      </c>
      <c r="I180" s="40">
        <v>1</v>
      </c>
      <c r="J180" s="91">
        <v>700</v>
      </c>
      <c r="K180" s="91">
        <v>110</v>
      </c>
      <c r="L180" s="43">
        <f t="shared" si="12"/>
        <v>810</v>
      </c>
    </row>
    <row r="181" spans="4:12">
      <c r="D181" s="71">
        <v>810162</v>
      </c>
      <c r="E181" s="192"/>
      <c r="F181" s="38" t="s">
        <v>346</v>
      </c>
      <c r="G181" s="39" t="s">
        <v>347</v>
      </c>
      <c r="H181" s="38" t="s">
        <v>92</v>
      </c>
      <c r="I181" s="40">
        <v>3</v>
      </c>
      <c r="J181" s="91">
        <v>320</v>
      </c>
      <c r="K181" s="91"/>
      <c r="L181" s="43">
        <f t="shared" si="12"/>
        <v>960</v>
      </c>
    </row>
    <row r="182" spans="4:12">
      <c r="D182" s="71">
        <v>810162</v>
      </c>
      <c r="E182" s="192"/>
      <c r="F182" s="38" t="s">
        <v>348</v>
      </c>
      <c r="G182" s="39" t="s">
        <v>349</v>
      </c>
      <c r="H182" s="38" t="s">
        <v>92</v>
      </c>
      <c r="I182" s="40">
        <v>1</v>
      </c>
      <c r="J182" s="94">
        <v>1050</v>
      </c>
      <c r="K182" s="91"/>
      <c r="L182" s="43">
        <f t="shared" si="12"/>
        <v>1050</v>
      </c>
    </row>
    <row r="183" spans="4:12">
      <c r="D183" s="71">
        <v>810162</v>
      </c>
      <c r="E183" s="192"/>
      <c r="F183" s="38" t="s">
        <v>350</v>
      </c>
      <c r="G183" s="39" t="s">
        <v>351</v>
      </c>
      <c r="H183" s="38" t="s">
        <v>92</v>
      </c>
      <c r="I183" s="40">
        <v>2</v>
      </c>
      <c r="J183" s="94">
        <v>1050</v>
      </c>
      <c r="K183" s="91"/>
      <c r="L183" s="43">
        <f t="shared" si="12"/>
        <v>2100</v>
      </c>
    </row>
    <row r="184" spans="4:12">
      <c r="D184" s="71">
        <v>810162</v>
      </c>
      <c r="E184" s="192"/>
      <c r="F184" s="38" t="s">
        <v>352</v>
      </c>
      <c r="G184" s="39" t="s">
        <v>353</v>
      </c>
      <c r="H184" s="38" t="s">
        <v>92</v>
      </c>
      <c r="I184" s="40">
        <v>5</v>
      </c>
      <c r="J184" s="94">
        <v>650</v>
      </c>
      <c r="K184" s="91"/>
      <c r="L184" s="43">
        <f t="shared" si="12"/>
        <v>3250</v>
      </c>
    </row>
    <row r="185" spans="4:12">
      <c r="D185" s="71">
        <v>810162</v>
      </c>
      <c r="E185" s="192"/>
      <c r="F185" s="38" t="s">
        <v>354</v>
      </c>
      <c r="G185" s="39" t="s">
        <v>355</v>
      </c>
      <c r="H185" s="38" t="s">
        <v>92</v>
      </c>
      <c r="I185" s="40"/>
      <c r="J185" s="91"/>
      <c r="K185" s="91"/>
      <c r="L185" s="43">
        <f t="shared" si="12"/>
        <v>0</v>
      </c>
    </row>
    <row r="186" spans="4:12">
      <c r="D186" s="71">
        <v>810162</v>
      </c>
      <c r="E186" s="192"/>
      <c r="F186" s="38" t="s">
        <v>356</v>
      </c>
      <c r="G186" s="39" t="s">
        <v>357</v>
      </c>
      <c r="H186" s="38" t="s">
        <v>92</v>
      </c>
      <c r="I186" s="40">
        <v>3</v>
      </c>
      <c r="J186" s="91"/>
      <c r="K186" s="91"/>
      <c r="L186" s="43">
        <f t="shared" si="12"/>
        <v>0</v>
      </c>
    </row>
    <row r="187" spans="4:12">
      <c r="D187" s="71">
        <v>810162</v>
      </c>
      <c r="E187" s="192"/>
      <c r="F187" s="38" t="s">
        <v>358</v>
      </c>
      <c r="G187" s="39" t="s">
        <v>359</v>
      </c>
      <c r="H187" s="38" t="s">
        <v>92</v>
      </c>
      <c r="I187" s="40">
        <v>2</v>
      </c>
      <c r="J187" s="91"/>
      <c r="K187" s="91"/>
      <c r="L187" s="43">
        <f t="shared" si="12"/>
        <v>0</v>
      </c>
    </row>
    <row r="188" spans="4:12">
      <c r="D188" s="71">
        <v>810162</v>
      </c>
      <c r="E188" s="192"/>
      <c r="F188" s="38" t="s">
        <v>360</v>
      </c>
      <c r="G188" s="39" t="s">
        <v>361</v>
      </c>
      <c r="H188" s="38" t="s">
        <v>92</v>
      </c>
      <c r="I188" s="40">
        <v>2</v>
      </c>
      <c r="J188" s="91"/>
      <c r="K188" s="91"/>
      <c r="L188" s="43">
        <f t="shared" si="12"/>
        <v>0</v>
      </c>
    </row>
    <row r="189" spans="4:12">
      <c r="D189" s="71"/>
      <c r="E189" s="192"/>
      <c r="F189" s="38" t="s">
        <v>362</v>
      </c>
      <c r="G189" s="196" t="s">
        <v>363</v>
      </c>
      <c r="H189" s="197"/>
      <c r="I189" s="197"/>
      <c r="J189" s="197"/>
      <c r="K189" s="197"/>
      <c r="L189" s="198"/>
    </row>
    <row r="190" spans="4:12">
      <c r="D190" s="71" t="s">
        <v>34</v>
      </c>
      <c r="E190" s="192"/>
      <c r="F190" s="38" t="s">
        <v>364</v>
      </c>
      <c r="G190" s="39" t="s">
        <v>365</v>
      </c>
      <c r="H190" s="38" t="s">
        <v>48</v>
      </c>
      <c r="I190" s="40">
        <v>1</v>
      </c>
      <c r="J190" s="91"/>
      <c r="K190" s="91"/>
      <c r="L190" s="43">
        <f>I190*J190+K190*I190</f>
        <v>0</v>
      </c>
    </row>
    <row r="191" spans="4:12">
      <c r="D191" s="71" t="s">
        <v>34</v>
      </c>
      <c r="E191" s="192"/>
      <c r="F191" s="38" t="s">
        <v>366</v>
      </c>
      <c r="G191" s="39" t="s">
        <v>367</v>
      </c>
      <c r="H191" s="38" t="s">
        <v>48</v>
      </c>
      <c r="I191" s="40">
        <v>1</v>
      </c>
      <c r="J191" s="91"/>
      <c r="K191" s="91"/>
      <c r="L191" s="43">
        <f>I191*J191+K191*I191</f>
        <v>0</v>
      </c>
    </row>
    <row r="192" spans="4:12">
      <c r="D192" s="71" t="s">
        <v>34</v>
      </c>
      <c r="E192" s="192"/>
      <c r="F192" s="38" t="s">
        <v>368</v>
      </c>
      <c r="G192" s="39" t="s">
        <v>369</v>
      </c>
      <c r="H192" s="38" t="s">
        <v>48</v>
      </c>
      <c r="I192" s="40">
        <v>1</v>
      </c>
      <c r="J192" s="91"/>
      <c r="K192" s="91"/>
      <c r="L192" s="43">
        <f>I192*J192+K192*I192</f>
        <v>0</v>
      </c>
    </row>
    <row r="193" spans="4:12">
      <c r="D193" s="71">
        <v>810162</v>
      </c>
      <c r="E193" s="192"/>
      <c r="F193" s="38" t="s">
        <v>370</v>
      </c>
      <c r="G193" s="39" t="s">
        <v>371</v>
      </c>
      <c r="H193" s="38" t="s">
        <v>48</v>
      </c>
      <c r="I193" s="40">
        <v>1</v>
      </c>
      <c r="J193" s="91"/>
      <c r="K193" s="91"/>
      <c r="L193" s="43">
        <f>I193*J193+K193*I193</f>
        <v>0</v>
      </c>
    </row>
    <row r="194" spans="4:12">
      <c r="D194" s="71"/>
      <c r="E194" s="44"/>
      <c r="F194" s="38" t="s">
        <v>372</v>
      </c>
      <c r="G194" s="196" t="s">
        <v>182</v>
      </c>
      <c r="H194" s="197"/>
      <c r="I194" s="197"/>
      <c r="J194" s="197"/>
      <c r="K194" s="197"/>
      <c r="L194" s="198"/>
    </row>
    <row r="195" spans="4:12" ht="25.5">
      <c r="D195" s="71">
        <v>810260</v>
      </c>
      <c r="E195" s="44"/>
      <c r="F195" s="38" t="s">
        <v>373</v>
      </c>
      <c r="G195" s="39" t="s">
        <v>374</v>
      </c>
      <c r="H195" s="72" t="s">
        <v>70</v>
      </c>
      <c r="I195" s="40">
        <v>38.590000000000003</v>
      </c>
      <c r="J195" s="91">
        <v>1050</v>
      </c>
      <c r="K195" s="91">
        <v>210</v>
      </c>
      <c r="L195" s="43">
        <f>I195*J195+K195*I195</f>
        <v>48623.4</v>
      </c>
    </row>
    <row r="196" spans="4:12">
      <c r="D196" s="71">
        <v>810260</v>
      </c>
      <c r="E196" s="44"/>
      <c r="F196" s="38" t="s">
        <v>375</v>
      </c>
      <c r="G196" s="39" t="s">
        <v>376</v>
      </c>
      <c r="H196" s="38" t="s">
        <v>106</v>
      </c>
      <c r="I196" s="40">
        <v>1</v>
      </c>
      <c r="J196" s="91">
        <v>4850</v>
      </c>
      <c r="K196" s="91">
        <v>980</v>
      </c>
      <c r="L196" s="43">
        <f>I196*J196+K196*I196</f>
        <v>5830</v>
      </c>
    </row>
    <row r="197" spans="4:12">
      <c r="D197" s="71">
        <v>810260</v>
      </c>
      <c r="E197" s="44"/>
      <c r="F197" s="38" t="s">
        <v>377</v>
      </c>
      <c r="G197" s="86" t="s">
        <v>378</v>
      </c>
      <c r="H197" s="38" t="s">
        <v>48</v>
      </c>
      <c r="I197" s="40"/>
      <c r="J197" s="91"/>
      <c r="K197" s="91"/>
      <c r="L197" s="43">
        <f>I197*J197+K197*I197</f>
        <v>0</v>
      </c>
    </row>
    <row r="198" spans="4:12">
      <c r="D198" s="71">
        <v>810260</v>
      </c>
      <c r="E198" s="44"/>
      <c r="F198" s="38" t="s">
        <v>379</v>
      </c>
      <c r="G198" s="39" t="s">
        <v>380</v>
      </c>
      <c r="H198" s="38" t="s">
        <v>48</v>
      </c>
      <c r="I198" s="40">
        <v>1</v>
      </c>
      <c r="J198" s="91"/>
      <c r="K198" s="91"/>
      <c r="L198" s="43">
        <f>I198*J198+K198*I198</f>
        <v>0</v>
      </c>
    </row>
    <row r="199" spans="4:12">
      <c r="D199" s="71">
        <v>810260</v>
      </c>
      <c r="E199" s="44"/>
      <c r="F199" s="38" t="s">
        <v>381</v>
      </c>
      <c r="G199" s="39" t="s">
        <v>382</v>
      </c>
      <c r="H199" s="38" t="s">
        <v>48</v>
      </c>
      <c r="I199" s="40">
        <v>1</v>
      </c>
      <c r="J199" s="91"/>
      <c r="K199" s="91"/>
      <c r="L199" s="43">
        <f>I199*J199+K199*I199</f>
        <v>0</v>
      </c>
    </row>
    <row r="200" spans="4:12">
      <c r="D200" s="71"/>
      <c r="E200" s="44"/>
      <c r="F200" s="38" t="s">
        <v>383</v>
      </c>
      <c r="G200" s="196" t="s">
        <v>115</v>
      </c>
      <c r="H200" s="197"/>
      <c r="I200" s="197"/>
      <c r="J200" s="197"/>
      <c r="K200" s="197"/>
      <c r="L200" s="198"/>
    </row>
    <row r="201" spans="4:12" ht="51">
      <c r="D201" s="71">
        <v>810162</v>
      </c>
      <c r="E201" s="44"/>
      <c r="F201" s="38" t="s">
        <v>384</v>
      </c>
      <c r="G201" s="39" t="s">
        <v>385</v>
      </c>
      <c r="H201" s="72" t="s">
        <v>70</v>
      </c>
      <c r="I201" s="40">
        <v>4.1100000000000003</v>
      </c>
      <c r="J201" s="91">
        <v>2360</v>
      </c>
      <c r="K201" s="91">
        <v>1900</v>
      </c>
      <c r="L201" s="43">
        <f t="shared" ref="L201:L215" si="13">I201*J201+K201*I201</f>
        <v>17508.600000000002</v>
      </c>
    </row>
    <row r="202" spans="4:12" ht="25.5">
      <c r="D202" s="71">
        <v>810082</v>
      </c>
      <c r="E202" s="44"/>
      <c r="F202" s="38" t="s">
        <v>386</v>
      </c>
      <c r="G202" s="106" t="s">
        <v>387</v>
      </c>
      <c r="H202" s="72" t="s">
        <v>70</v>
      </c>
      <c r="I202" s="110">
        <v>63.88</v>
      </c>
      <c r="J202" s="115">
        <v>160</v>
      </c>
      <c r="K202" s="116">
        <v>90</v>
      </c>
      <c r="L202" s="43">
        <f t="shared" si="13"/>
        <v>15970</v>
      </c>
    </row>
    <row r="203" spans="4:12">
      <c r="D203" s="71">
        <v>810082</v>
      </c>
      <c r="E203" s="44"/>
      <c r="F203" s="38" t="s">
        <v>388</v>
      </c>
      <c r="G203" s="106" t="s">
        <v>389</v>
      </c>
      <c r="H203" s="72" t="s">
        <v>70</v>
      </c>
      <c r="I203" s="110">
        <v>38.04</v>
      </c>
      <c r="J203" s="117">
        <v>65</v>
      </c>
      <c r="K203" s="118">
        <v>48</v>
      </c>
      <c r="L203" s="43">
        <f t="shared" si="13"/>
        <v>4298.5200000000004</v>
      </c>
    </row>
    <row r="204" spans="4:12">
      <c r="D204" s="71">
        <v>810051</v>
      </c>
      <c r="E204" s="44"/>
      <c r="F204" s="38" t="s">
        <v>390</v>
      </c>
      <c r="G204" s="119" t="s">
        <v>391</v>
      </c>
      <c r="H204" s="72" t="s">
        <v>70</v>
      </c>
      <c r="I204" s="120">
        <v>36</v>
      </c>
      <c r="J204" s="91">
        <v>215</v>
      </c>
      <c r="K204" s="91">
        <v>70</v>
      </c>
      <c r="L204" s="43">
        <f t="shared" si="13"/>
        <v>10260</v>
      </c>
    </row>
    <row r="205" spans="4:12">
      <c r="D205" s="71">
        <v>810030</v>
      </c>
      <c r="E205" s="44"/>
      <c r="F205" s="38" t="s">
        <v>392</v>
      </c>
      <c r="G205" s="121" t="s">
        <v>393</v>
      </c>
      <c r="H205" s="72" t="s">
        <v>70</v>
      </c>
      <c r="I205" s="120">
        <v>9.6999999999999993</v>
      </c>
      <c r="J205" s="94">
        <v>980</v>
      </c>
      <c r="K205" s="94">
        <v>70</v>
      </c>
      <c r="L205" s="43">
        <f t="shared" si="13"/>
        <v>10185</v>
      </c>
    </row>
    <row r="206" spans="4:12" ht="38.25">
      <c r="D206" s="71">
        <v>810051</v>
      </c>
      <c r="E206" s="44"/>
      <c r="F206" s="38" t="s">
        <v>394</v>
      </c>
      <c r="G206" s="39" t="s">
        <v>395</v>
      </c>
      <c r="H206" s="72" t="s">
        <v>70</v>
      </c>
      <c r="I206" s="120">
        <v>257.83</v>
      </c>
      <c r="J206" s="91"/>
      <c r="K206" s="91">
        <v>90</v>
      </c>
      <c r="L206" s="43">
        <f t="shared" si="13"/>
        <v>23204.699999999997</v>
      </c>
    </row>
    <row r="207" spans="4:12" ht="25.5">
      <c r="D207" s="71">
        <v>810030</v>
      </c>
      <c r="E207" s="44"/>
      <c r="F207" s="38" t="s">
        <v>396</v>
      </c>
      <c r="G207" s="113" t="s">
        <v>397</v>
      </c>
      <c r="H207" s="72" t="s">
        <v>124</v>
      </c>
      <c r="I207" s="122">
        <v>206</v>
      </c>
      <c r="J207" s="94">
        <v>98</v>
      </c>
      <c r="K207" s="94">
        <v>30</v>
      </c>
      <c r="L207" s="43">
        <f t="shared" si="13"/>
        <v>26368</v>
      </c>
    </row>
    <row r="208" spans="4:12">
      <c r="D208" s="71">
        <v>810041</v>
      </c>
      <c r="E208" s="44"/>
      <c r="F208" s="38" t="s">
        <v>398</v>
      </c>
      <c r="G208" s="73" t="s">
        <v>399</v>
      </c>
      <c r="H208" s="72" t="s">
        <v>70</v>
      </c>
      <c r="I208" s="120">
        <v>10.78</v>
      </c>
      <c r="J208" s="94">
        <v>36</v>
      </c>
      <c r="K208" s="94">
        <v>32</v>
      </c>
      <c r="L208" s="43">
        <f t="shared" si="13"/>
        <v>733.04</v>
      </c>
    </row>
    <row r="209" spans="4:14">
      <c r="D209" s="71">
        <v>810030</v>
      </c>
      <c r="E209" s="44"/>
      <c r="F209" s="38" t="s">
        <v>400</v>
      </c>
      <c r="G209" s="39" t="s">
        <v>401</v>
      </c>
      <c r="H209" s="72" t="s">
        <v>70</v>
      </c>
      <c r="I209" s="120">
        <v>10.78</v>
      </c>
      <c r="J209" s="94">
        <v>70</v>
      </c>
      <c r="K209" s="94">
        <v>260</v>
      </c>
      <c r="L209" s="43">
        <f t="shared" si="13"/>
        <v>3557.3999999999996</v>
      </c>
    </row>
    <row r="210" spans="4:14" ht="15">
      <c r="D210" s="71">
        <v>810080</v>
      </c>
      <c r="E210" s="44"/>
      <c r="F210" s="38" t="s">
        <v>402</v>
      </c>
      <c r="G210" s="39" t="s">
        <v>403</v>
      </c>
      <c r="H210" s="72" t="s">
        <v>70</v>
      </c>
      <c r="I210" s="120">
        <v>157</v>
      </c>
      <c r="J210" s="94">
        <v>680</v>
      </c>
      <c r="K210" s="94">
        <v>250</v>
      </c>
      <c r="L210" s="43">
        <f t="shared" si="13"/>
        <v>146010</v>
      </c>
      <c r="M210" s="123"/>
      <c r="N210" s="49"/>
    </row>
    <row r="211" spans="4:14">
      <c r="D211" s="71">
        <v>810080</v>
      </c>
      <c r="E211" s="44"/>
      <c r="F211" s="38" t="s">
        <v>404</v>
      </c>
      <c r="G211" s="124" t="s">
        <v>405</v>
      </c>
      <c r="H211" s="72" t="s">
        <v>406</v>
      </c>
      <c r="I211" s="120">
        <v>53.63</v>
      </c>
      <c r="J211" s="94">
        <v>450</v>
      </c>
      <c r="K211" s="91"/>
      <c r="L211" s="43">
        <f t="shared" si="13"/>
        <v>24133.5</v>
      </c>
      <c r="M211" s="125"/>
    </row>
    <row r="212" spans="4:14">
      <c r="D212" s="71">
        <v>810080</v>
      </c>
      <c r="E212" s="44"/>
      <c r="F212" s="38" t="s">
        <v>407</v>
      </c>
      <c r="G212" s="124" t="s">
        <v>408</v>
      </c>
      <c r="H212" s="72" t="s">
        <v>48</v>
      </c>
      <c r="I212" s="122">
        <v>1</v>
      </c>
      <c r="J212" s="94">
        <v>9800</v>
      </c>
      <c r="K212" s="91"/>
      <c r="L212" s="43">
        <f t="shared" si="13"/>
        <v>9800</v>
      </c>
      <c r="M212" s="125"/>
    </row>
    <row r="213" spans="4:14">
      <c r="D213" s="71">
        <v>810080</v>
      </c>
      <c r="E213" s="44"/>
      <c r="F213" s="38" t="s">
        <v>409</v>
      </c>
      <c r="G213" s="126" t="s">
        <v>410</v>
      </c>
      <c r="H213" s="72" t="s">
        <v>48</v>
      </c>
      <c r="I213" s="122">
        <v>1</v>
      </c>
      <c r="J213" s="91"/>
      <c r="K213" s="91">
        <v>21800</v>
      </c>
      <c r="L213" s="43">
        <f t="shared" si="13"/>
        <v>21800</v>
      </c>
      <c r="M213" s="125"/>
    </row>
    <row r="214" spans="4:14">
      <c r="D214" s="71">
        <v>810080</v>
      </c>
      <c r="E214" s="44"/>
      <c r="F214" s="38" t="s">
        <v>409</v>
      </c>
      <c r="G214" s="124" t="s">
        <v>411</v>
      </c>
      <c r="H214" s="72" t="s">
        <v>406</v>
      </c>
      <c r="I214" s="122">
        <v>12</v>
      </c>
      <c r="J214" s="91">
        <v>1219.23</v>
      </c>
      <c r="K214" s="92">
        <v>1050.43</v>
      </c>
      <c r="L214" s="43">
        <f t="shared" si="13"/>
        <v>27235.919999999998</v>
      </c>
      <c r="M214" s="125"/>
    </row>
    <row r="215" spans="4:14">
      <c r="D215" s="71">
        <v>810080</v>
      </c>
      <c r="E215" s="44"/>
      <c r="F215" s="38" t="s">
        <v>412</v>
      </c>
      <c r="G215" s="124" t="s">
        <v>413</v>
      </c>
      <c r="H215" s="72" t="s">
        <v>406</v>
      </c>
      <c r="I215" s="122">
        <v>12</v>
      </c>
      <c r="J215" s="91">
        <v>619.23</v>
      </c>
      <c r="K215" s="91">
        <v>550.42999999999995</v>
      </c>
      <c r="L215" s="43">
        <f t="shared" si="13"/>
        <v>14035.92</v>
      </c>
      <c r="M215" s="125"/>
    </row>
    <row r="216" spans="4:14">
      <c r="D216" s="71">
        <v>810080</v>
      </c>
      <c r="E216" s="44"/>
      <c r="F216" s="154">
        <v>5106</v>
      </c>
      <c r="G216" s="124" t="s">
        <v>430</v>
      </c>
      <c r="H216" s="72" t="s">
        <v>92</v>
      </c>
      <c r="I216" s="122">
        <v>5</v>
      </c>
      <c r="J216" s="91">
        <v>0</v>
      </c>
      <c r="K216" s="91">
        <v>2224</v>
      </c>
      <c r="L216" s="43">
        <f t="shared" ref="L216" si="14">I216*J216+K216*I216</f>
        <v>11120</v>
      </c>
      <c r="M216" s="125"/>
    </row>
    <row r="217" spans="4:14">
      <c r="D217" s="71">
        <v>810080</v>
      </c>
      <c r="E217" s="44"/>
      <c r="F217" s="154">
        <v>5107</v>
      </c>
      <c r="G217" s="124" t="s">
        <v>431</v>
      </c>
      <c r="H217" s="72" t="s">
        <v>48</v>
      </c>
      <c r="I217" s="122">
        <v>1</v>
      </c>
      <c r="J217" s="91">
        <v>9350</v>
      </c>
      <c r="K217" s="91">
        <v>0</v>
      </c>
      <c r="L217" s="43">
        <f t="shared" ref="L217:L218" si="15">I217*J217+K217*I217</f>
        <v>9350</v>
      </c>
      <c r="M217" s="125"/>
    </row>
    <row r="218" spans="4:14">
      <c r="D218" s="71">
        <v>810080</v>
      </c>
      <c r="E218" s="44"/>
      <c r="F218" s="38"/>
      <c r="G218" s="124"/>
      <c r="H218" s="72" t="s">
        <v>406</v>
      </c>
      <c r="I218" s="122"/>
      <c r="J218" s="91"/>
      <c r="K218" s="91"/>
      <c r="L218" s="43">
        <f t="shared" si="15"/>
        <v>0</v>
      </c>
      <c r="M218" s="125"/>
    </row>
    <row r="219" spans="4:14" ht="15">
      <c r="D219" s="127"/>
      <c r="E219" s="128"/>
      <c r="F219" s="128"/>
      <c r="G219" s="127"/>
      <c r="H219" s="129"/>
      <c r="I219" s="129"/>
      <c r="J219" s="129"/>
      <c r="K219" s="129"/>
      <c r="L219" s="130">
        <f>SUM(L111,L98,L76,L45,L30)</f>
        <v>3004692.8</v>
      </c>
    </row>
    <row r="220" spans="4:14">
      <c r="D220" s="131"/>
      <c r="E220" s="132"/>
      <c r="F220" s="132"/>
      <c r="G220" s="133" t="s">
        <v>14</v>
      </c>
      <c r="H220" s="134" t="s">
        <v>414</v>
      </c>
      <c r="I220" s="135" t="s">
        <v>415</v>
      </c>
      <c r="J220" s="134" t="s">
        <v>416</v>
      </c>
      <c r="K220" s="134" t="s">
        <v>417</v>
      </c>
      <c r="L220" s="134" t="s">
        <v>418</v>
      </c>
    </row>
    <row r="221" spans="4:14">
      <c r="D221" s="136"/>
      <c r="E221" s="136"/>
      <c r="F221" s="136"/>
      <c r="G221" s="137" t="s">
        <v>419</v>
      </c>
      <c r="H221" s="138"/>
      <c r="I221" s="139"/>
      <c r="J221" s="138"/>
      <c r="K221" s="138"/>
      <c r="L221" s="138"/>
    </row>
    <row r="222" spans="4:14">
      <c r="D222" s="140"/>
      <c r="E222" s="140"/>
      <c r="F222" s="140"/>
      <c r="G222" s="141" t="s">
        <v>420</v>
      </c>
      <c r="H222" s="140" t="s">
        <v>421</v>
      </c>
      <c r="I222" s="142">
        <v>22000</v>
      </c>
      <c r="J222" s="143"/>
      <c r="K222" s="143"/>
      <c r="L222" s="143"/>
    </row>
    <row r="223" spans="4:14">
      <c r="D223" s="140"/>
      <c r="E223" s="140"/>
      <c r="F223" s="140"/>
      <c r="G223" s="141" t="s">
        <v>422</v>
      </c>
      <c r="H223" s="140" t="s">
        <v>423</v>
      </c>
      <c r="I223" s="142">
        <v>90</v>
      </c>
      <c r="J223" s="143">
        <f t="shared" ref="J223:J229" si="16">I223*1.6</f>
        <v>144</v>
      </c>
      <c r="K223" s="143">
        <f t="shared" ref="K223:K229" si="17">I223*2</f>
        <v>180</v>
      </c>
      <c r="L223" s="143">
        <f t="shared" ref="L223:L229" si="18">I223*1.2</f>
        <v>108</v>
      </c>
    </row>
    <row r="224" spans="4:14">
      <c r="D224" s="140"/>
      <c r="E224" s="140"/>
      <c r="F224" s="140"/>
      <c r="G224" s="141" t="s">
        <v>424</v>
      </c>
      <c r="H224" s="140" t="s">
        <v>423</v>
      </c>
      <c r="I224" s="142">
        <v>70</v>
      </c>
      <c r="J224" s="143">
        <f t="shared" si="16"/>
        <v>112</v>
      </c>
      <c r="K224" s="143">
        <f t="shared" si="17"/>
        <v>140</v>
      </c>
      <c r="L224" s="143">
        <f t="shared" si="18"/>
        <v>84</v>
      </c>
    </row>
    <row r="225" spans="4:13">
      <c r="D225" s="140"/>
      <c r="E225" s="140"/>
      <c r="F225" s="140"/>
      <c r="G225" s="141" t="s">
        <v>425</v>
      </c>
      <c r="H225" s="140" t="s">
        <v>423</v>
      </c>
      <c r="I225" s="142">
        <v>110</v>
      </c>
      <c r="J225" s="143">
        <f t="shared" si="16"/>
        <v>176</v>
      </c>
      <c r="K225" s="143">
        <f t="shared" si="17"/>
        <v>220</v>
      </c>
      <c r="L225" s="143">
        <f t="shared" si="18"/>
        <v>132</v>
      </c>
    </row>
    <row r="226" spans="4:13">
      <c r="D226" s="140"/>
      <c r="E226" s="140"/>
      <c r="F226" s="140"/>
      <c r="G226" s="141" t="s">
        <v>426</v>
      </c>
      <c r="H226" s="140" t="s">
        <v>423</v>
      </c>
      <c r="I226" s="142">
        <v>90</v>
      </c>
      <c r="J226" s="143">
        <f t="shared" si="16"/>
        <v>144</v>
      </c>
      <c r="K226" s="143">
        <f t="shared" si="17"/>
        <v>180</v>
      </c>
      <c r="L226" s="143">
        <f t="shared" si="18"/>
        <v>108</v>
      </c>
    </row>
    <row r="227" spans="4:13">
      <c r="D227" s="140"/>
      <c r="E227" s="140"/>
      <c r="F227" s="140"/>
      <c r="G227" s="141" t="s">
        <v>427</v>
      </c>
      <c r="H227" s="140" t="s">
        <v>423</v>
      </c>
      <c r="I227" s="142">
        <v>60</v>
      </c>
      <c r="J227" s="143">
        <f t="shared" si="16"/>
        <v>96</v>
      </c>
      <c r="K227" s="143">
        <f t="shared" si="17"/>
        <v>120</v>
      </c>
      <c r="L227" s="143">
        <f t="shared" si="18"/>
        <v>72</v>
      </c>
    </row>
    <row r="228" spans="4:13">
      <c r="D228" s="140"/>
      <c r="E228" s="140"/>
      <c r="F228" s="140"/>
      <c r="G228" s="141" t="s">
        <v>428</v>
      </c>
      <c r="H228" s="140" t="s">
        <v>423</v>
      </c>
      <c r="I228" s="142">
        <v>70</v>
      </c>
      <c r="J228" s="143">
        <f t="shared" si="16"/>
        <v>112</v>
      </c>
      <c r="K228" s="143">
        <f t="shared" si="17"/>
        <v>140</v>
      </c>
      <c r="L228" s="143">
        <f t="shared" si="18"/>
        <v>84</v>
      </c>
    </row>
    <row r="229" spans="4:13">
      <c r="D229" s="140"/>
      <c r="E229" s="140"/>
      <c r="F229" s="140"/>
      <c r="G229" s="141" t="s">
        <v>429</v>
      </c>
      <c r="H229" s="140" t="s">
        <v>423</v>
      </c>
      <c r="I229" s="142">
        <v>70</v>
      </c>
      <c r="J229" s="143">
        <f t="shared" si="16"/>
        <v>112</v>
      </c>
      <c r="K229" s="143">
        <f t="shared" si="17"/>
        <v>140</v>
      </c>
      <c r="L229" s="143">
        <f t="shared" si="18"/>
        <v>84</v>
      </c>
    </row>
    <row r="230" spans="4:13">
      <c r="D230" s="140"/>
      <c r="E230" s="140"/>
      <c r="F230" s="140"/>
      <c r="G230" s="141"/>
      <c r="H230" s="140"/>
      <c r="I230" s="144"/>
      <c r="J230" s="143"/>
      <c r="K230" s="143"/>
      <c r="L230" s="143"/>
    </row>
    <row r="231" spans="4:13">
      <c r="D231" s="145"/>
      <c r="E231" s="146"/>
      <c r="F231" s="146"/>
      <c r="G231" s="146"/>
      <c r="H231" s="146"/>
      <c r="I231" s="145"/>
      <c r="J231" s="146"/>
      <c r="K231" s="146"/>
      <c r="L231" s="146"/>
    </row>
    <row r="232" spans="4:13">
      <c r="D232" s="145"/>
      <c r="E232" s="146"/>
      <c r="F232" s="146"/>
      <c r="G232" s="147"/>
      <c r="H232" s="148"/>
      <c r="I232" s="149"/>
      <c r="J232" s="146"/>
      <c r="K232" s="146"/>
      <c r="L232" s="146"/>
    </row>
    <row r="233" spans="4:13">
      <c r="F233" s="146"/>
      <c r="G233" s="150"/>
      <c r="H233" s="150"/>
      <c r="I233" s="150"/>
      <c r="J233" s="150"/>
      <c r="K233" s="150"/>
      <c r="L233" s="151"/>
      <c r="M233" s="152"/>
    </row>
    <row r="234" spans="4:13">
      <c r="G234" s="150"/>
      <c r="H234" s="150"/>
      <c r="I234" s="150"/>
      <c r="J234" s="150"/>
      <c r="K234" s="150"/>
      <c r="L234" s="150"/>
      <c r="M234" s="150"/>
    </row>
  </sheetData>
  <mergeCells count="52">
    <mergeCell ref="G194:L194"/>
    <mergeCell ref="G200:L200"/>
    <mergeCell ref="E99:E110"/>
    <mergeCell ref="E112:E193"/>
    <mergeCell ref="G121:L121"/>
    <mergeCell ref="G129:L129"/>
    <mergeCell ref="G135:L135"/>
    <mergeCell ref="G146:L146"/>
    <mergeCell ref="G148:L148"/>
    <mergeCell ref="G170:L170"/>
    <mergeCell ref="G189:L189"/>
    <mergeCell ref="E77:E97"/>
    <mergeCell ref="G23:H23"/>
    <mergeCell ref="G24:H24"/>
    <mergeCell ref="G25:H25"/>
    <mergeCell ref="G26:H26"/>
    <mergeCell ref="E31:E44"/>
    <mergeCell ref="E47:E75"/>
    <mergeCell ref="I26:K26"/>
    <mergeCell ref="D28:D30"/>
    <mergeCell ref="F28:F29"/>
    <mergeCell ref="G28:G29"/>
    <mergeCell ref="J28:K28"/>
    <mergeCell ref="H29:H30"/>
    <mergeCell ref="I29:I30"/>
    <mergeCell ref="J29:J30"/>
    <mergeCell ref="K29:K30"/>
    <mergeCell ref="G22:H22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10:H10"/>
    <mergeCell ref="D1:L1"/>
    <mergeCell ref="D2:G2"/>
    <mergeCell ref="D3:E3"/>
    <mergeCell ref="F3:G3"/>
    <mergeCell ref="D4:E4"/>
    <mergeCell ref="F4:G4"/>
    <mergeCell ref="H4:J4"/>
    <mergeCell ref="D6:F6"/>
    <mergeCell ref="G6:L6"/>
    <mergeCell ref="D7:F7"/>
    <mergeCell ref="G7:L7"/>
    <mergeCell ref="G9:H9"/>
  </mergeCells>
  <conditionalFormatting sqref="L443">
    <cfRule type="cellIs" dxfId="0" priority="1" operator="lessThan">
      <formula>0</formula>
    </cfRule>
  </conditionalFormatting>
  <dataValidations count="1">
    <dataValidation allowBlank="1" showInputMessage="1" showErrorMessage="1" promptTitle="INFORMAR A RAZÃO SOCIAL " prompt="DE FATURAMENTO" sqref="G6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Props1.xml><?xml version="1.0" encoding="utf-8"?>
<ds:datastoreItem xmlns:ds="http://schemas.openxmlformats.org/officeDocument/2006/customXml" ds:itemID="{61F11239-DC57-43F2-8457-F30CDE0B1535}"/>
</file>

<file path=customXml/itemProps2.xml><?xml version="1.0" encoding="utf-8"?>
<ds:datastoreItem xmlns:ds="http://schemas.openxmlformats.org/officeDocument/2006/customXml" ds:itemID="{558FEF13-36AA-4A22-9938-1931DE7A0B92}"/>
</file>

<file path=customXml/itemProps3.xml><?xml version="1.0" encoding="utf-8"?>
<ds:datastoreItem xmlns:ds="http://schemas.openxmlformats.org/officeDocument/2006/customXml" ds:itemID="{6B238513-ED03-4AE4-A90F-771467F8D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PROPOSTA08 (2)</vt:lpstr>
    </vt:vector>
  </TitlesOfParts>
  <Company>C&amp;A MODAS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Bibiana Chaves Dos Santos</dc:creator>
  <cp:lastModifiedBy>User</cp:lastModifiedBy>
  <dcterms:created xsi:type="dcterms:W3CDTF">2026-02-05T12:45:27Z</dcterms:created>
  <dcterms:modified xsi:type="dcterms:W3CDTF">2026-02-06T14:56:08Z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</Properties>
</file>