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SERVER\orcamentos1\ARQUIVO-2025\INSTALAÇÃO\01 - PROJETOS E MEMORIAIS\C&amp;A\5474 - LOJA PAULISTA - SP\PLANILHAS\"/>
    </mc:Choice>
  </mc:AlternateContent>
  <xr:revisionPtr revIDLastSave="0" documentId="13_ncr:1_{C86ED6BC-7DF1-4A30-8BEC-872625856C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ª Equal" sheetId="17" r:id="rId1"/>
  </sheets>
  <externalReferences>
    <externalReference r:id="rId2"/>
    <externalReference r:id="rId3"/>
  </externalReferences>
  <definedNames>
    <definedName name="Excel_BuiltIn__FilterDatabase_2">#REF!</definedName>
    <definedName name="Excel_BuiltIn__FilterDatabase_3">#REF!</definedName>
    <definedName name="Excel_BuiltIn_Print_Area_2">#REF!</definedName>
    <definedName name="Excel_BuiltIn_Print_Area_3">#REF!</definedName>
    <definedName name="Excel_BuiltIn_Print_Titles_2">#REF!</definedName>
    <definedName name="Excel_BuiltIn_Print_Titles_3">#REF!</definedName>
    <definedName name="Formato_da_Loja">#REF!</definedName>
    <definedName name="marco">#REF!</definedName>
    <definedName name="n_1">#REF!</definedName>
    <definedName name="prazo">[1]BDI!#REF!</definedName>
    <definedName name="Total">'[2]Totais '!$D$48</definedName>
  </definedNames>
  <calcPr calcId="191028"/>
</workbook>
</file>

<file path=xl/calcChain.xml><?xml version="1.0" encoding="utf-8"?>
<calcChain xmlns="http://schemas.openxmlformats.org/spreadsheetml/2006/main">
  <c r="H123" i="17" l="1"/>
  <c r="H122" i="17"/>
  <c r="H121" i="17"/>
  <c r="H120" i="17"/>
  <c r="H119" i="17"/>
  <c r="H118" i="17"/>
  <c r="H117" i="17"/>
  <c r="H116" i="17"/>
  <c r="H115" i="17"/>
  <c r="H114" i="17"/>
  <c r="H113" i="17"/>
  <c r="H112" i="17"/>
  <c r="H110" i="17"/>
  <c r="H109" i="17"/>
  <c r="H108" i="17"/>
  <c r="H107" i="17"/>
  <c r="H106" i="17"/>
  <c r="H105" i="17"/>
  <c r="H103" i="17"/>
  <c r="H102" i="17" s="1"/>
  <c r="H18" i="17" s="1"/>
  <c r="H101" i="17"/>
  <c r="H99" i="17" s="1"/>
  <c r="H17" i="17" s="1"/>
  <c r="H100" i="17"/>
  <c r="H98" i="17"/>
  <c r="H97" i="17"/>
  <c r="H96" i="17"/>
  <c r="H95" i="17"/>
  <c r="H94" i="17"/>
  <c r="H93" i="17"/>
  <c r="H92" i="17"/>
  <c r="H91" i="17"/>
  <c r="H89" i="17"/>
  <c r="H88" i="17"/>
  <c r="H87" i="17"/>
  <c r="H86" i="17"/>
  <c r="H85" i="17"/>
  <c r="H84" i="17"/>
  <c r="H83" i="17" s="1"/>
  <c r="H15" i="17" s="1"/>
  <c r="H82" i="17"/>
  <c r="H81" i="17" s="1"/>
  <c r="H14" i="17" s="1"/>
  <c r="H80" i="17"/>
  <c r="H79" i="17"/>
  <c r="H78" i="17"/>
  <c r="H77" i="17"/>
  <c r="H76" i="17"/>
  <c r="H75" i="17"/>
  <c r="H74" i="17"/>
  <c r="H73" i="17"/>
  <c r="H72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2" i="17"/>
  <c r="H41" i="17"/>
  <c r="H40" i="17"/>
  <c r="H39" i="17"/>
  <c r="H38" i="17"/>
  <c r="H37" i="17"/>
  <c r="H36" i="17"/>
  <c r="H35" i="17"/>
  <c r="H32" i="17"/>
  <c r="H30" i="17"/>
  <c r="H28" i="17"/>
  <c r="C20" i="17"/>
  <c r="C19" i="17"/>
  <c r="C18" i="17"/>
  <c r="C17" i="17"/>
  <c r="C16" i="17"/>
  <c r="C15" i="17"/>
  <c r="C11" i="17"/>
  <c r="C10" i="17"/>
  <c r="H43" i="17" l="1"/>
  <c r="H104" i="17"/>
  <c r="H19" i="17" s="1"/>
  <c r="H111" i="17"/>
  <c r="H20" i="17" s="1"/>
  <c r="H34" i="17"/>
  <c r="H11" i="17" s="1"/>
  <c r="H27" i="17"/>
  <c r="H10" i="17" s="1"/>
  <c r="H71" i="17"/>
  <c r="H13" i="17" s="1"/>
  <c r="H90" i="17"/>
  <c r="H16" i="17" s="1"/>
  <c r="H12" i="17" l="1"/>
  <c r="H21" i="17" s="1"/>
  <c r="H125" i="17"/>
</calcChain>
</file>

<file path=xl/sharedStrings.xml><?xml version="1.0" encoding="utf-8"?>
<sst xmlns="http://schemas.openxmlformats.org/spreadsheetml/2006/main" count="356" uniqueCount="239">
  <si>
    <t>LOJA</t>
  </si>
  <si>
    <t>ÁREA</t>
  </si>
  <si>
    <t>Gerenciador:</t>
  </si>
  <si>
    <t>RAZÃO SOCIAL</t>
  </si>
  <si>
    <t>CNPJ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</si>
  <si>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</si>
  <si>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</si>
  <si>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</si>
  <si>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</si>
  <si>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</si>
  <si>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</si>
  <si>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</si>
  <si>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</si>
  <si>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</si>
  <si>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</si>
  <si>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</si>
  <si>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Tipo</t>
  </si>
  <si>
    <t>Tamanho</t>
  </si>
  <si>
    <t>INÍCIO DA OBRA</t>
  </si>
  <si>
    <t>FINAL DE OBRA</t>
  </si>
  <si>
    <t>NOVA</t>
  </si>
  <si>
    <t>FULL</t>
  </si>
  <si>
    <t>Duração da obra:</t>
  </si>
  <si>
    <t>BOCAS DE AR E ACESSÓRIOS</t>
  </si>
  <si>
    <t>DUTOS CONVENCIONAIS</t>
  </si>
  <si>
    <t>SUPORTAÇÃO DOS DUTOS</t>
  </si>
  <si>
    <t>TOTAL</t>
  </si>
  <si>
    <t>CENT.</t>
  </si>
  <si>
    <t>ITEM</t>
  </si>
  <si>
    <t>DESCRIÇÃO</t>
  </si>
  <si>
    <t>PREÇOS UNITÁRIOS</t>
  </si>
  <si>
    <t>CUSTO</t>
  </si>
  <si>
    <t>UN</t>
  </si>
  <si>
    <t>QDE.</t>
  </si>
  <si>
    <t>MAT.</t>
  </si>
  <si>
    <t>M.OBRA</t>
  </si>
  <si>
    <t>SERVIÇOS DE AR CONDICIONADO</t>
  </si>
  <si>
    <t>EQUIPAMENTOS - FORNECIMENTO C&amp;A</t>
  </si>
  <si>
    <t>1.1</t>
  </si>
  <si>
    <t>vb</t>
  </si>
  <si>
    <t>1.2</t>
  </si>
  <si>
    <t>und</t>
  </si>
  <si>
    <t>1.3</t>
  </si>
  <si>
    <t>EQUIPAMENTOS - CONSIDERAR FORNECIMENTO E INSTALAÇÃO</t>
  </si>
  <si>
    <t>2.1</t>
  </si>
  <si>
    <t>un</t>
  </si>
  <si>
    <t>2.2</t>
  </si>
  <si>
    <t>2.3</t>
  </si>
  <si>
    <t>2.4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</si>
  <si>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</si>
  <si>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</si>
  <si>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</si>
  <si>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</si>
  <si>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</si>
  <si>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</si>
  <si>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</si>
  <si>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</si>
  <si>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</si>
  <si>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</si>
  <si>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4.1</t>
  </si>
  <si>
    <t>kg</t>
  </si>
  <si>
    <t>4.2</t>
  </si>
  <si>
    <t>4.3</t>
  </si>
  <si>
    <t>4.4</t>
  </si>
  <si>
    <t>m</t>
  </si>
  <si>
    <t>5.1</t>
  </si>
  <si>
    <t>Tirantes e acessórios</t>
  </si>
  <si>
    <t>TUBULAÇÃO DE GÁS REFRIGERANTE</t>
  </si>
  <si>
    <t>6.1</t>
  </si>
  <si>
    <t xml:space="preserve">Tubulações e conexões de cobre </t>
  </si>
  <si>
    <t>6.2</t>
  </si>
  <si>
    <t>Isolamento dos tubos de cobre</t>
  </si>
  <si>
    <t>6.3</t>
  </si>
  <si>
    <t>Gás refrigerante R410 A ( ORIGINAL DUPONT)</t>
  </si>
  <si>
    <t>6.4</t>
  </si>
  <si>
    <t>nitrogênio</t>
  </si>
  <si>
    <t>6.5</t>
  </si>
  <si>
    <t>acetileno</t>
  </si>
  <si>
    <t>6.6</t>
  </si>
  <si>
    <t>oxigênio</t>
  </si>
  <si>
    <t>HIDRÁULICA</t>
  </si>
  <si>
    <t>8.1</t>
  </si>
  <si>
    <t>Tubulação de aço carbono</t>
  </si>
  <si>
    <t>8.2</t>
  </si>
  <si>
    <t>Válvula de esfera/ globo</t>
  </si>
  <si>
    <t>8.3</t>
  </si>
  <si>
    <t>Válvula de controle e balanceamento</t>
  </si>
  <si>
    <t>8.4</t>
  </si>
  <si>
    <t>Ligação hidráulica final da moto-bomba (registros  borboletas, válvula de retenção, filtro Y, juntas de expansão, manuvacuômetros e demais acessórios.) e interligações de força/comando/automação.</t>
  </si>
  <si>
    <t>8.5</t>
  </si>
  <si>
    <t>Alumínio liso espessura 0,6 mm, calandrado,  proteção mecânica  do isolamento tubulações.</t>
  </si>
  <si>
    <t>8.6</t>
  </si>
  <si>
    <t>Reservatório de polietileno 100/300 litros ( vaso de expansão),  com sensor/chave bóia elétrica de nível (superior/inferior), interligações elétricas incluindo cabos, eletrodutos e acessórios.</t>
  </si>
  <si>
    <t>8.7</t>
  </si>
  <si>
    <t xml:space="preserve">Fechamento hidráulico dos Fancoils </t>
  </si>
  <si>
    <t>8.8</t>
  </si>
  <si>
    <t>rechapeamento dos tubos de água gelada</t>
  </si>
  <si>
    <t>MATERIAIS ELÉTRICOS</t>
  </si>
  <si>
    <t>7.1</t>
  </si>
  <si>
    <t>Quadros elétricos</t>
  </si>
  <si>
    <t>7.2</t>
  </si>
  <si>
    <t>Interligação elétrica</t>
  </si>
  <si>
    <t>TRANSPORTE</t>
  </si>
  <si>
    <t>9.1</t>
  </si>
  <si>
    <t xml:space="preserve">Transporta vertical e horizontal </t>
  </si>
  <si>
    <t>DIVERSOS</t>
  </si>
  <si>
    <t>10.1</t>
  </si>
  <si>
    <t xml:space="preserve">Projeto As Built </t>
  </si>
  <si>
    <t>10.2</t>
  </si>
  <si>
    <t>10.3</t>
  </si>
  <si>
    <t>Despesas de viagem, estadia e transporte</t>
  </si>
  <si>
    <t>10.4</t>
  </si>
  <si>
    <t>Start-up equipamentos e balanceamento do sistema</t>
  </si>
  <si>
    <t>10.5</t>
  </si>
  <si>
    <t>ART obra</t>
  </si>
  <si>
    <t>10.6</t>
  </si>
  <si>
    <t>Dreno condensadores dentro da CM</t>
  </si>
  <si>
    <t>Calço de borracha</t>
  </si>
  <si>
    <t>OMISSOS</t>
  </si>
  <si>
    <t>Total</t>
  </si>
  <si>
    <t>Instalação de resfriador de líquido 152 TR, condensação a ar,  incluindo calços amortecedores, ligação final de hidráulica  (tubulações,válvula de balanceamento, válvulas borboletas, juntas de expansão  e acessórios) e ligações finais de força/comando/automação.</t>
  </si>
  <si>
    <t>GRUPO MOTO BOMBA CENTRIFUGO, COM VAZÃO DE 43,5m³/h, PRESSÃO ESTÁTICA DISPONIVEL DE 30mmca, MOD.: 065-040-160, REF.: KSB BOMBAS</t>
  </si>
  <si>
    <t>UNIDADE DE RESFRIAMENTO DE LIQUIDO, COM CAPACIDADE DE RESFRIAMENTO DE 151,5TR, TROCADOR DE CALOR DO TIPO CASCO E TUBO, VAZÃO DE ÁGUA GELADA, 87,1m³/h, MOD.: 30XSB160, REF.: CARRIER</t>
  </si>
  <si>
    <t>AR CONDICIONADO DO TIPO FANCOIL MODULAR, VENTILADOR DO TIPO SIROCO - VAZÃO DE INSUFLAMENTO 3.400 m³/h, VAZÃO DE AR EXTERNO 600 m³/h, CAPACIDADE DE REFRIAMENTO DE 5TR'S, 8 ROWS, PRESSÃO ESTÁTICA DISPONIVEL 30mmca, VAZÃO DE ÁGUA GELADA 3,3 m³/h, FILTRAGEM DO AR G4, MOD.: 39DB05TV + 39DB05V, REF.: CARRIER.</t>
  </si>
  <si>
    <t>AR CONDICIONADO DO TIPO FANCOIL MODULAR, VENTILADOR DO TIPO SIROCO - VAZÃO DE INSUFLAMENTO 20.400 m³/h, VAZÃO DE AR EXTERNO 4.200 m³/h, CAPACIDADE DE REFRIAMENTO DE 20TR'S, 8 ROWS, PRESSÃO ESTÁTICA DISPONIVEL 30mmca, VAZÃO DE ÁGUA GELADA 19,8 m³/h, FILTRAGEM DO AR G4, MOD.: 39DB30TV + 39DB30V, REF.: CARRIER.</t>
  </si>
  <si>
    <t>FANCOLETE DO TIPO HI-WALL, COM CAPACIDADE DE RESFRIAMENTO DE 12.000 BTU/H, VAZÃO DE INSUFLAMENTO 646m³/h, MOD.: 42BC012, REF.: CARRIER.</t>
  </si>
  <si>
    <t>Instalação de ar condicionado tipo Fancoil - 5 TR</t>
  </si>
  <si>
    <t>Instalação de ar condicionado tipo Fancoil - 30 TR</t>
  </si>
  <si>
    <t>CAIXA DE VENTILAÇÃO, VAZÃO DE 9480m³/h, PRESSÃO ESTÁTICA DE 55mmca, MOD.: GVS-PF-18/18 COM FILTRO G4, REF.: SOLER E PALAU</t>
  </si>
  <si>
    <t>CAIXA DE VENTILAÇÃO, VAZÃO DE 7270m³/h, PRESSÃO ESTÁTICA DE 30mmca, MOD.: GVS-PF-18/13 COM FILTRO G4, REF.: SOLER E PALAU</t>
  </si>
  <si>
    <t>EXAUSTOR CENTRIFUGO LIMIT LOAD DE SIMPLES ASPIRAÇÃO, VAZÃO DE 1400m³/h, PRESSÃO ESTÁTICA DE 55mmca, MOD.: RLS 224 Classe I, TENSÃO 220V/3F/60hz, REF.: SOLER E PALAU</t>
  </si>
  <si>
    <t>2.5</t>
  </si>
  <si>
    <t>DIFUSOR CIRCULA, COM CAIXA PLENO, MOD.: ADLR-ZH-M, DIM.: T04, REF.: TROX</t>
  </si>
  <si>
    <t>DIFUSOR CIRCULA, SEM CAIXA PLENO, MOD.: ADLR-C, DIM.: T04, REF.: TROX</t>
  </si>
  <si>
    <t>DIFUSOR DE INSUFLAMENTO, 4 VIAS, SEM CAIXA PLENO, MOD.: ADLQ-AG, TAM.: 04 - 412x412mm, REF.: TROX</t>
  </si>
  <si>
    <t>GRELHA DE EXAUSTÃO, DE ALETA FIXA, MOD.: VAT-DG, DIM.: 225x125mm, REF.: TROX</t>
  </si>
  <si>
    <t>GRELHA DE VENTILAÇÃO E RETORNO, COM DUPLA DEFLEXÃO, MOD.: AR-AG, DIM.: 1225x325mm, REF.: TROX</t>
  </si>
  <si>
    <t>GRELHA DE VENTILAÇÃO E RETORNO, COM DUPLA DEFLEXÃO, MOD.: AR-AG, DIM.: 1225x525mm, REF.: TROX</t>
  </si>
  <si>
    <t>GRELHA VENEZIANA COM TELA METÁLICA, MOD.: AWG, DIM.: 1000X425mm, REF.: TROX</t>
  </si>
  <si>
    <t>GRELHA DE VENTILAÇÃO E RETORNO, COM DUPLA DEFLEXÃO, MOD.: AR-AG, DIM.: 425x225mm, REF.: TROX</t>
  </si>
  <si>
    <t>Tubo flexível em alumínio, com isolamento de lã de vidro 200mm</t>
  </si>
  <si>
    <t>Tubo flexível em alumínio, com isolamento de lã de vidro 250mm</t>
  </si>
  <si>
    <t>4.5</t>
  </si>
  <si>
    <t>4.6</t>
  </si>
  <si>
    <t>Duto de insuflamento com isolamento térmico TDC, chapa #26</t>
  </si>
  <si>
    <t>Duto de exaustão em chapa de aço galvanizada tipo TDC, chapa #26</t>
  </si>
  <si>
    <t>Duto de exaustão em chapa de aço galvanizada tipo TDC, chapa #24</t>
  </si>
  <si>
    <t>Duto de insuflamento com isolamento térmico TDC, chapa #24</t>
  </si>
  <si>
    <t>Duto de insuflamento com isolamento térmico TDC, chapa #22</t>
  </si>
  <si>
    <t>Duto de insuflamento com isolamento térmico TDC, chapa #20</t>
  </si>
  <si>
    <t>Duto de insuflamento com isolamento térmico TDC, chapa #18</t>
  </si>
  <si>
    <t>4.7</t>
  </si>
  <si>
    <t>4.8</t>
  </si>
  <si>
    <t>4.9</t>
  </si>
  <si>
    <t>DIFUSOR LINEAR, COM CAIXA PLENO, MOD.: ALS-DS1 DIM.: 1950x70mm, REF.: TROX</t>
  </si>
  <si>
    <t>DAMPER REGULADOR DE VAZÃO, MOD.: JN-B, DIM.: 1100x350mm, REF.: TROX</t>
  </si>
  <si>
    <t>DAMPER REGULADOR DE VAZÃO, MOD.: JN-B, DIM.: 800x800mm, REF.: TROX</t>
  </si>
  <si>
    <t>3.11</t>
  </si>
  <si>
    <t>3.12</t>
  </si>
  <si>
    <t>EXAUSTOR CENTRIFUGO LIMIT LOAD DE DUPLA ASPIRAÇÃO, VAZÃO DE 44500m³/h, PRESSÃO ESTÁTICA DE 80mmca, MOD.: RLD 1000 Classe I, TENSÃO 220V/3F/60hz, REF.: SOLER E PALAU</t>
  </si>
  <si>
    <t>DIFUSOR LINEAR, COM CAIXA PLENO, MOD.: VSD35-2S DIM.: 1950x70mm, REF.: TROX</t>
  </si>
  <si>
    <t>DIFUSOR LINEAR, COM CAIXA PLENO, MOD.: VSD35-2S DIM.: 1200x70mm, REF.: TROX</t>
  </si>
  <si>
    <t>DIFUSOR LINEAR, COM CAIXA PLENO, MOD.: VSD35-1S DIM.: 1050x40mm, REF.: TROX</t>
  </si>
  <si>
    <t>DIFUSOR LINEAR, COM CAIXA PLENO, MOD.: VSD35-2S DIM.: 1500x70mm, REF.: TROX</t>
  </si>
  <si>
    <t>GRELHA VENEZIANA COM TELA METÁLICA, MOD.: AWG, DIM.: 1600X425mm, REF.: TROX</t>
  </si>
  <si>
    <t>GRELHA VENEZIANA COM TELA METÁLICA, MOD.: AWG, DIM.: 1400X425mm, REF.: TROX</t>
  </si>
  <si>
    <t>DAMPER REGULADOR DE VAZÃO, MOD.: JN-B, DIM.: 500x250mm, REF.: TROX</t>
  </si>
  <si>
    <t>DAMPER REGULADOR DE VAZÃO, MOD.: JN-B, DIM.: 500x300mm, REF.: TROX</t>
  </si>
  <si>
    <t>DAMPER REGULADOR DE VAZÃO, MOD.: JN-B, DIM.: 1200x700mm, REF.: TROX</t>
  </si>
  <si>
    <t>3.13</t>
  </si>
  <si>
    <t>3.14</t>
  </si>
  <si>
    <t>3.15</t>
  </si>
  <si>
    <t>3.16</t>
  </si>
  <si>
    <t>3.17</t>
  </si>
  <si>
    <t>3.18</t>
  </si>
  <si>
    <t>3.19</t>
  </si>
  <si>
    <t>3.20</t>
  </si>
  <si>
    <t>2.6</t>
  </si>
  <si>
    <t>CORTINA DE AR COM DIMENSÕES DE 1500X185X145 (L x A x P) mm, MOD.: KCAF 15C 220V G5, REF.: KOMECO</t>
  </si>
  <si>
    <t>CORTINA DE AR COM DIMENSÕES DE 900X185X145 (L x A x P) mm, MOD.: KCAF 09C 220V G5, REF.: KOMECO</t>
  </si>
  <si>
    <t>2.7</t>
  </si>
  <si>
    <t>2.8</t>
  </si>
  <si>
    <t>DAMPER MOTORIZADO COM ATUADOR,MOD.: TVT, DIM.: 500x300mm, REF.: TROX</t>
  </si>
  <si>
    <t>DAMPER REGULADOR DE VAZÃO, MOD.: JN-B, DIM.: 900x350mm, REF.: TROX</t>
  </si>
  <si>
    <t>DAMPER REGULADOR DE VAZÃO, MOD.: JN-B, DIM.: 1350x350mm, REF.: TROX</t>
  </si>
  <si>
    <t>DAMPER REGULADOR DE VAZÃO, MOD.: JN-B, DIM.: 800x250mm, REF.: TROX</t>
  </si>
  <si>
    <t>DAMPER REGULADOR DE VAZÃO, MOD.: JN-B, DIM.: 1200x200mm, REF.: TROX</t>
  </si>
  <si>
    <t>DAMPER REGULADOR DE VAZÃO, MOD.: JN-B, DIM.: 1000x200mm, REF.: TROX</t>
  </si>
  <si>
    <t>DAMPER REGULADOR DE VAZÃO, MOD.: JN-B, DIM.: 1100x500mm, REF.: TROX</t>
  </si>
  <si>
    <t>3.21</t>
  </si>
  <si>
    <t>3.22</t>
  </si>
  <si>
    <t>3.23</t>
  </si>
  <si>
    <t>3.24</t>
  </si>
  <si>
    <t>3.25</t>
  </si>
  <si>
    <t>3.26</t>
  </si>
  <si>
    <t>3.27</t>
  </si>
  <si>
    <t xml:space="preserve">Av. Paulista </t>
  </si>
  <si>
    <t>dias</t>
  </si>
  <si>
    <t>11.1</t>
  </si>
  <si>
    <t>11.4</t>
  </si>
  <si>
    <t>11.3</t>
  </si>
  <si>
    <t>Tubo flexível em alumínio, com isolamento de lã de vidro 150mm</t>
  </si>
  <si>
    <t>11.2</t>
  </si>
  <si>
    <t>DAMPER REGULADOR DE VAZÃO, MOD.: JN-B, DIM.: 400x300mm, REF.: TROX</t>
  </si>
  <si>
    <t>NÃO SE APLICA</t>
  </si>
  <si>
    <t>58.862.905/0001-50</t>
  </si>
  <si>
    <t>Adriatic Service Peças e Serviços LTDA</t>
  </si>
  <si>
    <t>Fechamento hidraulico chiller</t>
  </si>
  <si>
    <t>mt</t>
  </si>
  <si>
    <t>Andaimes</t>
  </si>
  <si>
    <t>Interligação elétrica - Ventilador extração de fumaça</t>
  </si>
  <si>
    <t>Interligação elétrica - Ventiladores</t>
  </si>
  <si>
    <t>Supervisão</t>
  </si>
  <si>
    <t>Válvulas de duas vias para controle de capacidade</t>
  </si>
  <si>
    <t>Cola de contato para borracha elastomérica</t>
  </si>
  <si>
    <t>11.13</t>
  </si>
  <si>
    <t>Curvas, tês, acessórios e demais componentes</t>
  </si>
  <si>
    <t>11.11</t>
  </si>
  <si>
    <t>11.10</t>
  </si>
  <si>
    <t>11.9</t>
  </si>
  <si>
    <t>11.8</t>
  </si>
  <si>
    <t>11.7</t>
  </si>
  <si>
    <t>11.6</t>
  </si>
  <si>
    <t>11.5</t>
  </si>
  <si>
    <t>Dampers motorizados para exaustão de fumaça</t>
  </si>
  <si>
    <t>Damper para controle de fluxo de ar nos provadores</t>
  </si>
  <si>
    <t>Considerar apenas ligação ao ponto de força fornecido. Os quadros são do escopo da instaladora</t>
  </si>
  <si>
    <t xml:space="preserve">Considerar apenas ligação ao ponto de força fornecido. </t>
  </si>
  <si>
    <t>mão de obra inclusa nos itens de duto</t>
  </si>
  <si>
    <t>Isolamento térmico de dutos: manta de lã de vidro com 38mm</t>
  </si>
  <si>
    <t>OBS:</t>
  </si>
  <si>
    <t>ITEM EM FATURAMENTO DIRETO</t>
  </si>
  <si>
    <t>Condições de faturamento TRIAR (bocas de ar):</t>
  </si>
  <si>
    <t>Condições de pagamento: 28/56/84 DDL (SOB CONSULTA AO CNPJ)</t>
  </si>
  <si>
    <t>Condições de faturamento WORDAR (caixas de ventilação/exaustão):</t>
  </si>
  <si>
    <t>Condições de pagamento: 30 DDL</t>
  </si>
  <si>
    <t>Prazo de entrega: 60 dias</t>
  </si>
  <si>
    <t>CUSTOS CONSIDERANDO FATURAMENTO EM 28DDL PARA ADRIATIC / FATURAMENTO DIRETO DE BOCAS DE AR E EQUIPAMENTOS DE VENTILAÇÃO E EXAUSTÃO</t>
  </si>
  <si>
    <t>Prazo de entrega: 12-14 dias úteis para fabricação + 2 dias para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</si>
</sst>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&quot;R$&quot;\ #,##0"/>
    <numFmt numFmtId="167" formatCode="_(* #,##0_);_(* \(#,##0\);_(* &quot;-&quot;??_);_(@_)"/>
    <numFmt numFmtId="168" formatCode="#,##0.00_ ;[Red]\-#,##0.00\ "/>
    <numFmt numFmtId="169" formatCode="_(&quot;R$ &quot;* #,##0.00_);_(&quot;R$ &quot;* \(#,##0.00\);_(&quot;R$ &quot;* &quot;-&quot;??_);_(@_)"/>
    <numFmt numFmtId="170" formatCode="_-&quot;R$ &quot;* #,##0.00_-;&quot;-R$ &quot;* #,##0.00_-;_-&quot;R$ &quot;* \-??_-;_-@_-"/>
    <numFmt numFmtId="171" formatCode="_(* #,##0.00_);_(* \(#,##0.00\);_(* \-??_);_(@_)"/>
    <numFmt numFmtId="172" formatCode="[$R$-416]\ #,##0.00"/>
    <numFmt numFmtId="173" formatCode="_-* #,##0.00_-;\-* #,##0.00_-;_-* \-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2F2F2"/>
      <name val="Arial"/>
      <family val="2"/>
    </font>
    <font>
      <sz val="11"/>
      <color indexed="8"/>
      <name val="Calibri"/>
      <family val="2"/>
    </font>
    <font>
      <sz val="9"/>
      <name val="Frutiger"/>
    </font>
    <font>
      <sz val="9"/>
      <color indexed="10"/>
      <name val="Geneva"/>
      <family val="2"/>
    </font>
    <font>
      <b/>
      <sz val="10"/>
      <name val="Frutiger"/>
    </font>
    <font>
      <b/>
      <sz val="10"/>
      <name val="Frutiger"/>
      <family val="2"/>
    </font>
    <font>
      <u/>
      <sz val="11"/>
      <color indexed="12"/>
      <name val="Calibri"/>
      <family val="2"/>
    </font>
    <font>
      <u/>
      <sz val="9"/>
      <color theme="10"/>
      <name val="Frutiger"/>
    </font>
    <font>
      <sz val="8"/>
      <name val="Times New Roman"/>
      <family val="1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b/>
      <i/>
      <sz val="26"/>
      <name val="Frutiger"/>
    </font>
    <font>
      <b/>
      <i/>
      <sz val="26"/>
      <name val="Frutiger"/>
      <family val="2"/>
    </font>
    <font>
      <b/>
      <sz val="12"/>
      <name val="Frutige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rgb="FFFF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indexed="8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4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9" fontId="8" fillId="0" borderId="0">
      <alignment vertical="top" wrapText="1"/>
    </xf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10" fillId="0" borderId="0" applyNumberFormat="0">
      <alignment vertical="top" wrapText="1"/>
    </xf>
    <xf numFmtId="0" fontId="11" fillId="0" borderId="0" applyNumberFormat="0">
      <alignment vertical="top" wrapText="1"/>
    </xf>
    <xf numFmtId="0" fontId="12" fillId="0" borderId="0" applyNumberFormat="0" applyFill="0" applyBorder="0" applyAlignment="0" applyProtection="0"/>
    <xf numFmtId="49" fontId="13" fillId="0" borderId="0" applyNumberFormat="0" applyFill="0" applyBorder="0" applyAlignment="0" applyProtection="0">
      <alignment vertical="top" wrapText="1"/>
    </xf>
    <xf numFmtId="169" fontId="2" fillId="0" borderId="0" applyFont="0" applyFill="0" applyBorder="0" applyAlignment="0" applyProtection="0"/>
    <xf numFmtId="170" fontId="7" fillId="0" borderId="0" applyFill="0" applyBorder="0" applyAlignment="0" applyProtection="0"/>
    <xf numFmtId="44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44" fontId="2" fillId="0" borderId="0" applyFont="0" applyFill="0" applyBorder="0" applyAlignment="0" applyProtection="0"/>
    <xf numFmtId="169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2" fontId="2" fillId="0" borderId="0"/>
    <xf numFmtId="0" fontId="2" fillId="0" borderId="0"/>
    <xf numFmtId="0" fontId="7" fillId="0" borderId="0"/>
    <xf numFmtId="0" fontId="1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1" fillId="0" borderId="0"/>
    <xf numFmtId="49" fontId="8" fillId="0" borderId="0">
      <alignment vertical="top" wrapText="1"/>
    </xf>
    <xf numFmtId="0" fontId="2" fillId="0" borderId="0"/>
    <xf numFmtId="0" fontId="14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1" fontId="9" fillId="0" borderId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6" fillId="0" borderId="31" applyNumberFormat="0" applyFill="0" applyAlignment="0" applyProtection="0"/>
    <xf numFmtId="4" fontId="17" fillId="0" borderId="0" applyNumberFormat="0">
      <alignment horizontal="left" vertical="top"/>
    </xf>
    <xf numFmtId="0" fontId="18" fillId="0" borderId="0" applyNumberFormat="0">
      <alignment horizontal="left" vertical="top"/>
    </xf>
    <xf numFmtId="172" fontId="19" fillId="0" borderId="0">
      <alignment horizontal="left" vertical="center"/>
    </xf>
    <xf numFmtId="172" fontId="10" fillId="0" borderId="0">
      <alignment horizontal="right" vertical="center"/>
    </xf>
    <xf numFmtId="172" fontId="8" fillId="0" borderId="0">
      <alignment vertical="top"/>
    </xf>
    <xf numFmtId="164" fontId="2" fillId="0" borderId="0" applyFont="0" applyFill="0" applyBorder="0" applyAlignment="0" applyProtection="0"/>
    <xf numFmtId="173" fontId="7" fillId="0" borderId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50">
    <xf numFmtId="0" fontId="0" fillId="0" borderId="0" xfId="0"/>
    <xf numFmtId="0" fontId="6" fillId="4" borderId="10" xfId="3" applyFont="1" applyFill="1" applyBorder="1" applyAlignment="1">
      <alignment horizontal="center" vertical="center" wrapText="1"/>
    </xf>
    <xf numFmtId="0" fontId="6" fillId="4" borderId="15" xfId="3" applyFont="1" applyFill="1" applyBorder="1" applyAlignment="1">
      <alignment horizontal="center" vertical="center" wrapText="1"/>
    </xf>
    <xf numFmtId="0" fontId="6" fillId="4" borderId="19" xfId="3" applyFont="1" applyFill="1" applyBorder="1" applyAlignment="1">
      <alignment horizontal="center" vertical="center" wrapText="1"/>
    </xf>
    <xf numFmtId="165" fontId="4" fillId="3" borderId="4" xfId="77" applyNumberFormat="1" applyFont="1" applyFill="1" applyBorder="1" applyAlignment="1" applyProtection="1">
      <alignment horizontal="left" vertical="center"/>
      <protection locked="0"/>
    </xf>
    <xf numFmtId="0" fontId="2" fillId="0" borderId="25" xfId="3" applyBorder="1"/>
    <xf numFmtId="0" fontId="2" fillId="0" borderId="0" xfId="3"/>
    <xf numFmtId="1" fontId="2" fillId="0" borderId="6" xfId="3" applyNumberFormat="1" applyBorder="1" applyAlignment="1">
      <alignment horizontal="center"/>
    </xf>
    <xf numFmtId="1" fontId="2" fillId="0" borderId="7" xfId="3" applyNumberFormat="1" applyBorder="1" applyAlignment="1">
      <alignment horizontal="center"/>
    </xf>
    <xf numFmtId="0" fontId="21" fillId="0" borderId="9" xfId="3" applyFont="1" applyBorder="1"/>
    <xf numFmtId="164" fontId="2" fillId="0" borderId="9" xfId="77" applyFont="1" applyBorder="1" applyProtection="1"/>
    <xf numFmtId="1" fontId="21" fillId="0" borderId="9" xfId="3" applyNumberFormat="1" applyFont="1" applyBorder="1" applyAlignment="1">
      <alignment horizontal="left"/>
    </xf>
    <xf numFmtId="1" fontId="2" fillId="0" borderId="12" xfId="3" applyNumberFormat="1" applyBorder="1" applyAlignment="1">
      <alignment horizontal="center"/>
    </xf>
    <xf numFmtId="1" fontId="2" fillId="0" borderId="0" xfId="3" applyNumberFormat="1" applyAlignment="1">
      <alignment horizontal="center"/>
    </xf>
    <xf numFmtId="0" fontId="21" fillId="0" borderId="14" xfId="3" applyFont="1" applyBorder="1"/>
    <xf numFmtId="164" fontId="2" fillId="0" borderId="14" xfId="77" applyFont="1" applyBorder="1" applyProtection="1"/>
    <xf numFmtId="1" fontId="21" fillId="0" borderId="14" xfId="3" applyNumberFormat="1" applyFont="1" applyBorder="1" applyAlignment="1">
      <alignment horizontal="left"/>
    </xf>
    <xf numFmtId="0" fontId="21" fillId="0" borderId="18" xfId="3" applyFont="1" applyBorder="1"/>
    <xf numFmtId="164" fontId="2" fillId="0" borderId="18" xfId="77" applyFont="1" applyBorder="1" applyProtection="1"/>
    <xf numFmtId="1" fontId="21" fillId="0" borderId="18" xfId="3" applyNumberFormat="1" applyFont="1" applyBorder="1" applyAlignment="1">
      <alignment horizontal="left"/>
    </xf>
    <xf numFmtId="0" fontId="2" fillId="0" borderId="12" xfId="3" applyBorder="1" applyAlignment="1">
      <alignment horizontal="center" vertical="center"/>
    </xf>
    <xf numFmtId="0" fontId="2" fillId="0" borderId="0" xfId="3" applyAlignment="1">
      <alignment horizontal="center" vertical="center"/>
    </xf>
    <xf numFmtId="0" fontId="2" fillId="0" borderId="0" xfId="3" applyAlignment="1">
      <alignment vertical="center" wrapText="1"/>
    </xf>
    <xf numFmtId="0" fontId="2" fillId="0" borderId="0" xfId="3" applyAlignment="1">
      <alignment vertical="center"/>
    </xf>
    <xf numFmtId="164" fontId="2" fillId="0" borderId="0" xfId="77" applyFont="1" applyBorder="1" applyAlignment="1" applyProtection="1">
      <alignment vertical="center"/>
    </xf>
    <xf numFmtId="164" fontId="2" fillId="0" borderId="21" xfId="77" applyFont="1" applyBorder="1" applyAlignment="1" applyProtection="1">
      <alignment vertical="center"/>
    </xf>
    <xf numFmtId="166" fontId="2" fillId="0" borderId="24" xfId="77" applyNumberFormat="1" applyFont="1" applyBorder="1" applyAlignment="1" applyProtection="1">
      <alignment horizontal="center" vertical="center"/>
    </xf>
    <xf numFmtId="0" fontId="2" fillId="0" borderId="14" xfId="3" applyBorder="1" applyAlignment="1">
      <alignment horizontal="center" vertical="center"/>
    </xf>
    <xf numFmtId="4" fontId="22" fillId="0" borderId="14" xfId="6" applyNumberFormat="1" applyFont="1" applyBorder="1" applyAlignment="1" applyProtection="1">
      <alignment horizontal="right"/>
      <protection locked="0"/>
    </xf>
    <xf numFmtId="0" fontId="2" fillId="0" borderId="14" xfId="3" applyBorder="1" applyAlignment="1">
      <alignment horizontal="left" vertical="center"/>
    </xf>
    <xf numFmtId="1" fontId="2" fillId="0" borderId="14" xfId="3" applyNumberFormat="1" applyBorder="1" applyAlignment="1">
      <alignment horizontal="center" vertical="center"/>
    </xf>
    <xf numFmtId="0" fontId="2" fillId="4" borderId="14" xfId="3" applyFill="1" applyBorder="1" applyAlignment="1">
      <alignment horizontal="center" vertical="center"/>
    </xf>
    <xf numFmtId="0" fontId="2" fillId="6" borderId="14" xfId="3" applyFill="1" applyBorder="1" applyAlignment="1">
      <alignment horizontal="center" vertical="center"/>
    </xf>
    <xf numFmtId="4" fontId="23" fillId="0" borderId="14" xfId="6" applyNumberFormat="1" applyFont="1" applyBorder="1" applyAlignment="1" applyProtection="1">
      <alignment horizontal="right"/>
    </xf>
    <xf numFmtId="0" fontId="2" fillId="0" borderId="14" xfId="3" applyBorder="1" applyAlignment="1" applyProtection="1">
      <alignment horizontal="center" vertical="center"/>
      <protection locked="0"/>
    </xf>
    <xf numFmtId="0" fontId="3" fillId="2" borderId="3" xfId="89" applyFont="1" applyFill="1" applyBorder="1" applyAlignment="1" applyProtection="1">
      <alignment horizontal="center" vertical="center" wrapText="1"/>
      <protection locked="0"/>
    </xf>
    <xf numFmtId="0" fontId="3" fillId="2" borderId="3" xfId="89" applyFont="1" applyFill="1" applyBorder="1" applyAlignment="1" applyProtection="1">
      <alignment horizontal="center" vertical="center"/>
      <protection locked="0"/>
    </xf>
    <xf numFmtId="14" fontId="4" fillId="3" borderId="2" xfId="89" applyNumberFormat="1" applyFont="1" applyFill="1" applyBorder="1" applyAlignment="1" applyProtection="1">
      <alignment horizontal="center" vertical="center"/>
      <protection locked="0"/>
    </xf>
    <xf numFmtId="0" fontId="4" fillId="3" borderId="2" xfId="89" applyFont="1" applyFill="1" applyBorder="1" applyAlignment="1" applyProtection="1">
      <alignment vertical="center"/>
      <protection locked="0"/>
    </xf>
    <xf numFmtId="0" fontId="1" fillId="0" borderId="5" xfId="89" applyFont="1" applyBorder="1" applyAlignment="1" applyProtection="1">
      <alignment vertical="center"/>
      <protection locked="0"/>
    </xf>
    <xf numFmtId="0" fontId="1" fillId="0" borderId="0" xfId="89" applyFont="1" applyAlignment="1" applyProtection="1">
      <alignment vertical="center"/>
      <protection locked="0"/>
    </xf>
    <xf numFmtId="1" fontId="2" fillId="0" borderId="14" xfId="89" applyNumberFormat="1" applyBorder="1" applyAlignment="1">
      <alignment horizontal="center" vertical="center"/>
    </xf>
    <xf numFmtId="1" fontId="2" fillId="0" borderId="14" xfId="89" quotePrefix="1" applyNumberFormat="1" applyBorder="1" applyAlignment="1" applyProtection="1">
      <alignment horizontal="center" vertical="center"/>
      <protection locked="0"/>
    </xf>
    <xf numFmtId="4" fontId="22" fillId="0" borderId="14" xfId="6" applyNumberFormat="1" applyFont="1" applyFill="1" applyBorder="1" applyAlignment="1" applyProtection="1">
      <alignment horizontal="right"/>
      <protection locked="0"/>
    </xf>
    <xf numFmtId="0" fontId="2" fillId="0" borderId="14" xfId="0" applyFont="1" applyBorder="1" applyAlignment="1">
      <alignment vertical="center" wrapText="1"/>
    </xf>
    <xf numFmtId="4" fontId="2" fillId="0" borderId="14" xfId="90" applyNumberFormat="1" applyFont="1" applyBorder="1" applyAlignment="1">
      <alignment horizontal="center"/>
    </xf>
    <xf numFmtId="0" fontId="15" fillId="0" borderId="14" xfId="3" applyFont="1" applyBorder="1" applyAlignment="1" applyProtection="1">
      <alignment horizontal="center" vertical="center"/>
      <protection locked="0"/>
    </xf>
    <xf numFmtId="14" fontId="4" fillId="3" borderId="3" xfId="89" applyNumberFormat="1" applyFont="1" applyFill="1" applyBorder="1" applyAlignment="1" applyProtection="1">
      <alignment horizontal="center" vertical="center"/>
      <protection locked="0"/>
    </xf>
    <xf numFmtId="165" fontId="4" fillId="3" borderId="3" xfId="77" applyNumberFormat="1" applyFont="1" applyFill="1" applyBorder="1" applyAlignment="1" applyProtection="1">
      <alignment horizontal="center" vertical="center"/>
      <protection locked="0"/>
    </xf>
    <xf numFmtId="4" fontId="2" fillId="0" borderId="14" xfId="6" applyNumberFormat="1" applyFont="1" applyFill="1" applyBorder="1" applyAlignment="1" applyProtection="1">
      <alignment horizontal="right"/>
      <protection locked="0"/>
    </xf>
    <xf numFmtId="4" fontId="21" fillId="0" borderId="14" xfId="6" applyNumberFormat="1" applyFont="1" applyFill="1" applyBorder="1" applyAlignment="1" applyProtection="1">
      <alignment horizontal="right"/>
    </xf>
    <xf numFmtId="4" fontId="22" fillId="0" borderId="14" xfId="6" applyNumberFormat="1" applyFont="1" applyFill="1" applyBorder="1" applyAlignment="1" applyProtection="1">
      <alignment horizontal="left"/>
      <protection locked="0"/>
    </xf>
    <xf numFmtId="0" fontId="24" fillId="0" borderId="0" xfId="8" applyFont="1" applyAlignment="1" applyProtection="1">
      <alignment vertical="center"/>
      <protection hidden="1"/>
    </xf>
    <xf numFmtId="0" fontId="25" fillId="0" borderId="0" xfId="10" applyFont="1" applyAlignment="1">
      <alignment vertical="center"/>
    </xf>
    <xf numFmtId="0" fontId="4" fillId="3" borderId="2" xfId="89" applyFont="1" applyFill="1" applyBorder="1" applyAlignment="1" applyProtection="1">
      <alignment horizontal="center" vertical="center"/>
      <protection locked="0"/>
    </xf>
    <xf numFmtId="0" fontId="3" fillId="2" borderId="2" xfId="89" applyFont="1" applyFill="1" applyBorder="1" applyAlignment="1" applyProtection="1">
      <alignment horizontal="center" vertical="center"/>
      <protection locked="0"/>
    </xf>
    <xf numFmtId="0" fontId="29" fillId="7" borderId="14" xfId="3" applyFont="1" applyFill="1" applyBorder="1" applyAlignment="1">
      <alignment horizontal="center" vertical="center"/>
    </xf>
    <xf numFmtId="0" fontId="29" fillId="7" borderId="14" xfId="3" applyFont="1" applyFill="1" applyBorder="1" applyAlignment="1">
      <alignment horizontal="left" vertical="center"/>
    </xf>
    <xf numFmtId="1" fontId="29" fillId="7" borderId="14" xfId="3" applyNumberFormat="1" applyFont="1" applyFill="1" applyBorder="1" applyAlignment="1">
      <alignment horizontal="center" vertical="center"/>
    </xf>
    <xf numFmtId="168" fontId="29" fillId="7" borderId="14" xfId="62" applyNumberFormat="1" applyFont="1" applyFill="1" applyBorder="1" applyAlignment="1" applyProtection="1">
      <alignment horizontal="right" vertical="center"/>
    </xf>
    <xf numFmtId="168" fontId="30" fillId="7" borderId="14" xfId="62" applyNumberFormat="1" applyFont="1" applyFill="1" applyBorder="1" applyAlignment="1" applyProtection="1">
      <alignment horizontal="right" vertical="center"/>
    </xf>
    <xf numFmtId="0" fontId="28" fillId="0" borderId="0" xfId="0" applyFont="1"/>
    <xf numFmtId="0" fontId="2" fillId="7" borderId="8" xfId="3" applyFill="1" applyBorder="1" applyAlignment="1">
      <alignment horizontal="left" vertical="center"/>
    </xf>
    <xf numFmtId="0" fontId="2" fillId="7" borderId="13" xfId="3" applyFill="1" applyBorder="1" applyAlignment="1">
      <alignment horizontal="left" vertical="center"/>
    </xf>
    <xf numFmtId="164" fontId="2" fillId="7" borderId="11" xfId="77" applyFont="1" applyFill="1" applyBorder="1" applyAlignment="1" applyProtection="1">
      <alignment horizontal="right"/>
    </xf>
    <xf numFmtId="164" fontId="2" fillId="7" borderId="16" xfId="77" applyFont="1" applyFill="1" applyBorder="1" applyAlignment="1" applyProtection="1">
      <alignment horizontal="right"/>
    </xf>
    <xf numFmtId="0" fontId="21" fillId="9" borderId="17" xfId="3" applyFont="1" applyFill="1" applyBorder="1" applyAlignment="1">
      <alignment horizontal="left" vertical="top" wrapText="1"/>
    </xf>
    <xf numFmtId="0" fontId="29" fillId="2" borderId="22" xfId="3" applyFont="1" applyFill="1" applyBorder="1" applyAlignment="1">
      <alignment horizontal="center" vertical="center"/>
    </xf>
    <xf numFmtId="0" fontId="29" fillId="2" borderId="24" xfId="3" applyFont="1" applyFill="1" applyBorder="1" applyAlignment="1">
      <alignment horizontal="center" vertical="center"/>
    </xf>
    <xf numFmtId="0" fontId="29" fillId="2" borderId="27" xfId="3" applyFont="1" applyFill="1" applyBorder="1" applyAlignment="1">
      <alignment horizontal="center" vertical="center"/>
    </xf>
    <xf numFmtId="0" fontId="29" fillId="2" borderId="29" xfId="3" applyFont="1" applyFill="1" applyBorder="1" applyAlignment="1">
      <alignment horizontal="center" vertical="center"/>
    </xf>
    <xf numFmtId="0" fontId="29" fillId="2" borderId="23" xfId="3" applyFont="1" applyFill="1" applyBorder="1" applyAlignment="1">
      <alignment horizontal="center" vertical="center"/>
    </xf>
    <xf numFmtId="166" fontId="29" fillId="2" borderId="26" xfId="77" applyNumberFormat="1" applyFont="1" applyFill="1" applyBorder="1" applyAlignment="1" applyProtection="1">
      <alignment horizontal="center" vertical="center"/>
    </xf>
    <xf numFmtId="0" fontId="30" fillId="7" borderId="14" xfId="3" applyFont="1" applyFill="1" applyBorder="1" applyAlignment="1">
      <alignment horizontal="center" vertical="center"/>
    </xf>
    <xf numFmtId="164" fontId="30" fillId="7" borderId="29" xfId="62" applyFont="1" applyFill="1" applyBorder="1" applyAlignment="1" applyProtection="1">
      <alignment horizontal="center" vertical="center"/>
    </xf>
    <xf numFmtId="164" fontId="30" fillId="7" borderId="30" xfId="62" applyFont="1" applyFill="1" applyBorder="1" applyAlignment="1" applyProtection="1">
      <alignment horizontal="center" vertical="center"/>
    </xf>
    <xf numFmtId="166" fontId="30" fillId="9" borderId="26" xfId="77" applyNumberFormat="1" applyFont="1" applyFill="1" applyBorder="1" applyAlignment="1" applyProtection="1">
      <alignment horizontal="center" vertical="center"/>
    </xf>
    <xf numFmtId="164" fontId="21" fillId="7" borderId="20" xfId="77" applyFont="1" applyFill="1" applyBorder="1" applyAlignment="1" applyProtection="1">
      <alignment horizontal="right"/>
    </xf>
    <xf numFmtId="0" fontId="2" fillId="0" borderId="35" xfId="0" applyFont="1" applyBorder="1" applyAlignment="1">
      <alignment horizontal="left" vertical="top" wrapText="1"/>
    </xf>
    <xf numFmtId="0" fontId="2" fillId="0" borderId="35" xfId="0" applyFont="1" applyBorder="1" applyAlignment="1">
      <alignment vertical="top" wrapText="1"/>
    </xf>
    <xf numFmtId="0" fontId="2" fillId="0" borderId="14" xfId="0" applyFont="1" applyBorder="1"/>
    <xf numFmtId="0" fontId="2" fillId="7" borderId="27" xfId="3" applyFill="1" applyBorder="1" applyAlignment="1">
      <alignment horizontal="left" vertical="center"/>
    </xf>
    <xf numFmtId="0" fontId="21" fillId="0" borderId="28" xfId="3" applyFont="1" applyBorder="1"/>
    <xf numFmtId="164" fontId="2" fillId="0" borderId="28" xfId="77" applyFont="1" applyBorder="1" applyProtection="1"/>
    <xf numFmtId="1" fontId="21" fillId="0" borderId="28" xfId="3" applyNumberFormat="1" applyFont="1" applyBorder="1" applyAlignment="1">
      <alignment horizontal="left"/>
    </xf>
    <xf numFmtId="0" fontId="6" fillId="4" borderId="30" xfId="3" applyFont="1" applyFill="1" applyBorder="1" applyAlignment="1">
      <alignment horizontal="center" vertical="center" wrapText="1"/>
    </xf>
    <xf numFmtId="164" fontId="2" fillId="7" borderId="36" xfId="77" applyFont="1" applyFill="1" applyBorder="1" applyAlignment="1" applyProtection="1">
      <alignment horizontal="right"/>
    </xf>
    <xf numFmtId="0" fontId="2" fillId="7" borderId="22" xfId="3" applyFill="1" applyBorder="1" applyAlignment="1">
      <alignment horizontal="left" vertical="center"/>
    </xf>
    <xf numFmtId="0" fontId="21" fillId="0" borderId="23" xfId="3" applyFont="1" applyBorder="1"/>
    <xf numFmtId="164" fontId="2" fillId="0" borderId="23" xfId="77" applyFont="1" applyBorder="1" applyProtection="1"/>
    <xf numFmtId="1" fontId="21" fillId="0" borderId="23" xfId="3" applyNumberFormat="1" applyFont="1" applyBorder="1" applyAlignment="1">
      <alignment horizontal="left"/>
    </xf>
    <xf numFmtId="0" fontId="6" fillId="4" borderId="37" xfId="3" applyFont="1" applyFill="1" applyBorder="1" applyAlignment="1">
      <alignment horizontal="center" vertical="center" wrapText="1"/>
    </xf>
    <xf numFmtId="164" fontId="2" fillId="7" borderId="38" xfId="77" applyFont="1" applyFill="1" applyBorder="1" applyAlignment="1" applyProtection="1">
      <alignment horizontal="right"/>
    </xf>
    <xf numFmtId="0" fontId="5" fillId="10" borderId="2" xfId="89" applyFont="1" applyFill="1" applyBorder="1" applyAlignment="1" applyProtection="1">
      <alignment horizontal="center" vertical="center"/>
      <protection locked="0"/>
    </xf>
    <xf numFmtId="3" fontId="31" fillId="10" borderId="2" xfId="89" applyNumberFormat="1" applyFont="1" applyFill="1" applyBorder="1" applyAlignment="1" applyProtection="1">
      <alignment horizontal="center" vertical="center"/>
      <protection locked="0"/>
    </xf>
    <xf numFmtId="0" fontId="2" fillId="0" borderId="14" xfId="0" applyFont="1" applyBorder="1" applyAlignment="1">
      <alignment horizontal="left" vertical="center" wrapText="1"/>
    </xf>
    <xf numFmtId="0" fontId="2" fillId="0" borderId="14" xfId="89" applyBorder="1" applyAlignment="1">
      <alignment horizontal="left" vertical="center" wrapText="1"/>
    </xf>
    <xf numFmtId="0" fontId="2" fillId="0" borderId="14" xfId="89" applyBorder="1" applyAlignment="1">
      <alignment horizontal="left" vertical="center"/>
    </xf>
    <xf numFmtId="0" fontId="2" fillId="0" borderId="32" xfId="0" applyFont="1" applyBorder="1" applyAlignment="1">
      <alignment vertical="center" wrapText="1"/>
    </xf>
    <xf numFmtId="4" fontId="2" fillId="0" borderId="14" xfId="90" applyNumberFormat="1" applyFont="1" applyFill="1" applyBorder="1" applyAlignment="1">
      <alignment horizontal="center" vertical="center"/>
    </xf>
    <xf numFmtId="168" fontId="0" fillId="0" borderId="0" xfId="0" applyNumberFormat="1"/>
    <xf numFmtId="0" fontId="2" fillId="5" borderId="14" xfId="89" applyFill="1" applyBorder="1" applyAlignment="1">
      <alignment horizontal="center" vertical="center"/>
    </xf>
    <xf numFmtId="1" fontId="2" fillId="0" borderId="14" xfId="3" applyNumberFormat="1" applyBorder="1" applyAlignment="1" applyProtection="1">
      <alignment horizontal="center" vertical="center"/>
      <protection locked="0"/>
    </xf>
    <xf numFmtId="4" fontId="22" fillId="11" borderId="14" xfId="6" applyNumberFormat="1" applyFont="1" applyFill="1" applyBorder="1" applyAlignment="1" applyProtection="1">
      <alignment horizontal="right"/>
      <protection locked="0"/>
    </xf>
    <xf numFmtId="1" fontId="2" fillId="12" borderId="14" xfId="3" applyNumberFormat="1" applyFill="1" applyBorder="1" applyAlignment="1" applyProtection="1">
      <alignment horizontal="center" vertical="center"/>
      <protection locked="0"/>
    </xf>
    <xf numFmtId="4" fontId="2" fillId="11" borderId="14" xfId="6" applyNumberFormat="1" applyFont="1" applyFill="1" applyBorder="1" applyAlignment="1" applyProtection="1">
      <alignment horizontal="right"/>
      <protection locked="0"/>
    </xf>
    <xf numFmtId="0" fontId="32" fillId="0" borderId="0" xfId="0" applyFont="1"/>
    <xf numFmtId="0" fontId="15" fillId="0" borderId="14" xfId="89" applyFont="1" applyBorder="1" applyAlignment="1">
      <alignment horizontal="left" vertical="center"/>
    </xf>
    <xf numFmtId="0" fontId="22" fillId="0" borderId="0" xfId="0" applyFont="1"/>
    <xf numFmtId="0" fontId="2" fillId="0" borderId="14" xfId="0" applyFont="1" applyBorder="1" applyAlignment="1">
      <alignment horizontal="center" vertical="center" wrapText="1"/>
    </xf>
    <xf numFmtId="1" fontId="2" fillId="12" borderId="14" xfId="89" applyNumberFormat="1" applyFill="1" applyBorder="1" applyAlignment="1">
      <alignment horizontal="center" vertical="center"/>
    </xf>
    <xf numFmtId="0" fontId="32" fillId="0" borderId="0" xfId="0" applyFont="1" applyAlignment="1">
      <alignment wrapText="1"/>
    </xf>
    <xf numFmtId="0" fontId="35" fillId="0" borderId="0" xfId="0" applyFont="1"/>
    <xf numFmtId="0" fontId="34" fillId="0" borderId="0" xfId="0" applyFont="1" applyAlignment="1">
      <alignment horizontal="left"/>
    </xf>
    <xf numFmtId="0" fontId="36" fillId="0" borderId="0" xfId="10" applyFont="1" applyAlignment="1">
      <alignment vertical="center"/>
    </xf>
    <xf numFmtId="0" fontId="33" fillId="0" borderId="0" xfId="0" applyFont="1" applyAlignment="1">
      <alignment horizontal="left" vertical="center"/>
    </xf>
    <xf numFmtId="1" fontId="15" fillId="0" borderId="14" xfId="89" quotePrefix="1" applyNumberFormat="1" applyFont="1" applyBorder="1" applyAlignment="1" applyProtection="1">
      <alignment horizontal="center" vertical="center"/>
      <protection locked="0"/>
    </xf>
    <xf numFmtId="168" fontId="32" fillId="0" borderId="0" xfId="0" applyNumberFormat="1" applyFont="1"/>
    <xf numFmtId="0" fontId="27" fillId="0" borderId="0" xfId="10" applyFont="1" applyAlignment="1">
      <alignment vertical="center"/>
    </xf>
    <xf numFmtId="0" fontId="38" fillId="0" borderId="38" xfId="10" applyFont="1" applyBorder="1" applyAlignment="1">
      <alignment horizontal="left" vertical="center" wrapText="1"/>
    </xf>
    <xf numFmtId="0" fontId="27" fillId="0" borderId="41" xfId="8" applyFont="1" applyBorder="1" applyAlignment="1" applyProtection="1">
      <alignment vertical="center"/>
      <protection hidden="1"/>
    </xf>
    <xf numFmtId="0" fontId="38" fillId="14" borderId="40" xfId="10" applyFont="1" applyFill="1" applyBorder="1" applyAlignment="1">
      <alignment horizontal="left" vertical="center" wrapText="1"/>
    </xf>
    <xf numFmtId="167" fontId="39" fillId="8" borderId="14" xfId="62" applyNumberFormat="1" applyFont="1" applyFill="1" applyBorder="1" applyAlignment="1" applyProtection="1">
      <alignment horizontal="center" vertical="center"/>
    </xf>
    <xf numFmtId="0" fontId="39" fillId="8" borderId="14" xfId="3" applyFont="1" applyFill="1" applyBorder="1" applyAlignment="1">
      <alignment horizontal="left" vertical="center" wrapText="1"/>
    </xf>
    <xf numFmtId="0" fontId="40" fillId="8" borderId="14" xfId="3" applyFont="1" applyFill="1" applyBorder="1" applyAlignment="1">
      <alignment horizontal="center" vertical="center"/>
    </xf>
    <xf numFmtId="164" fontId="40" fillId="8" borderId="14" xfId="62" applyFont="1" applyFill="1" applyBorder="1" applyAlignment="1" applyProtection="1">
      <alignment vertical="center"/>
    </xf>
    <xf numFmtId="168" fontId="40" fillId="8" borderId="14" xfId="62" applyNumberFormat="1" applyFont="1" applyFill="1" applyBorder="1" applyAlignment="1" applyProtection="1">
      <alignment vertical="center"/>
    </xf>
    <xf numFmtId="168" fontId="39" fillId="8" borderId="14" xfId="62" applyNumberFormat="1" applyFont="1" applyFill="1" applyBorder="1" applyAlignment="1" applyProtection="1">
      <alignment horizontal="right" vertical="center"/>
    </xf>
    <xf numFmtId="168" fontId="39" fillId="8" borderId="14" xfId="62" applyNumberFormat="1" applyFont="1" applyFill="1" applyBorder="1" applyAlignment="1" applyProtection="1">
      <alignment vertical="center"/>
    </xf>
    <xf numFmtId="0" fontId="37" fillId="13" borderId="0" xfId="0" applyFont="1" applyFill="1" applyAlignment="1">
      <alignment horizontal="center" vertical="center" wrapText="1"/>
    </xf>
    <xf numFmtId="0" fontId="37" fillId="13" borderId="39" xfId="0" applyFont="1" applyFill="1" applyBorder="1" applyAlignment="1">
      <alignment horizontal="center" vertical="center" wrapText="1"/>
    </xf>
    <xf numFmtId="0" fontId="30" fillId="8" borderId="14" xfId="3" applyFont="1" applyFill="1" applyBorder="1" applyAlignment="1">
      <alignment horizontal="left" vertical="center" wrapText="1"/>
    </xf>
    <xf numFmtId="164" fontId="29" fillId="2" borderId="15" xfId="77" applyFont="1" applyFill="1" applyBorder="1" applyAlignment="1" applyProtection="1">
      <alignment horizontal="center" vertical="center"/>
    </xf>
    <xf numFmtId="164" fontId="29" fillId="2" borderId="25" xfId="77" applyFont="1" applyFill="1" applyBorder="1" applyAlignment="1" applyProtection="1">
      <alignment horizontal="center" vertical="center"/>
    </xf>
    <xf numFmtId="0" fontId="29" fillId="2" borderId="23" xfId="3" applyFont="1" applyFill="1" applyBorder="1" applyAlignment="1">
      <alignment horizontal="center" vertical="center"/>
    </xf>
    <xf numFmtId="0" fontId="29" fillId="2" borderId="28" xfId="3" applyFont="1" applyFill="1" applyBorder="1" applyAlignment="1">
      <alignment horizontal="center" vertical="center"/>
    </xf>
    <xf numFmtId="0" fontId="4" fillId="3" borderId="3" xfId="89" applyFont="1" applyFill="1" applyBorder="1" applyAlignment="1" applyProtection="1">
      <alignment horizontal="center" vertical="center" wrapText="1"/>
      <protection locked="0"/>
    </xf>
    <xf numFmtId="0" fontId="4" fillId="3" borderId="4" xfId="89" applyFont="1" applyFill="1" applyBorder="1" applyAlignment="1" applyProtection="1">
      <alignment horizontal="center" vertical="center" wrapText="1"/>
      <protection locked="0"/>
    </xf>
    <xf numFmtId="0" fontId="5" fillId="10" borderId="3" xfId="89" applyFont="1" applyFill="1" applyBorder="1" applyAlignment="1" applyProtection="1">
      <alignment horizontal="center" vertical="center" wrapText="1"/>
      <protection locked="0"/>
    </xf>
    <xf numFmtId="0" fontId="5" fillId="10" borderId="1" xfId="89" applyFont="1" applyFill="1" applyBorder="1" applyAlignment="1" applyProtection="1">
      <alignment horizontal="center" vertical="center" wrapText="1"/>
      <protection locked="0"/>
    </xf>
    <xf numFmtId="0" fontId="5" fillId="10" borderId="4" xfId="89" applyFont="1" applyFill="1" applyBorder="1" applyAlignment="1" applyProtection="1">
      <alignment horizontal="center" vertical="center" wrapText="1"/>
      <protection locked="0"/>
    </xf>
    <xf numFmtId="0" fontId="4" fillId="3" borderId="3" xfId="89" applyFont="1" applyFill="1" applyBorder="1" applyAlignment="1" applyProtection="1">
      <alignment horizontal="center" vertical="center"/>
      <protection locked="0"/>
    </xf>
    <xf numFmtId="0" fontId="4" fillId="3" borderId="4" xfId="89" applyFont="1" applyFill="1" applyBorder="1" applyAlignment="1" applyProtection="1">
      <alignment horizontal="center" vertical="center"/>
      <protection locked="0"/>
    </xf>
    <xf numFmtId="0" fontId="26" fillId="10" borderId="33" xfId="92" applyFont="1" applyFill="1" applyBorder="1" applyAlignment="1">
      <alignment horizontal="center"/>
    </xf>
    <xf numFmtId="0" fontId="26" fillId="10" borderId="34" xfId="92" applyFont="1" applyFill="1" applyBorder="1" applyAlignment="1">
      <alignment horizontal="center"/>
    </xf>
    <xf numFmtId="0" fontId="3" fillId="2" borderId="2" xfId="89" applyFont="1" applyFill="1" applyBorder="1" applyAlignment="1" applyProtection="1">
      <alignment horizontal="center" vertical="center"/>
      <protection locked="0"/>
    </xf>
    <xf numFmtId="0" fontId="4" fillId="3" borderId="2" xfId="89" applyFont="1" applyFill="1" applyBorder="1" applyAlignment="1" applyProtection="1">
      <alignment horizontal="center" vertical="center"/>
      <protection locked="0"/>
    </xf>
    <xf numFmtId="0" fontId="31" fillId="10" borderId="3" xfId="89" applyFont="1" applyFill="1" applyBorder="1" applyAlignment="1" applyProtection="1">
      <alignment horizontal="center" vertical="center"/>
      <protection locked="0"/>
    </xf>
    <xf numFmtId="0" fontId="31" fillId="10" borderId="4" xfId="89" applyFont="1" applyFill="1" applyBorder="1" applyAlignment="1" applyProtection="1">
      <alignment horizontal="center" vertical="center"/>
      <protection locked="0"/>
    </xf>
    <xf numFmtId="0" fontId="4" fillId="3" borderId="1" xfId="89" applyFont="1" applyFill="1" applyBorder="1" applyAlignment="1" applyProtection="1">
      <alignment horizontal="center" vertical="center" wrapText="1"/>
      <protection locked="0"/>
    </xf>
  </cellXfs>
  <cellStyles count="94">
    <cellStyle name="0,0_x000d__x000a_NA_x000d__x000a_" xfId="9" xr:uid="{00000000-0005-0000-0000-000000000000}"/>
    <cellStyle name="0,0_x000d__x000a_NA_x000d__x000a_ 2" xfId="10" xr:uid="{00000000-0005-0000-0000-000001000000}"/>
    <cellStyle name="0,0_x000d__x000a_NA_x000d__x000a_ 3" xfId="8" xr:uid="{00000000-0005-0000-0000-000002000000}"/>
    <cellStyle name="0,0_x000d__x000a_NA_x000d__x000a__Apple Shopping Village Mall Rio de Janeiro_orçamento" xfId="91" xr:uid="{00000000-0005-0000-0000-000003000000}"/>
    <cellStyle name="Cancel" xfId="11" xr:uid="{00000000-0005-0000-0000-000004000000}"/>
    <cellStyle name="Cancel 2" xfId="7" xr:uid="{00000000-0005-0000-0000-000005000000}"/>
    <cellStyle name="Cancel 3" xfId="12" xr:uid="{00000000-0005-0000-0000-000006000000}"/>
    <cellStyle name="Currency 2" xfId="13" xr:uid="{00000000-0005-0000-0000-000007000000}"/>
    <cellStyle name="Currency 2 2" xfId="14" xr:uid="{00000000-0005-0000-0000-000008000000}"/>
    <cellStyle name="Divisoes" xfId="15" xr:uid="{00000000-0005-0000-0000-000009000000}"/>
    <cellStyle name="Divisoes 2" xfId="16" xr:uid="{00000000-0005-0000-0000-00000A000000}"/>
    <cellStyle name="Hiperlink 2" xfId="17" xr:uid="{00000000-0005-0000-0000-00000B000000}"/>
    <cellStyle name="Hiperlink 3" xfId="18" xr:uid="{00000000-0005-0000-0000-00000C000000}"/>
    <cellStyle name="Moeda 2" xfId="19" xr:uid="{00000000-0005-0000-0000-00000D000000}"/>
    <cellStyle name="Moeda 2 2" xfId="20" xr:uid="{00000000-0005-0000-0000-00000E000000}"/>
    <cellStyle name="Moeda 2 3" xfId="21" xr:uid="{00000000-0005-0000-0000-00000F000000}"/>
    <cellStyle name="Moeda 2 4" xfId="6" xr:uid="{00000000-0005-0000-0000-000010000000}"/>
    <cellStyle name="Moeda 2 5" xfId="22" xr:uid="{00000000-0005-0000-0000-000011000000}"/>
    <cellStyle name="Moeda 3" xfId="23" xr:uid="{00000000-0005-0000-0000-000012000000}"/>
    <cellStyle name="Moeda 3 2" xfId="24" xr:uid="{00000000-0005-0000-0000-000013000000}"/>
    <cellStyle name="Moeda 3 2 2" xfId="25" xr:uid="{00000000-0005-0000-0000-000014000000}"/>
    <cellStyle name="Moeda 3 3" xfId="26" xr:uid="{00000000-0005-0000-0000-000015000000}"/>
    <cellStyle name="Moeda 4" xfId="27" xr:uid="{00000000-0005-0000-0000-000016000000}"/>
    <cellStyle name="Moeda 5" xfId="28" xr:uid="{00000000-0005-0000-0000-000017000000}"/>
    <cellStyle name="Normal" xfId="0" builtinId="0"/>
    <cellStyle name="Normal 10" xfId="29" xr:uid="{00000000-0005-0000-0000-000019000000}"/>
    <cellStyle name="Normal 11" xfId="88" xr:uid="{00000000-0005-0000-0000-00001A000000}"/>
    <cellStyle name="Normal 11 2" xfId="89" xr:uid="{00000000-0005-0000-0000-00001B000000}"/>
    <cellStyle name="Normal 12" xfId="92" xr:uid="{00000000-0005-0000-0000-00001C000000}"/>
    <cellStyle name="Normal 2" xfId="30" xr:uid="{00000000-0005-0000-0000-00001D000000}"/>
    <cellStyle name="Normal 2 10 2" xfId="93" xr:uid="{3BB95F70-B0CC-4540-B36B-C553F634874B}"/>
    <cellStyle name="Normal 2 2" xfId="31" xr:uid="{00000000-0005-0000-0000-00001E000000}"/>
    <cellStyle name="Normal 2 2 2" xfId="1" xr:uid="{00000000-0005-0000-0000-00001F000000}"/>
    <cellStyle name="Normal 2 3" xfId="32" xr:uid="{00000000-0005-0000-0000-000020000000}"/>
    <cellStyle name="Normal 2 4" xfId="33" xr:uid="{00000000-0005-0000-0000-000021000000}"/>
    <cellStyle name="Normal 2 5" xfId="34" xr:uid="{00000000-0005-0000-0000-000022000000}"/>
    <cellStyle name="Normal 2 6" xfId="35" xr:uid="{00000000-0005-0000-0000-000023000000}"/>
    <cellStyle name="Normal 3" xfId="36" xr:uid="{00000000-0005-0000-0000-000024000000}"/>
    <cellStyle name="Normal 3 2" xfId="37" xr:uid="{00000000-0005-0000-0000-000025000000}"/>
    <cellStyle name="Normal 3 2 2" xfId="3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rmal 4 3" xfId="42" xr:uid="{00000000-0005-0000-0000-00002B000000}"/>
    <cellStyle name="Normal 5" xfId="43" xr:uid="{00000000-0005-0000-0000-00002C000000}"/>
    <cellStyle name="Normal 5 2" xfId="44" xr:uid="{00000000-0005-0000-0000-00002D000000}"/>
    <cellStyle name="Normal 6" xfId="45" xr:uid="{00000000-0005-0000-0000-00002E000000}"/>
    <cellStyle name="Normal 6 2" xfId="46" xr:uid="{00000000-0005-0000-0000-00002F000000}"/>
    <cellStyle name="Normal 6 3" xfId="47" xr:uid="{00000000-0005-0000-0000-000030000000}"/>
    <cellStyle name="Normal 6 4" xfId="48" xr:uid="{00000000-0005-0000-0000-000031000000}"/>
    <cellStyle name="Normal 7" xfId="49" xr:uid="{00000000-0005-0000-0000-000032000000}"/>
    <cellStyle name="Normal 8" xfId="50" xr:uid="{00000000-0005-0000-0000-000033000000}"/>
    <cellStyle name="Normal 8 2" xfId="51" xr:uid="{00000000-0005-0000-0000-000034000000}"/>
    <cellStyle name="Normal 9" xfId="5" xr:uid="{00000000-0005-0000-0000-000035000000}"/>
    <cellStyle name="Porcentagem 2" xfId="52" xr:uid="{00000000-0005-0000-0000-000036000000}"/>
    <cellStyle name="Porcentagem 2 2" xfId="53" xr:uid="{00000000-0005-0000-0000-000037000000}"/>
    <cellStyle name="Porcentagem 2 3" xfId="54" xr:uid="{00000000-0005-0000-0000-000038000000}"/>
    <cellStyle name="Porcentagem 2 4" xfId="55" xr:uid="{00000000-0005-0000-0000-000039000000}"/>
    <cellStyle name="Porcentagem 3" xfId="56" xr:uid="{00000000-0005-0000-0000-00003A000000}"/>
    <cellStyle name="Porcentagem 3 2" xfId="57" xr:uid="{00000000-0005-0000-0000-00003B000000}"/>
    <cellStyle name="Porcentagem 3 3" xfId="58" xr:uid="{00000000-0005-0000-0000-00003C000000}"/>
    <cellStyle name="Porcentagem 4" xfId="59" xr:uid="{00000000-0005-0000-0000-00003D000000}"/>
    <cellStyle name="Porcentagem 4 2" xfId="60" xr:uid="{00000000-0005-0000-0000-00003E000000}"/>
    <cellStyle name="Separador de milhares 2" xfId="61" xr:uid="{00000000-0005-0000-0000-00003F000000}"/>
    <cellStyle name="Separador de milhares 2 2" xfId="62" xr:uid="{00000000-0005-0000-0000-000040000000}"/>
    <cellStyle name="Separador de milhares 2 2 2" xfId="4" xr:uid="{00000000-0005-0000-0000-000041000000}"/>
    <cellStyle name="Separador de milhares 2 3" xfId="63" xr:uid="{00000000-0005-0000-0000-000042000000}"/>
    <cellStyle name="Separador de milhares 2 4" xfId="64" xr:uid="{00000000-0005-0000-0000-000043000000}"/>
    <cellStyle name="Separador de milhares 3" xfId="65" xr:uid="{00000000-0005-0000-0000-000044000000}"/>
    <cellStyle name="Separador de milhares 3 2" xfId="66" xr:uid="{00000000-0005-0000-0000-000045000000}"/>
    <cellStyle name="Separador de milhares 3 2 2" xfId="67" xr:uid="{00000000-0005-0000-0000-000046000000}"/>
    <cellStyle name="Separador de milhares 3 3" xfId="68" xr:uid="{00000000-0005-0000-0000-000047000000}"/>
    <cellStyle name="Separador de milhares 3 3 2" xfId="69" xr:uid="{00000000-0005-0000-0000-000048000000}"/>
    <cellStyle name="Separador de milhares 3 4" xfId="70" xr:uid="{00000000-0005-0000-0000-000049000000}"/>
    <cellStyle name="Título 1 1" xfId="71" xr:uid="{00000000-0005-0000-0000-00004A000000}"/>
    <cellStyle name="Titulo Principal" xfId="72" xr:uid="{00000000-0005-0000-0000-00004B000000}"/>
    <cellStyle name="Titulo Principal 2" xfId="73" xr:uid="{00000000-0005-0000-0000-00004C000000}"/>
    <cellStyle name="Titulos" xfId="74" xr:uid="{00000000-0005-0000-0000-00004D000000}"/>
    <cellStyle name="Totais" xfId="75" xr:uid="{00000000-0005-0000-0000-00004E000000}"/>
    <cellStyle name="Valores" xfId="76" xr:uid="{00000000-0005-0000-0000-00004F000000}"/>
    <cellStyle name="Vírgula" xfId="90" builtinId="3"/>
    <cellStyle name="Vírgula 2" xfId="77" xr:uid="{00000000-0005-0000-0000-000051000000}"/>
    <cellStyle name="Vírgula 2 2" xfId="78" xr:uid="{00000000-0005-0000-0000-000052000000}"/>
    <cellStyle name="Vírgula 2 3" xfId="79" xr:uid="{00000000-0005-0000-0000-000053000000}"/>
    <cellStyle name="Vírgula 2 4" xfId="2" xr:uid="{00000000-0005-0000-0000-000054000000}"/>
    <cellStyle name="Vírgula 3" xfId="80" xr:uid="{00000000-0005-0000-0000-000055000000}"/>
    <cellStyle name="Vírgula 3 2" xfId="81" xr:uid="{00000000-0005-0000-0000-000056000000}"/>
    <cellStyle name="Vírgula 3 3" xfId="82" xr:uid="{00000000-0005-0000-0000-000057000000}"/>
    <cellStyle name="Vírgula 4" xfId="83" xr:uid="{00000000-0005-0000-0000-000058000000}"/>
    <cellStyle name="Vírgula 4 2" xfId="84" xr:uid="{00000000-0005-0000-0000-000059000000}"/>
    <cellStyle name="Vírgula 5" xfId="85" xr:uid="{00000000-0005-0000-0000-00005A000000}"/>
    <cellStyle name="Vírgula 6" xfId="86" xr:uid="{00000000-0005-0000-0000-00005B000000}"/>
    <cellStyle name="Vírgula 8" xfId="87" xr:uid="{00000000-0005-0000-0000-00005C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abr.sharepoint.com/Volumes/corporativo/LOCK%20COMERCIAL/Or&#231;amentos/2015/Processos%20em%20andamento/P%20134%2015-%20C%20e%20A%20-%20Shopping%20Cantareira/Or&#231;amento/Planilha%20or&#231;ament&#225;ria%20-%20modelo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abr.sharepoint.com/C/Depto.%20Orcamentos/Or&#231;amentos%20EM%20ANDAMENTO/Corporativo%20em%20andamento/Pasta%20padr&#227;o%20rev%2000/Planilha/Rev.00/Planilha%20-%20CLIENTE%20-%20N&#218;MERO%20PROPOS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o orçam."/>
      <sheetName val="planilha"/>
      <sheetName val="Totais Custo"/>
      <sheetName val="Totais Venda"/>
      <sheetName val="Equipe"/>
      <sheetName val="BDI"/>
      <sheetName val="Imposto 2014"/>
      <sheetName val="Mapa METÁLICA"/>
      <sheetName val="Mapa ELÉTRICA"/>
      <sheetName val="HIDRÁULICA"/>
      <sheetName val="Mapa AR CONDICIONADO"/>
    </sheetNames>
    <sheetDataSet>
      <sheetData sheetId="0">
        <row r="15">
          <cell r="F15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Totais "/>
      <sheetName val="BDI "/>
      <sheetName val="IMPOSTOS  NOME DO CLIENTE "/>
      <sheetName val="IMPOSTOS CHEIO (NOTA TOTAL) "/>
    </sheetNames>
    <sheetDataSet>
      <sheetData sheetId="0"/>
      <sheetData sheetId="1">
        <row r="48">
          <cell r="D48">
            <v>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5228-7F9E-4824-95F9-0B72C94D023B}">
  <dimension ref="A2:L138"/>
  <sheetViews>
    <sheetView showGridLines="0" tabSelected="1" zoomScaleNormal="100" workbookViewId="0">
      <selection activeCell="J2" sqref="J2"/>
    </sheetView>
  </sheetViews>
  <sheetFormatPr defaultRowHeight="14.4"/>
  <cols>
    <col min="1" max="2" width="8.77734375" customWidth="1"/>
    <col min="3" max="3" width="78.88671875" customWidth="1"/>
    <col min="6" max="6" width="10.109375" bestFit="1" customWidth="1"/>
    <col min="7" max="7" width="15.109375" customWidth="1"/>
    <col min="8" max="8" width="18.5546875" customWidth="1"/>
    <col min="9" max="9" width="10.77734375" customWidth="1"/>
    <col min="10" max="10" width="10.44140625" bestFit="1" customWidth="1"/>
    <col min="11" max="12" width="8.77734375" customWidth="1"/>
  </cols>
  <sheetData>
    <row r="2" spans="1:8" ht="31.2">
      <c r="A2" s="145" t="s">
        <v>0</v>
      </c>
      <c r="B2" s="145"/>
      <c r="C2" s="145"/>
      <c r="D2" s="55" t="s">
        <v>16</v>
      </c>
      <c r="E2" s="55" t="s">
        <v>17</v>
      </c>
      <c r="F2" s="55" t="s">
        <v>1</v>
      </c>
      <c r="G2" s="35" t="s">
        <v>18</v>
      </c>
      <c r="H2" s="36" t="s">
        <v>19</v>
      </c>
    </row>
    <row r="3" spans="1:8" ht="18">
      <c r="A3" s="93"/>
      <c r="B3" s="146" t="s">
        <v>196</v>
      </c>
      <c r="C3" s="146"/>
      <c r="D3" s="54" t="s">
        <v>20</v>
      </c>
      <c r="E3" s="54" t="s">
        <v>21</v>
      </c>
      <c r="F3" s="94"/>
      <c r="G3" s="47">
        <v>46051</v>
      </c>
      <c r="H3" s="37">
        <v>46231</v>
      </c>
    </row>
    <row r="4" spans="1:8" ht="15.6">
      <c r="A4" s="38" t="s">
        <v>2</v>
      </c>
      <c r="B4" s="147"/>
      <c r="C4" s="148"/>
      <c r="D4" s="136" t="s">
        <v>22</v>
      </c>
      <c r="E4" s="149"/>
      <c r="F4" s="149"/>
      <c r="G4" s="48">
        <v>180</v>
      </c>
      <c r="H4" s="4" t="s">
        <v>197</v>
      </c>
    </row>
    <row r="5" spans="1:8">
      <c r="A5" s="39"/>
      <c r="B5" s="40"/>
      <c r="C5" s="40"/>
      <c r="D5" s="40"/>
      <c r="E5" s="40"/>
      <c r="F5" s="40"/>
      <c r="G5" s="40"/>
      <c r="H5" s="40"/>
    </row>
    <row r="6" spans="1:8" ht="18">
      <c r="A6" s="136" t="s">
        <v>3</v>
      </c>
      <c r="B6" s="137"/>
      <c r="C6" s="138" t="s">
        <v>206</v>
      </c>
      <c r="D6" s="139"/>
      <c r="E6" s="139"/>
      <c r="F6" s="139"/>
      <c r="G6" s="139"/>
      <c r="H6" s="140"/>
    </row>
    <row r="7" spans="1:8" ht="15.6">
      <c r="A7" s="141" t="s">
        <v>4</v>
      </c>
      <c r="B7" s="142"/>
      <c r="C7" s="143" t="s">
        <v>205</v>
      </c>
      <c r="D7" s="144"/>
      <c r="E7" s="144"/>
      <c r="F7" s="144"/>
      <c r="G7" s="144"/>
      <c r="H7" s="144"/>
    </row>
    <row r="8" spans="1:8" ht="32.4" customHeight="1">
      <c r="C8" s="129" t="s">
        <v>237</v>
      </c>
      <c r="D8" s="129"/>
    </row>
    <row r="9" spans="1:8" ht="32.4" customHeight="1" thickBot="1">
      <c r="C9" s="130"/>
      <c r="D9" s="130"/>
    </row>
    <row r="10" spans="1:8">
      <c r="A10" s="7"/>
      <c r="B10" s="8"/>
      <c r="C10" s="62" t="str">
        <f>C27</f>
        <v>EQUIPAMENTOS - FORNECIMENTO C&amp;A</v>
      </c>
      <c r="D10" s="9"/>
      <c r="E10" s="10"/>
      <c r="F10" s="11"/>
      <c r="G10" s="1"/>
      <c r="H10" s="64">
        <f>H27</f>
        <v>10000</v>
      </c>
    </row>
    <row r="11" spans="1:8">
      <c r="A11" s="12"/>
      <c r="B11" s="13"/>
      <c r="C11" s="81" t="str">
        <f>C34</f>
        <v>EQUIPAMENTOS - CONSIDERAR FORNECIMENTO E INSTALAÇÃO</v>
      </c>
      <c r="D11" s="82"/>
      <c r="E11" s="83"/>
      <c r="F11" s="84"/>
      <c r="G11" s="85"/>
      <c r="H11" s="86">
        <f>H34</f>
        <v>132041.37</v>
      </c>
    </row>
    <row r="12" spans="1:8">
      <c r="A12" s="12"/>
      <c r="B12" s="13"/>
      <c r="C12" s="63" t="s">
        <v>23</v>
      </c>
      <c r="D12" s="14"/>
      <c r="E12" s="15"/>
      <c r="F12" s="16"/>
      <c r="G12" s="2"/>
      <c r="H12" s="65">
        <f>H43</f>
        <v>123083</v>
      </c>
    </row>
    <row r="13" spans="1:8">
      <c r="A13" s="12"/>
      <c r="B13" s="13"/>
      <c r="C13" s="63" t="s">
        <v>24</v>
      </c>
      <c r="D13" s="14"/>
      <c r="E13" s="15"/>
      <c r="F13" s="16"/>
      <c r="G13" s="2"/>
      <c r="H13" s="65">
        <f>H71</f>
        <v>716888</v>
      </c>
    </row>
    <row r="14" spans="1:8">
      <c r="A14" s="12"/>
      <c r="B14" s="13"/>
      <c r="C14" s="63" t="s">
        <v>25</v>
      </c>
      <c r="D14" s="14"/>
      <c r="E14" s="15"/>
      <c r="F14" s="16"/>
      <c r="G14" s="2"/>
      <c r="H14" s="65">
        <f>H81</f>
        <v>2000</v>
      </c>
    </row>
    <row r="15" spans="1:8">
      <c r="A15" s="12"/>
      <c r="B15" s="13"/>
      <c r="C15" s="63" t="str">
        <f>C83</f>
        <v>TUBULAÇÃO DE GÁS REFRIGERANTE</v>
      </c>
      <c r="D15" s="14"/>
      <c r="E15" s="15"/>
      <c r="F15" s="16"/>
      <c r="G15" s="2"/>
      <c r="H15" s="65">
        <f>H83</f>
        <v>0</v>
      </c>
    </row>
    <row r="16" spans="1:8">
      <c r="A16" s="12"/>
      <c r="B16" s="13"/>
      <c r="C16" s="63" t="str">
        <f>C90</f>
        <v>HIDRÁULICA</v>
      </c>
      <c r="D16" s="14"/>
      <c r="E16" s="15"/>
      <c r="F16" s="16"/>
      <c r="G16" s="2"/>
      <c r="H16" s="65">
        <f>H90</f>
        <v>109000</v>
      </c>
    </row>
    <row r="17" spans="1:10">
      <c r="A17" s="12"/>
      <c r="B17" s="13"/>
      <c r="C17" s="63" t="str">
        <f>C99</f>
        <v>MATERIAIS ELÉTRICOS</v>
      </c>
      <c r="D17" s="14"/>
      <c r="E17" s="15"/>
      <c r="F17" s="16"/>
      <c r="G17" s="2"/>
      <c r="H17" s="65">
        <f>H99</f>
        <v>1900</v>
      </c>
    </row>
    <row r="18" spans="1:10">
      <c r="A18" s="12"/>
      <c r="B18" s="13"/>
      <c r="C18" s="63" t="str">
        <f>C102</f>
        <v>TRANSPORTE</v>
      </c>
      <c r="D18" s="14"/>
      <c r="E18" s="15"/>
      <c r="F18" s="16"/>
      <c r="G18" s="2"/>
      <c r="H18" s="65">
        <f>H102</f>
        <v>16000</v>
      </c>
    </row>
    <row r="19" spans="1:10">
      <c r="A19" s="12"/>
      <c r="B19" s="13"/>
      <c r="C19" s="63" t="str">
        <f>C104</f>
        <v>DIVERSOS</v>
      </c>
      <c r="D19" s="14"/>
      <c r="E19" s="15"/>
      <c r="F19" s="16"/>
      <c r="G19" s="2"/>
      <c r="H19" s="65">
        <f>H104</f>
        <v>22279</v>
      </c>
    </row>
    <row r="20" spans="1:10" ht="15" thickBot="1">
      <c r="A20" s="12"/>
      <c r="B20" s="13"/>
      <c r="C20" s="87" t="str">
        <f>C111</f>
        <v>OMISSOS</v>
      </c>
      <c r="D20" s="88"/>
      <c r="E20" s="89"/>
      <c r="F20" s="90"/>
      <c r="G20" s="91"/>
      <c r="H20" s="92">
        <f>H111</f>
        <v>102308.63</v>
      </c>
    </row>
    <row r="21" spans="1:10" ht="15" thickBot="1">
      <c r="A21" s="12"/>
      <c r="B21" s="13"/>
      <c r="C21" s="66" t="s">
        <v>26</v>
      </c>
      <c r="D21" s="17"/>
      <c r="E21" s="18"/>
      <c r="F21" s="19"/>
      <c r="G21" s="3"/>
      <c r="H21" s="77">
        <f>SUM(H10:H20)</f>
        <v>1235500</v>
      </c>
    </row>
    <row r="22" spans="1:10">
      <c r="A22" s="20"/>
      <c r="B22" s="21"/>
      <c r="C22" s="22"/>
      <c r="D22" s="23"/>
      <c r="E22" s="23"/>
      <c r="F22" s="24"/>
      <c r="G22" s="24"/>
      <c r="H22" s="25"/>
    </row>
    <row r="23" spans="1:10">
      <c r="A23" s="67" t="s">
        <v>27</v>
      </c>
      <c r="B23" s="134" t="s">
        <v>28</v>
      </c>
      <c r="C23" s="134" t="s">
        <v>29</v>
      </c>
      <c r="D23" s="68"/>
      <c r="E23" s="71"/>
      <c r="F23" s="132" t="s">
        <v>30</v>
      </c>
      <c r="G23" s="133"/>
      <c r="H23" s="72"/>
    </row>
    <row r="24" spans="1:10">
      <c r="A24" s="69" t="s">
        <v>31</v>
      </c>
      <c r="B24" s="135"/>
      <c r="C24" s="135"/>
      <c r="D24" s="70" t="s">
        <v>32</v>
      </c>
      <c r="E24" s="73" t="s">
        <v>33</v>
      </c>
      <c r="F24" s="74" t="s">
        <v>34</v>
      </c>
      <c r="G24" s="75" t="s">
        <v>35</v>
      </c>
      <c r="H24" s="76" t="s">
        <v>26</v>
      </c>
    </row>
    <row r="25" spans="1:10">
      <c r="A25" s="5"/>
      <c r="B25" s="6"/>
      <c r="C25" s="6"/>
      <c r="D25" s="6"/>
      <c r="E25" s="6"/>
      <c r="F25" s="6"/>
      <c r="G25" s="6"/>
      <c r="H25" s="26"/>
    </row>
    <row r="26" spans="1:10">
      <c r="A26" s="131" t="s">
        <v>36</v>
      </c>
      <c r="B26" s="131"/>
      <c r="C26" s="131"/>
      <c r="D26" s="131"/>
      <c r="E26" s="131"/>
      <c r="F26" s="131"/>
      <c r="G26" s="131"/>
      <c r="H26" s="131"/>
    </row>
    <row r="27" spans="1:10">
      <c r="A27" s="56">
        <v>810110</v>
      </c>
      <c r="B27" s="56" t="s">
        <v>5</v>
      </c>
      <c r="C27" s="57" t="s">
        <v>37</v>
      </c>
      <c r="D27" s="58"/>
      <c r="E27" s="56"/>
      <c r="F27" s="59"/>
      <c r="G27" s="59"/>
      <c r="H27" s="60">
        <f>SUM(H28:H33)</f>
        <v>10000</v>
      </c>
      <c r="I27" s="61"/>
      <c r="J27" s="61"/>
    </row>
    <row r="28" spans="1:10" ht="39.6">
      <c r="A28" s="27"/>
      <c r="B28" s="27" t="s">
        <v>38</v>
      </c>
      <c r="C28" s="78" t="s">
        <v>120</v>
      </c>
      <c r="D28" s="41" t="s">
        <v>39</v>
      </c>
      <c r="E28" s="42">
        <v>1</v>
      </c>
      <c r="F28" s="28"/>
      <c r="G28" s="43">
        <v>4000</v>
      </c>
      <c r="H28" s="33">
        <f>(F28+G28)*E28</f>
        <v>4000</v>
      </c>
      <c r="I28" s="111"/>
    </row>
    <row r="29" spans="1:10" ht="39.6">
      <c r="A29" s="27"/>
      <c r="B29" s="27"/>
      <c r="C29" s="78" t="s">
        <v>122</v>
      </c>
      <c r="D29" s="41"/>
      <c r="E29" s="42"/>
      <c r="F29" s="28"/>
      <c r="G29" s="28"/>
      <c r="H29" s="33"/>
    </row>
    <row r="30" spans="1:10">
      <c r="A30" s="27"/>
      <c r="B30" s="27" t="s">
        <v>40</v>
      </c>
      <c r="C30" s="95" t="s">
        <v>126</v>
      </c>
      <c r="D30" s="41" t="s">
        <v>41</v>
      </c>
      <c r="E30" s="42">
        <v>2</v>
      </c>
      <c r="F30" s="28"/>
      <c r="G30" s="28">
        <v>1000</v>
      </c>
      <c r="H30" s="33">
        <f>(F30+G30)*E30</f>
        <v>2000</v>
      </c>
    </row>
    <row r="31" spans="1:10" ht="66">
      <c r="A31" s="27"/>
      <c r="B31" s="27"/>
      <c r="C31" s="95" t="s">
        <v>123</v>
      </c>
      <c r="D31" s="41"/>
      <c r="E31" s="42"/>
      <c r="F31" s="28"/>
      <c r="G31" s="43"/>
      <c r="H31" s="33"/>
    </row>
    <row r="32" spans="1:10">
      <c r="A32" s="27"/>
      <c r="B32" s="27" t="s">
        <v>42</v>
      </c>
      <c r="C32" s="95" t="s">
        <v>127</v>
      </c>
      <c r="D32" s="41" t="s">
        <v>41</v>
      </c>
      <c r="E32" s="42">
        <v>4</v>
      </c>
      <c r="F32" s="28"/>
      <c r="G32" s="43">
        <v>1000</v>
      </c>
      <c r="H32" s="33">
        <f>(F32+G32)*E32</f>
        <v>4000</v>
      </c>
    </row>
    <row r="33" spans="1:10" ht="66">
      <c r="A33" s="27"/>
      <c r="B33" s="27"/>
      <c r="C33" s="95" t="s">
        <v>124</v>
      </c>
      <c r="D33" s="41"/>
      <c r="E33" s="42"/>
      <c r="F33" s="28"/>
      <c r="G33" s="28"/>
      <c r="H33" s="33"/>
    </row>
    <row r="34" spans="1:10">
      <c r="A34" s="56">
        <v>810110</v>
      </c>
      <c r="B34" s="56" t="s">
        <v>6</v>
      </c>
      <c r="C34" s="57" t="s">
        <v>43</v>
      </c>
      <c r="D34" s="58"/>
      <c r="E34" s="56"/>
      <c r="F34" s="59"/>
      <c r="G34" s="59"/>
      <c r="H34" s="60">
        <f>SUM(H35:H42)</f>
        <v>132041.37</v>
      </c>
      <c r="I34" s="61"/>
      <c r="J34" s="61"/>
    </row>
    <row r="35" spans="1:10" ht="26.4">
      <c r="A35" s="27"/>
      <c r="B35" s="27" t="s">
        <v>44</v>
      </c>
      <c r="C35" s="78" t="s">
        <v>121</v>
      </c>
      <c r="D35" s="41" t="s">
        <v>45</v>
      </c>
      <c r="E35" s="42">
        <v>3</v>
      </c>
      <c r="F35" s="43">
        <v>8000</v>
      </c>
      <c r="G35" s="43">
        <v>800</v>
      </c>
      <c r="H35" s="33">
        <f t="shared" ref="H35:H42" si="0">(F35+G35)*E35</f>
        <v>26400</v>
      </c>
    </row>
    <row r="36" spans="1:10" ht="26.4">
      <c r="A36" s="27"/>
      <c r="B36" s="27" t="s">
        <v>46</v>
      </c>
      <c r="C36" s="79" t="s">
        <v>125</v>
      </c>
      <c r="D36" s="41" t="s">
        <v>45</v>
      </c>
      <c r="E36" s="42">
        <v>1</v>
      </c>
      <c r="F36" s="43">
        <v>5000</v>
      </c>
      <c r="G36" s="43">
        <v>800</v>
      </c>
      <c r="H36" s="33">
        <f t="shared" si="0"/>
        <v>5800</v>
      </c>
    </row>
    <row r="37" spans="1:10" ht="26.4">
      <c r="A37" s="27"/>
      <c r="B37" s="27" t="s">
        <v>47</v>
      </c>
      <c r="C37" s="96" t="s">
        <v>128</v>
      </c>
      <c r="D37" s="41" t="s">
        <v>45</v>
      </c>
      <c r="E37" s="42">
        <v>1</v>
      </c>
      <c r="F37" s="103">
        <v>9935.5300000000007</v>
      </c>
      <c r="G37" s="103">
        <v>500</v>
      </c>
      <c r="H37" s="33">
        <f t="shared" si="0"/>
        <v>10435.530000000001</v>
      </c>
      <c r="I37" s="115" t="s">
        <v>231</v>
      </c>
    </row>
    <row r="38" spans="1:10" ht="26.4">
      <c r="A38" s="27"/>
      <c r="B38" s="27" t="s">
        <v>48</v>
      </c>
      <c r="C38" s="96" t="s">
        <v>129</v>
      </c>
      <c r="D38" s="41" t="s">
        <v>45</v>
      </c>
      <c r="E38" s="42">
        <v>1</v>
      </c>
      <c r="F38" s="43">
        <v>8026.91</v>
      </c>
      <c r="G38" s="43">
        <v>500</v>
      </c>
      <c r="H38" s="33">
        <f t="shared" si="0"/>
        <v>8526.91</v>
      </c>
      <c r="I38" s="115" t="s">
        <v>231</v>
      </c>
    </row>
    <row r="39" spans="1:10" ht="39.6">
      <c r="A39" s="27"/>
      <c r="B39" s="27" t="s">
        <v>131</v>
      </c>
      <c r="C39" s="96" t="s">
        <v>130</v>
      </c>
      <c r="D39" s="41" t="s">
        <v>45</v>
      </c>
      <c r="E39" s="42">
        <v>1</v>
      </c>
      <c r="F39" s="43">
        <v>2559.71</v>
      </c>
      <c r="G39" s="43">
        <v>500</v>
      </c>
      <c r="H39" s="33">
        <f t="shared" si="0"/>
        <v>3059.71</v>
      </c>
      <c r="I39" s="115" t="s">
        <v>231</v>
      </c>
    </row>
    <row r="40" spans="1:10" ht="39.6">
      <c r="A40" s="27"/>
      <c r="B40" s="27" t="s">
        <v>177</v>
      </c>
      <c r="C40" s="96" t="s">
        <v>159</v>
      </c>
      <c r="D40" s="41" t="s">
        <v>45</v>
      </c>
      <c r="E40" s="42">
        <v>2</v>
      </c>
      <c r="F40" s="43">
        <v>34609.61</v>
      </c>
      <c r="G40" s="43">
        <v>1000</v>
      </c>
      <c r="H40" s="33">
        <f t="shared" si="0"/>
        <v>71219.22</v>
      </c>
      <c r="I40" s="115" t="s">
        <v>231</v>
      </c>
    </row>
    <row r="41" spans="1:10" ht="26.4">
      <c r="A41" s="27"/>
      <c r="B41" s="27" t="s">
        <v>180</v>
      </c>
      <c r="C41" s="96" t="s">
        <v>179</v>
      </c>
      <c r="D41" s="41" t="s">
        <v>45</v>
      </c>
      <c r="E41" s="42">
        <v>2</v>
      </c>
      <c r="F41" s="28">
        <v>700</v>
      </c>
      <c r="G41" s="28">
        <v>500</v>
      </c>
      <c r="H41" s="33">
        <f t="shared" si="0"/>
        <v>2400</v>
      </c>
    </row>
    <row r="42" spans="1:10" ht="26.4">
      <c r="A42" s="27"/>
      <c r="B42" s="27" t="s">
        <v>181</v>
      </c>
      <c r="C42" s="96" t="s">
        <v>178</v>
      </c>
      <c r="D42" s="41" t="s">
        <v>45</v>
      </c>
      <c r="E42" s="42">
        <v>3</v>
      </c>
      <c r="F42" s="28">
        <v>900</v>
      </c>
      <c r="G42" s="28">
        <v>500</v>
      </c>
      <c r="H42" s="33">
        <f t="shared" si="0"/>
        <v>4200</v>
      </c>
    </row>
    <row r="43" spans="1:10">
      <c r="A43" s="56">
        <v>810110</v>
      </c>
      <c r="B43" s="56" t="s">
        <v>7</v>
      </c>
      <c r="C43" s="57" t="s">
        <v>23</v>
      </c>
      <c r="D43" s="58"/>
      <c r="E43" s="56"/>
      <c r="F43" s="59"/>
      <c r="G43" s="59"/>
      <c r="H43" s="60">
        <f>SUM(H44:H70)</f>
        <v>123083</v>
      </c>
      <c r="I43" s="117"/>
      <c r="J43" s="117"/>
    </row>
    <row r="44" spans="1:10">
      <c r="A44" s="27"/>
      <c r="B44" s="27" t="s">
        <v>49</v>
      </c>
      <c r="C44" s="96" t="s">
        <v>132</v>
      </c>
      <c r="D44" s="41" t="s">
        <v>45</v>
      </c>
      <c r="E44" s="116">
        <v>29</v>
      </c>
      <c r="F44" s="43">
        <v>349</v>
      </c>
      <c r="G44" s="28">
        <v>30</v>
      </c>
      <c r="H44" s="33">
        <f t="shared" ref="H44:H70" si="1">(F44+G44)*E44</f>
        <v>10991</v>
      </c>
      <c r="I44" s="115" t="s">
        <v>231</v>
      </c>
    </row>
    <row r="45" spans="1:10">
      <c r="A45" s="27"/>
      <c r="B45" s="27" t="s">
        <v>50</v>
      </c>
      <c r="C45" s="96" t="s">
        <v>133</v>
      </c>
      <c r="D45" s="41" t="s">
        <v>45</v>
      </c>
      <c r="E45" s="116">
        <v>98</v>
      </c>
      <c r="F45" s="43">
        <v>299</v>
      </c>
      <c r="G45" s="28">
        <v>30</v>
      </c>
      <c r="H45" s="33">
        <f t="shared" si="1"/>
        <v>32242</v>
      </c>
      <c r="I45" s="115" t="s">
        <v>231</v>
      </c>
    </row>
    <row r="46" spans="1:10" ht="26.4">
      <c r="A46" s="27"/>
      <c r="B46" s="27" t="s">
        <v>51</v>
      </c>
      <c r="C46" s="96" t="s">
        <v>134</v>
      </c>
      <c r="D46" s="41" t="s">
        <v>45</v>
      </c>
      <c r="E46" s="42">
        <v>19</v>
      </c>
      <c r="F46" s="43">
        <v>395</v>
      </c>
      <c r="G46" s="28">
        <v>30</v>
      </c>
      <c r="H46" s="33">
        <f t="shared" si="1"/>
        <v>8075</v>
      </c>
      <c r="I46" s="115" t="s">
        <v>231</v>
      </c>
    </row>
    <row r="47" spans="1:10">
      <c r="A47" s="27"/>
      <c r="B47" s="27" t="s">
        <v>52</v>
      </c>
      <c r="C47" s="96" t="s">
        <v>160</v>
      </c>
      <c r="D47" s="41" t="s">
        <v>45</v>
      </c>
      <c r="E47" s="42">
        <v>15</v>
      </c>
      <c r="F47" s="43">
        <v>858</v>
      </c>
      <c r="G47" s="28">
        <v>30</v>
      </c>
      <c r="H47" s="33">
        <f t="shared" si="1"/>
        <v>13320</v>
      </c>
      <c r="I47" s="115" t="s">
        <v>231</v>
      </c>
    </row>
    <row r="48" spans="1:10">
      <c r="A48" s="27"/>
      <c r="B48" s="27" t="s">
        <v>53</v>
      </c>
      <c r="C48" s="96" t="s">
        <v>161</v>
      </c>
      <c r="D48" s="41" t="s">
        <v>45</v>
      </c>
      <c r="E48" s="42">
        <v>14</v>
      </c>
      <c r="F48" s="43">
        <v>528</v>
      </c>
      <c r="G48" s="28">
        <v>30</v>
      </c>
      <c r="H48" s="33">
        <f t="shared" si="1"/>
        <v>7812</v>
      </c>
      <c r="I48" s="115" t="s">
        <v>231</v>
      </c>
    </row>
    <row r="49" spans="1:9">
      <c r="A49" s="27"/>
      <c r="B49" s="27" t="s">
        <v>54</v>
      </c>
      <c r="C49" s="96" t="s">
        <v>162</v>
      </c>
      <c r="D49" s="41" t="s">
        <v>45</v>
      </c>
      <c r="E49" s="42">
        <v>13</v>
      </c>
      <c r="F49" s="43">
        <v>380</v>
      </c>
      <c r="G49" s="28">
        <v>30</v>
      </c>
      <c r="H49" s="33">
        <f t="shared" si="1"/>
        <v>5330</v>
      </c>
      <c r="I49" s="115" t="s">
        <v>231</v>
      </c>
    </row>
    <row r="50" spans="1:9">
      <c r="A50" s="27"/>
      <c r="B50" s="27" t="s">
        <v>55</v>
      </c>
      <c r="C50" s="96" t="s">
        <v>163</v>
      </c>
      <c r="D50" s="41" t="s">
        <v>45</v>
      </c>
      <c r="E50" s="42">
        <v>1</v>
      </c>
      <c r="F50" s="43">
        <v>660</v>
      </c>
      <c r="G50" s="28">
        <v>30</v>
      </c>
      <c r="H50" s="33">
        <f t="shared" si="1"/>
        <v>690</v>
      </c>
      <c r="I50" s="115" t="s">
        <v>231</v>
      </c>
    </row>
    <row r="51" spans="1:9">
      <c r="A51" s="27"/>
      <c r="B51" s="27" t="s">
        <v>56</v>
      </c>
      <c r="C51" s="96" t="s">
        <v>135</v>
      </c>
      <c r="D51" s="41" t="s">
        <v>45</v>
      </c>
      <c r="E51" s="42">
        <v>13</v>
      </c>
      <c r="F51" s="43">
        <v>73</v>
      </c>
      <c r="G51" s="28">
        <v>30</v>
      </c>
      <c r="H51" s="33">
        <f t="shared" si="1"/>
        <v>1339</v>
      </c>
      <c r="I51" s="115" t="s">
        <v>231</v>
      </c>
    </row>
    <row r="52" spans="1:9" ht="26.4">
      <c r="A52" s="27"/>
      <c r="B52" s="27" t="s">
        <v>57</v>
      </c>
      <c r="C52" s="96" t="s">
        <v>136</v>
      </c>
      <c r="D52" s="41" t="s">
        <v>45</v>
      </c>
      <c r="E52" s="42">
        <v>2</v>
      </c>
      <c r="F52" s="43">
        <v>426</v>
      </c>
      <c r="G52" s="28">
        <v>30</v>
      </c>
      <c r="H52" s="33">
        <f t="shared" si="1"/>
        <v>912</v>
      </c>
      <c r="I52" s="115" t="s">
        <v>231</v>
      </c>
    </row>
    <row r="53" spans="1:9" ht="26.4">
      <c r="A53" s="27"/>
      <c r="B53" s="27" t="s">
        <v>58</v>
      </c>
      <c r="C53" s="96" t="s">
        <v>137</v>
      </c>
      <c r="D53" s="41" t="s">
        <v>45</v>
      </c>
      <c r="E53" s="42">
        <v>19</v>
      </c>
      <c r="F53" s="43">
        <v>636</v>
      </c>
      <c r="G53" s="28">
        <v>30</v>
      </c>
      <c r="H53" s="33">
        <f t="shared" si="1"/>
        <v>12654</v>
      </c>
      <c r="I53" s="115" t="s">
        <v>231</v>
      </c>
    </row>
    <row r="54" spans="1:9" ht="26.4">
      <c r="A54" s="27"/>
      <c r="B54" s="27" t="s">
        <v>157</v>
      </c>
      <c r="C54" s="96" t="s">
        <v>138</v>
      </c>
      <c r="D54" s="41" t="s">
        <v>45</v>
      </c>
      <c r="E54" s="42">
        <v>1</v>
      </c>
      <c r="F54" s="43">
        <v>440</v>
      </c>
      <c r="G54" s="28">
        <v>30</v>
      </c>
      <c r="H54" s="33">
        <f t="shared" si="1"/>
        <v>470</v>
      </c>
      <c r="I54" s="115" t="s">
        <v>231</v>
      </c>
    </row>
    <row r="55" spans="1:9" ht="26.4">
      <c r="A55" s="27"/>
      <c r="B55" s="27" t="s">
        <v>158</v>
      </c>
      <c r="C55" s="96" t="s">
        <v>139</v>
      </c>
      <c r="D55" s="41" t="s">
        <v>45</v>
      </c>
      <c r="E55" s="42">
        <v>18</v>
      </c>
      <c r="F55" s="43">
        <v>169</v>
      </c>
      <c r="G55" s="28">
        <v>30</v>
      </c>
      <c r="H55" s="33">
        <f t="shared" si="1"/>
        <v>3582</v>
      </c>
      <c r="I55" s="115" t="s">
        <v>231</v>
      </c>
    </row>
    <row r="56" spans="1:9">
      <c r="A56" s="27"/>
      <c r="B56" s="27" t="s">
        <v>169</v>
      </c>
      <c r="C56" s="96" t="s">
        <v>154</v>
      </c>
      <c r="D56" s="41" t="s">
        <v>45</v>
      </c>
      <c r="E56" s="42"/>
      <c r="F56" s="43"/>
      <c r="G56" s="28">
        <v>30</v>
      </c>
      <c r="H56" s="33">
        <f t="shared" si="1"/>
        <v>0</v>
      </c>
    </row>
    <row r="57" spans="1:9" ht="26.4">
      <c r="A57" s="27"/>
      <c r="B57" s="27" t="s">
        <v>170</v>
      </c>
      <c r="C57" s="96" t="s">
        <v>164</v>
      </c>
      <c r="D57" s="41" t="s">
        <v>45</v>
      </c>
      <c r="E57" s="42">
        <v>1</v>
      </c>
      <c r="F57" s="103">
        <v>570</v>
      </c>
      <c r="G57" s="28">
        <v>30</v>
      </c>
      <c r="H57" s="33">
        <f t="shared" si="1"/>
        <v>600</v>
      </c>
      <c r="I57" s="115" t="s">
        <v>231</v>
      </c>
    </row>
    <row r="58" spans="1:9" ht="26.4">
      <c r="A58" s="27"/>
      <c r="B58" s="27" t="s">
        <v>171</v>
      </c>
      <c r="C58" s="96" t="s">
        <v>165</v>
      </c>
      <c r="D58" s="41" t="s">
        <v>45</v>
      </c>
      <c r="E58" s="42">
        <v>1</v>
      </c>
      <c r="F58" s="43">
        <v>500</v>
      </c>
      <c r="G58" s="28">
        <v>30</v>
      </c>
      <c r="H58" s="33">
        <f t="shared" si="1"/>
        <v>530</v>
      </c>
      <c r="I58" s="115" t="s">
        <v>231</v>
      </c>
    </row>
    <row r="59" spans="1:9">
      <c r="A59" s="27"/>
      <c r="B59" s="27" t="s">
        <v>172</v>
      </c>
      <c r="C59" s="96" t="s">
        <v>166</v>
      </c>
      <c r="D59" s="41" t="s">
        <v>45</v>
      </c>
      <c r="E59" s="42">
        <v>41</v>
      </c>
      <c r="F59" s="43">
        <v>241</v>
      </c>
      <c r="G59" s="28">
        <v>30</v>
      </c>
      <c r="H59" s="33">
        <f t="shared" si="1"/>
        <v>11111</v>
      </c>
      <c r="I59" s="115" t="s">
        <v>231</v>
      </c>
    </row>
    <row r="60" spans="1:9">
      <c r="A60" s="27"/>
      <c r="B60" s="27" t="s">
        <v>173</v>
      </c>
      <c r="C60" s="96" t="s">
        <v>167</v>
      </c>
      <c r="D60" s="41" t="s">
        <v>45</v>
      </c>
      <c r="E60" s="42">
        <v>17</v>
      </c>
      <c r="F60" s="43">
        <v>259</v>
      </c>
      <c r="G60" s="28">
        <v>30</v>
      </c>
      <c r="H60" s="33">
        <f t="shared" si="1"/>
        <v>4913</v>
      </c>
      <c r="I60" s="115" t="s">
        <v>231</v>
      </c>
    </row>
    <row r="61" spans="1:9">
      <c r="A61" s="27"/>
      <c r="B61" s="27" t="s">
        <v>174</v>
      </c>
      <c r="C61" s="96" t="s">
        <v>155</v>
      </c>
      <c r="D61" s="41" t="s">
        <v>45</v>
      </c>
      <c r="E61" s="42">
        <v>2</v>
      </c>
      <c r="F61" s="43">
        <v>480</v>
      </c>
      <c r="G61" s="28">
        <v>30</v>
      </c>
      <c r="H61" s="33">
        <f t="shared" si="1"/>
        <v>1020</v>
      </c>
      <c r="I61" s="115" t="s">
        <v>231</v>
      </c>
    </row>
    <row r="62" spans="1:9">
      <c r="A62" s="27"/>
      <c r="B62" s="27" t="s">
        <v>175</v>
      </c>
      <c r="C62" s="96" t="s">
        <v>156</v>
      </c>
      <c r="D62" s="41" t="s">
        <v>45</v>
      </c>
      <c r="E62" s="42">
        <v>2</v>
      </c>
      <c r="F62" s="43">
        <v>684</v>
      </c>
      <c r="G62" s="28">
        <v>30</v>
      </c>
      <c r="H62" s="33">
        <f t="shared" si="1"/>
        <v>1428</v>
      </c>
      <c r="I62" s="115" t="s">
        <v>231</v>
      </c>
    </row>
    <row r="63" spans="1:9">
      <c r="A63" s="27"/>
      <c r="B63" s="27" t="s">
        <v>176</v>
      </c>
      <c r="C63" s="96" t="s">
        <v>168</v>
      </c>
      <c r="D63" s="41" t="s">
        <v>45</v>
      </c>
      <c r="E63" s="42">
        <v>1</v>
      </c>
      <c r="F63" s="43">
        <v>852</v>
      </c>
      <c r="G63" s="28">
        <v>30</v>
      </c>
      <c r="H63" s="33">
        <f t="shared" si="1"/>
        <v>882</v>
      </c>
      <c r="I63" s="115" t="s">
        <v>231</v>
      </c>
    </row>
    <row r="64" spans="1:9">
      <c r="A64" s="27"/>
      <c r="B64" s="27" t="s">
        <v>189</v>
      </c>
      <c r="C64" s="96" t="s">
        <v>188</v>
      </c>
      <c r="D64" s="41" t="s">
        <v>45</v>
      </c>
      <c r="E64" s="42">
        <v>2</v>
      </c>
      <c r="F64" s="43">
        <v>628</v>
      </c>
      <c r="G64" s="28">
        <v>30</v>
      </c>
      <c r="H64" s="33">
        <f t="shared" si="1"/>
        <v>1316</v>
      </c>
      <c r="I64" s="115" t="s">
        <v>231</v>
      </c>
    </row>
    <row r="65" spans="1:12">
      <c r="A65" s="27"/>
      <c r="B65" s="27" t="s">
        <v>190</v>
      </c>
      <c r="C65" s="96" t="s">
        <v>187</v>
      </c>
      <c r="D65" s="41" t="s">
        <v>45</v>
      </c>
      <c r="E65" s="42">
        <v>1</v>
      </c>
      <c r="F65" s="43">
        <v>363</v>
      </c>
      <c r="G65" s="28">
        <v>30</v>
      </c>
      <c r="H65" s="33">
        <f t="shared" si="1"/>
        <v>393</v>
      </c>
      <c r="I65" s="115" t="s">
        <v>231</v>
      </c>
    </row>
    <row r="66" spans="1:12">
      <c r="A66" s="27"/>
      <c r="B66" s="27" t="s">
        <v>191</v>
      </c>
      <c r="C66" s="96" t="s">
        <v>186</v>
      </c>
      <c r="D66" s="41" t="s">
        <v>45</v>
      </c>
      <c r="E66" s="42">
        <v>1</v>
      </c>
      <c r="F66" s="43">
        <v>419</v>
      </c>
      <c r="G66" s="28">
        <v>30</v>
      </c>
      <c r="H66" s="33">
        <f t="shared" si="1"/>
        <v>449</v>
      </c>
      <c r="I66" s="115" t="s">
        <v>231</v>
      </c>
    </row>
    <row r="67" spans="1:12">
      <c r="A67" s="27"/>
      <c r="B67" s="27" t="s">
        <v>192</v>
      </c>
      <c r="C67" s="96" t="s">
        <v>185</v>
      </c>
      <c r="D67" s="41" t="s">
        <v>45</v>
      </c>
      <c r="E67" s="42">
        <v>1</v>
      </c>
      <c r="F67" s="28">
        <v>314</v>
      </c>
      <c r="G67" s="28">
        <v>30</v>
      </c>
      <c r="H67" s="33">
        <f t="shared" si="1"/>
        <v>344</v>
      </c>
      <c r="I67" s="115" t="s">
        <v>231</v>
      </c>
    </row>
    <row r="68" spans="1:12">
      <c r="A68" s="27"/>
      <c r="B68" s="27" t="s">
        <v>193</v>
      </c>
      <c r="C68" s="96" t="s">
        <v>184</v>
      </c>
      <c r="D68" s="41" t="s">
        <v>45</v>
      </c>
      <c r="E68" s="42">
        <v>1</v>
      </c>
      <c r="F68" s="28">
        <v>636</v>
      </c>
      <c r="G68" s="28">
        <v>30</v>
      </c>
      <c r="H68" s="33">
        <f t="shared" si="1"/>
        <v>666</v>
      </c>
      <c r="I68" s="115" t="s">
        <v>231</v>
      </c>
    </row>
    <row r="69" spans="1:12">
      <c r="A69" s="27"/>
      <c r="B69" s="27" t="s">
        <v>194</v>
      </c>
      <c r="C69" s="96" t="s">
        <v>183</v>
      </c>
      <c r="D69" s="41" t="s">
        <v>45</v>
      </c>
      <c r="E69" s="42">
        <v>2</v>
      </c>
      <c r="F69" s="28">
        <v>416</v>
      </c>
      <c r="G69" s="28">
        <v>30</v>
      </c>
      <c r="H69" s="33">
        <f t="shared" si="1"/>
        <v>892</v>
      </c>
      <c r="I69" s="115" t="s">
        <v>231</v>
      </c>
    </row>
    <row r="70" spans="1:12">
      <c r="A70" s="27"/>
      <c r="B70" s="27" t="s">
        <v>195</v>
      </c>
      <c r="C70" s="96" t="s">
        <v>182</v>
      </c>
      <c r="D70" s="41" t="s">
        <v>45</v>
      </c>
      <c r="E70" s="42">
        <v>2</v>
      </c>
      <c r="F70" s="28">
        <v>531</v>
      </c>
      <c r="G70" s="28">
        <v>30</v>
      </c>
      <c r="H70" s="33">
        <f t="shared" si="1"/>
        <v>1122</v>
      </c>
      <c r="I70" s="115" t="s">
        <v>231</v>
      </c>
      <c r="L70" t="s">
        <v>225</v>
      </c>
    </row>
    <row r="71" spans="1:12">
      <c r="A71" s="56">
        <v>810110</v>
      </c>
      <c r="B71" s="56" t="s">
        <v>8</v>
      </c>
      <c r="C71" s="57" t="s">
        <v>24</v>
      </c>
      <c r="D71" s="58"/>
      <c r="E71" s="56"/>
      <c r="F71" s="59"/>
      <c r="G71" s="59"/>
      <c r="H71" s="60">
        <f>SUM(H72:H80)</f>
        <v>716888</v>
      </c>
      <c r="I71" s="61"/>
      <c r="J71" s="61"/>
    </row>
    <row r="72" spans="1:12">
      <c r="A72" s="32"/>
      <c r="B72" s="27" t="s">
        <v>59</v>
      </c>
      <c r="C72" s="97" t="s">
        <v>144</v>
      </c>
      <c r="D72" s="41" t="s">
        <v>60</v>
      </c>
      <c r="E72" s="104">
        <v>230</v>
      </c>
      <c r="F72" s="105">
        <v>22</v>
      </c>
      <c r="G72" s="105">
        <v>21</v>
      </c>
      <c r="H72" s="33">
        <f t="shared" ref="H72:H80" si="2">(F72+G72)*E72</f>
        <v>9890</v>
      </c>
    </row>
    <row r="73" spans="1:12">
      <c r="A73" s="32"/>
      <c r="B73" s="27" t="s">
        <v>61</v>
      </c>
      <c r="C73" s="97" t="s">
        <v>147</v>
      </c>
      <c r="D73" s="41" t="s">
        <v>60</v>
      </c>
      <c r="E73" s="104">
        <v>6231</v>
      </c>
      <c r="F73" s="105">
        <v>22</v>
      </c>
      <c r="G73" s="105">
        <v>21</v>
      </c>
      <c r="H73" s="33">
        <f t="shared" si="2"/>
        <v>267933</v>
      </c>
    </row>
    <row r="74" spans="1:12">
      <c r="A74" s="32"/>
      <c r="B74" s="27" t="s">
        <v>62</v>
      </c>
      <c r="C74" s="97" t="s">
        <v>148</v>
      </c>
      <c r="D74" s="41" t="s">
        <v>60</v>
      </c>
      <c r="E74" s="104">
        <v>8370</v>
      </c>
      <c r="F74" s="105">
        <v>22</v>
      </c>
      <c r="G74" s="105">
        <v>21</v>
      </c>
      <c r="H74" s="33">
        <f t="shared" si="2"/>
        <v>359910</v>
      </c>
    </row>
    <row r="75" spans="1:12">
      <c r="A75" s="32"/>
      <c r="B75" s="27" t="s">
        <v>63</v>
      </c>
      <c r="C75" s="97" t="s">
        <v>149</v>
      </c>
      <c r="D75" s="41" t="s">
        <v>60</v>
      </c>
      <c r="E75" s="102">
        <v>424</v>
      </c>
      <c r="F75" s="105">
        <v>22</v>
      </c>
      <c r="G75" s="105">
        <v>21</v>
      </c>
      <c r="H75" s="33">
        <f t="shared" si="2"/>
        <v>18232</v>
      </c>
    </row>
    <row r="76" spans="1:12">
      <c r="A76" s="32"/>
      <c r="B76" s="27" t="s">
        <v>142</v>
      </c>
      <c r="C76" s="97" t="s">
        <v>150</v>
      </c>
      <c r="D76" s="41" t="s">
        <v>60</v>
      </c>
      <c r="E76" s="102">
        <v>363</v>
      </c>
      <c r="F76" s="105">
        <v>22</v>
      </c>
      <c r="G76" s="105">
        <v>21</v>
      </c>
      <c r="H76" s="33">
        <f t="shared" si="2"/>
        <v>15609</v>
      </c>
    </row>
    <row r="77" spans="1:12">
      <c r="A77" s="32"/>
      <c r="B77" s="27" t="s">
        <v>143</v>
      </c>
      <c r="C77" s="97" t="s">
        <v>145</v>
      </c>
      <c r="D77" s="41" t="s">
        <v>60</v>
      </c>
      <c r="E77" s="104">
        <v>600</v>
      </c>
      <c r="F77" s="105">
        <v>22</v>
      </c>
      <c r="G77" s="105">
        <v>21</v>
      </c>
      <c r="H77" s="33">
        <f t="shared" si="2"/>
        <v>25800</v>
      </c>
    </row>
    <row r="78" spans="1:12">
      <c r="A78" s="32"/>
      <c r="B78" s="27" t="s">
        <v>151</v>
      </c>
      <c r="C78" s="97" t="s">
        <v>146</v>
      </c>
      <c r="D78" s="41" t="s">
        <v>60</v>
      </c>
      <c r="E78" s="102">
        <v>278</v>
      </c>
      <c r="F78" s="105">
        <v>22</v>
      </c>
      <c r="G78" s="105">
        <v>21</v>
      </c>
      <c r="H78" s="33">
        <f t="shared" si="2"/>
        <v>11954</v>
      </c>
    </row>
    <row r="79" spans="1:12">
      <c r="A79" s="32"/>
      <c r="B79" s="27" t="s">
        <v>152</v>
      </c>
      <c r="C79" s="97" t="s">
        <v>140</v>
      </c>
      <c r="D79" s="41" t="s">
        <v>64</v>
      </c>
      <c r="E79" s="34">
        <v>70</v>
      </c>
      <c r="F79" s="49">
        <v>30</v>
      </c>
      <c r="G79" s="50">
        <v>15</v>
      </c>
      <c r="H79" s="33">
        <f t="shared" si="2"/>
        <v>3150</v>
      </c>
    </row>
    <row r="80" spans="1:12">
      <c r="A80" s="32"/>
      <c r="B80" s="27" t="s">
        <v>153</v>
      </c>
      <c r="C80" s="97" t="s">
        <v>141</v>
      </c>
      <c r="D80" s="41" t="s">
        <v>64</v>
      </c>
      <c r="E80" s="34">
        <v>90</v>
      </c>
      <c r="F80" s="49">
        <v>34</v>
      </c>
      <c r="G80" s="50">
        <v>15</v>
      </c>
      <c r="H80" s="33">
        <f t="shared" si="2"/>
        <v>4410</v>
      </c>
    </row>
    <row r="81" spans="1:10">
      <c r="A81" s="56">
        <v>810110</v>
      </c>
      <c r="B81" s="56" t="s">
        <v>9</v>
      </c>
      <c r="C81" s="57" t="s">
        <v>25</v>
      </c>
      <c r="D81" s="58"/>
      <c r="E81" s="56"/>
      <c r="F81" s="59"/>
      <c r="G81" s="59"/>
      <c r="H81" s="60">
        <f>SUM(H82:H82)</f>
        <v>2000</v>
      </c>
      <c r="I81" s="61"/>
      <c r="J81" s="61"/>
    </row>
    <row r="82" spans="1:10">
      <c r="A82" s="27"/>
      <c r="B82" s="27" t="s">
        <v>65</v>
      </c>
      <c r="C82" s="29" t="s">
        <v>66</v>
      </c>
      <c r="D82" s="30" t="s">
        <v>39</v>
      </c>
      <c r="E82" s="34">
        <v>1</v>
      </c>
      <c r="F82" s="43">
        <v>2000</v>
      </c>
      <c r="G82" s="43"/>
      <c r="H82" s="33">
        <f>(F82+G82)*E82</f>
        <v>2000</v>
      </c>
    </row>
    <row r="83" spans="1:10">
      <c r="A83" s="56">
        <v>810110</v>
      </c>
      <c r="B83" s="56" t="s">
        <v>10</v>
      </c>
      <c r="C83" s="57" t="s">
        <v>67</v>
      </c>
      <c r="D83" s="58"/>
      <c r="E83" s="56"/>
      <c r="F83" s="59"/>
      <c r="G83" s="59"/>
      <c r="H83" s="60">
        <f>SUM(H84:H89)</f>
        <v>0</v>
      </c>
      <c r="I83" s="61"/>
      <c r="J83" s="61"/>
    </row>
    <row r="84" spans="1:10">
      <c r="A84" s="27"/>
      <c r="B84" s="27" t="s">
        <v>68</v>
      </c>
      <c r="C84" s="98" t="s">
        <v>69</v>
      </c>
      <c r="D84" s="99" t="s">
        <v>64</v>
      </c>
      <c r="E84" s="46">
        <v>0</v>
      </c>
      <c r="F84" s="51"/>
      <c r="G84" s="43"/>
      <c r="H84" s="33">
        <f t="shared" ref="H84:H89" si="3">(F84+G84)*E84</f>
        <v>0</v>
      </c>
      <c r="I84" t="s">
        <v>204</v>
      </c>
    </row>
    <row r="85" spans="1:10">
      <c r="A85" s="27"/>
      <c r="B85" s="31" t="s">
        <v>70</v>
      </c>
      <c r="C85" s="44" t="s">
        <v>71</v>
      </c>
      <c r="D85" s="45" t="s">
        <v>39</v>
      </c>
      <c r="E85" s="34">
        <v>0</v>
      </c>
      <c r="F85" s="43"/>
      <c r="G85" s="43"/>
      <c r="H85" s="33">
        <f t="shared" si="3"/>
        <v>0</v>
      </c>
      <c r="I85" t="s">
        <v>204</v>
      </c>
    </row>
    <row r="86" spans="1:10">
      <c r="A86" s="27"/>
      <c r="B86" s="31" t="s">
        <v>72</v>
      </c>
      <c r="C86" s="29" t="s">
        <v>73</v>
      </c>
      <c r="D86" s="45" t="s">
        <v>39</v>
      </c>
      <c r="E86" s="34">
        <v>0</v>
      </c>
      <c r="F86" s="43"/>
      <c r="G86" s="43"/>
      <c r="H86" s="33">
        <f t="shared" si="3"/>
        <v>0</v>
      </c>
      <c r="I86" t="s">
        <v>204</v>
      </c>
    </row>
    <row r="87" spans="1:10">
      <c r="A87" s="27"/>
      <c r="B87" s="31" t="s">
        <v>74</v>
      </c>
      <c r="C87" s="29" t="s">
        <v>75</v>
      </c>
      <c r="D87" s="45" t="s">
        <v>39</v>
      </c>
      <c r="E87" s="34">
        <v>0</v>
      </c>
      <c r="F87" s="43"/>
      <c r="G87" s="43"/>
      <c r="H87" s="33">
        <f t="shared" si="3"/>
        <v>0</v>
      </c>
      <c r="I87" t="s">
        <v>204</v>
      </c>
    </row>
    <row r="88" spans="1:10">
      <c r="A88" s="27"/>
      <c r="B88" s="31" t="s">
        <v>76</v>
      </c>
      <c r="C88" s="29" t="s">
        <v>77</v>
      </c>
      <c r="D88" s="45" t="s">
        <v>39</v>
      </c>
      <c r="E88" s="34">
        <v>0</v>
      </c>
      <c r="F88" s="43"/>
      <c r="G88" s="43"/>
      <c r="H88" s="33">
        <f t="shared" si="3"/>
        <v>0</v>
      </c>
      <c r="I88" t="s">
        <v>204</v>
      </c>
    </row>
    <row r="89" spans="1:10">
      <c r="A89" s="27"/>
      <c r="B89" s="31" t="s">
        <v>78</v>
      </c>
      <c r="C89" s="29" t="s">
        <v>79</v>
      </c>
      <c r="D89" s="45" t="s">
        <v>39</v>
      </c>
      <c r="E89" s="34">
        <v>0</v>
      </c>
      <c r="F89" s="43"/>
      <c r="G89" s="43"/>
      <c r="H89" s="33">
        <f t="shared" si="3"/>
        <v>0</v>
      </c>
      <c r="I89" t="s">
        <v>204</v>
      </c>
    </row>
    <row r="90" spans="1:10">
      <c r="A90" s="56">
        <v>810110</v>
      </c>
      <c r="B90" s="56" t="s">
        <v>12</v>
      </c>
      <c r="C90" s="57" t="s">
        <v>80</v>
      </c>
      <c r="D90" s="58"/>
      <c r="E90" s="56"/>
      <c r="F90" s="59"/>
      <c r="G90" s="59"/>
      <c r="H90" s="60">
        <f>SUM(H91:H98)</f>
        <v>109000</v>
      </c>
      <c r="I90" s="61"/>
      <c r="J90" s="61"/>
    </row>
    <row r="91" spans="1:10">
      <c r="A91" s="32"/>
      <c r="B91" s="32" t="s">
        <v>81</v>
      </c>
      <c r="C91" s="29" t="s">
        <v>82</v>
      </c>
      <c r="D91" s="30" t="s">
        <v>39</v>
      </c>
      <c r="E91" s="34">
        <v>1</v>
      </c>
      <c r="F91" s="43">
        <v>50000</v>
      </c>
      <c r="G91" s="43">
        <v>4000</v>
      </c>
      <c r="H91" s="33">
        <f t="shared" ref="H91:H98" si="4">(F91+G91)*E91</f>
        <v>54000</v>
      </c>
      <c r="I91" s="61"/>
    </row>
    <row r="92" spans="1:10">
      <c r="A92" s="32"/>
      <c r="B92" s="32" t="s">
        <v>83</v>
      </c>
      <c r="C92" s="29" t="s">
        <v>84</v>
      </c>
      <c r="D92" s="30" t="s">
        <v>39</v>
      </c>
      <c r="E92" s="34">
        <v>1</v>
      </c>
      <c r="F92" s="43">
        <v>2000</v>
      </c>
      <c r="G92" s="43">
        <v>900</v>
      </c>
      <c r="H92" s="33">
        <f t="shared" si="4"/>
        <v>2900</v>
      </c>
      <c r="I92" s="61"/>
    </row>
    <row r="93" spans="1:10">
      <c r="A93" s="32"/>
      <c r="B93" s="32" t="s">
        <v>85</v>
      </c>
      <c r="C93" s="29" t="s">
        <v>86</v>
      </c>
      <c r="D93" s="30" t="s">
        <v>39</v>
      </c>
      <c r="E93" s="34">
        <v>1</v>
      </c>
      <c r="F93" s="43">
        <v>5600</v>
      </c>
      <c r="G93" s="43">
        <v>1000</v>
      </c>
      <c r="H93" s="33">
        <f t="shared" si="4"/>
        <v>6600</v>
      </c>
      <c r="I93" s="61"/>
    </row>
    <row r="94" spans="1:10" ht="39.6">
      <c r="A94" s="32"/>
      <c r="B94" s="32" t="s">
        <v>87</v>
      </c>
      <c r="C94" s="79" t="s">
        <v>88</v>
      </c>
      <c r="D94" s="30" t="s">
        <v>39</v>
      </c>
      <c r="E94" s="34">
        <v>1</v>
      </c>
      <c r="F94" s="103">
        <v>23000</v>
      </c>
      <c r="G94" s="103">
        <v>1500</v>
      </c>
      <c r="H94" s="33">
        <f t="shared" si="4"/>
        <v>24500</v>
      </c>
      <c r="I94" s="61"/>
    </row>
    <row r="95" spans="1:10">
      <c r="A95" s="32"/>
      <c r="B95" s="32" t="s">
        <v>89</v>
      </c>
      <c r="C95" s="79" t="s">
        <v>90</v>
      </c>
      <c r="D95" s="30" t="s">
        <v>39</v>
      </c>
      <c r="E95" s="34">
        <v>1</v>
      </c>
      <c r="F95" s="28">
        <v>2000</v>
      </c>
      <c r="G95" s="28"/>
      <c r="H95" s="33">
        <f t="shared" si="4"/>
        <v>2000</v>
      </c>
      <c r="I95" s="61"/>
    </row>
    <row r="96" spans="1:10" ht="39.6">
      <c r="A96" s="32"/>
      <c r="B96" s="32" t="s">
        <v>91</v>
      </c>
      <c r="C96" s="79" t="s">
        <v>92</v>
      </c>
      <c r="D96" s="30" t="s">
        <v>39</v>
      </c>
      <c r="E96" s="34">
        <v>1</v>
      </c>
      <c r="F96" s="43">
        <v>1000</v>
      </c>
      <c r="G96" s="43">
        <v>600</v>
      </c>
      <c r="H96" s="33">
        <f t="shared" si="4"/>
        <v>1600</v>
      </c>
      <c r="I96" s="61"/>
    </row>
    <row r="97" spans="1:10">
      <c r="A97" s="32"/>
      <c r="B97" s="32" t="s">
        <v>93</v>
      </c>
      <c r="C97" s="29" t="s">
        <v>94</v>
      </c>
      <c r="D97" s="30" t="s">
        <v>39</v>
      </c>
      <c r="E97" s="34">
        <v>1</v>
      </c>
      <c r="F97" s="43">
        <v>15500</v>
      </c>
      <c r="G97" s="43">
        <v>1000</v>
      </c>
      <c r="H97" s="33">
        <f t="shared" si="4"/>
        <v>16500</v>
      </c>
      <c r="I97" s="61"/>
    </row>
    <row r="98" spans="1:10">
      <c r="A98" s="32"/>
      <c r="B98" s="32" t="s">
        <v>95</v>
      </c>
      <c r="C98" s="80" t="s">
        <v>96</v>
      </c>
      <c r="D98" s="30" t="s">
        <v>39</v>
      </c>
      <c r="E98" s="34">
        <v>1</v>
      </c>
      <c r="F98" s="28"/>
      <c r="G98" s="28">
        <v>900</v>
      </c>
      <c r="H98" s="33">
        <f t="shared" si="4"/>
        <v>900</v>
      </c>
      <c r="I98" s="61"/>
    </row>
    <row r="99" spans="1:10">
      <c r="A99" s="56">
        <v>810110</v>
      </c>
      <c r="B99" s="56" t="s">
        <v>11</v>
      </c>
      <c r="C99" s="57" t="s">
        <v>97</v>
      </c>
      <c r="D99" s="58"/>
      <c r="E99" s="56"/>
      <c r="F99" s="59"/>
      <c r="G99" s="59"/>
      <c r="H99" s="60">
        <f>SUM(H100:H101)</f>
        <v>1900</v>
      </c>
      <c r="I99" s="61"/>
      <c r="J99" s="61"/>
    </row>
    <row r="100" spans="1:10">
      <c r="A100" s="27"/>
      <c r="B100" s="27" t="s">
        <v>98</v>
      </c>
      <c r="C100" s="95" t="s">
        <v>99</v>
      </c>
      <c r="D100" s="30" t="s">
        <v>39</v>
      </c>
      <c r="E100" s="34">
        <v>0</v>
      </c>
      <c r="F100" s="43"/>
      <c r="G100" s="43"/>
      <c r="H100" s="33">
        <f>(F100+G100)*E100</f>
        <v>0</v>
      </c>
      <c r="I100" s="113" t="s">
        <v>226</v>
      </c>
    </row>
    <row r="101" spans="1:10">
      <c r="A101" s="27"/>
      <c r="B101" s="27" t="s">
        <v>100</v>
      </c>
      <c r="C101" s="95" t="s">
        <v>101</v>
      </c>
      <c r="D101" s="30" t="s">
        <v>39</v>
      </c>
      <c r="E101" s="34">
        <v>1</v>
      </c>
      <c r="F101" s="43">
        <v>1100</v>
      </c>
      <c r="G101" s="43">
        <v>800</v>
      </c>
      <c r="H101" s="33">
        <f>(F101+G101)*E101</f>
        <v>1900</v>
      </c>
      <c r="I101" s="113" t="s">
        <v>227</v>
      </c>
    </row>
    <row r="102" spans="1:10">
      <c r="A102" s="56">
        <v>810110</v>
      </c>
      <c r="B102" s="56" t="s">
        <v>13</v>
      </c>
      <c r="C102" s="57" t="s">
        <v>102</v>
      </c>
      <c r="D102" s="58"/>
      <c r="E102" s="56"/>
      <c r="F102" s="59"/>
      <c r="G102" s="59"/>
      <c r="H102" s="60">
        <f>SUM(H103:H103)</f>
        <v>16000</v>
      </c>
      <c r="I102" s="112"/>
      <c r="J102" s="61"/>
    </row>
    <row r="103" spans="1:10">
      <c r="A103" s="32"/>
      <c r="B103" s="32" t="s">
        <v>103</v>
      </c>
      <c r="C103" s="29" t="s">
        <v>104</v>
      </c>
      <c r="D103" s="30" t="s">
        <v>39</v>
      </c>
      <c r="E103" s="34">
        <v>1</v>
      </c>
      <c r="F103" s="28"/>
      <c r="G103" s="103">
        <v>16000</v>
      </c>
      <c r="H103" s="33">
        <f>(F103+G103)*E103</f>
        <v>16000</v>
      </c>
    </row>
    <row r="104" spans="1:10">
      <c r="A104" s="56">
        <v>810110</v>
      </c>
      <c r="B104" s="56" t="s">
        <v>14</v>
      </c>
      <c r="C104" s="57" t="s">
        <v>105</v>
      </c>
      <c r="D104" s="58"/>
      <c r="E104" s="56"/>
      <c r="F104" s="59"/>
      <c r="G104" s="59"/>
      <c r="H104" s="60">
        <f>SUM(H105:H110)</f>
        <v>22279</v>
      </c>
      <c r="J104" s="61"/>
    </row>
    <row r="105" spans="1:10">
      <c r="A105" s="32"/>
      <c r="B105" s="27" t="s">
        <v>106</v>
      </c>
      <c r="C105" s="29" t="s">
        <v>107</v>
      </c>
      <c r="D105" s="30" t="s">
        <v>39</v>
      </c>
      <c r="E105" s="34">
        <v>1</v>
      </c>
      <c r="F105" s="43"/>
      <c r="G105" s="103">
        <v>8000</v>
      </c>
      <c r="H105" s="33">
        <f t="shared" ref="H105:H110" si="5">(F105+G105)*E105</f>
        <v>8000</v>
      </c>
    </row>
    <row r="106" spans="1:10">
      <c r="A106" s="32"/>
      <c r="B106" s="27" t="s">
        <v>108</v>
      </c>
      <c r="C106" s="29" t="s">
        <v>110</v>
      </c>
      <c r="D106" s="30" t="s">
        <v>39</v>
      </c>
      <c r="E106" s="27">
        <v>1</v>
      </c>
      <c r="F106" s="43"/>
      <c r="G106" s="43">
        <v>5039</v>
      </c>
      <c r="H106" s="33">
        <f t="shared" si="5"/>
        <v>5039</v>
      </c>
    </row>
    <row r="107" spans="1:10">
      <c r="A107" s="27"/>
      <c r="B107" s="27" t="s">
        <v>109</v>
      </c>
      <c r="C107" s="97" t="s">
        <v>112</v>
      </c>
      <c r="D107" s="41" t="s">
        <v>39</v>
      </c>
      <c r="E107" s="34">
        <v>1</v>
      </c>
      <c r="F107" s="43"/>
      <c r="G107" s="43">
        <v>7000</v>
      </c>
      <c r="H107" s="33">
        <f t="shared" si="5"/>
        <v>7000</v>
      </c>
    </row>
    <row r="108" spans="1:10">
      <c r="A108" s="27"/>
      <c r="B108" s="27" t="s">
        <v>111</v>
      </c>
      <c r="C108" s="97" t="s">
        <v>114</v>
      </c>
      <c r="D108" s="41" t="s">
        <v>39</v>
      </c>
      <c r="E108" s="34">
        <v>1</v>
      </c>
      <c r="F108" s="43"/>
      <c r="G108" s="43">
        <v>1000</v>
      </c>
      <c r="H108" s="33">
        <f t="shared" si="5"/>
        <v>1000</v>
      </c>
    </row>
    <row r="109" spans="1:10">
      <c r="A109" s="27"/>
      <c r="B109" s="27" t="s">
        <v>113</v>
      </c>
      <c r="C109" s="97" t="s">
        <v>116</v>
      </c>
      <c r="D109" s="41" t="s">
        <v>39</v>
      </c>
      <c r="E109" s="34">
        <v>1</v>
      </c>
      <c r="F109" s="43">
        <v>700</v>
      </c>
      <c r="G109" s="43">
        <v>50</v>
      </c>
      <c r="H109" s="33">
        <f t="shared" si="5"/>
        <v>750</v>
      </c>
    </row>
    <row r="110" spans="1:10">
      <c r="A110" s="27"/>
      <c r="B110" s="27" t="s">
        <v>115</v>
      </c>
      <c r="C110" s="97" t="s">
        <v>117</v>
      </c>
      <c r="D110" s="41" t="s">
        <v>39</v>
      </c>
      <c r="E110" s="34">
        <v>1</v>
      </c>
      <c r="F110" s="43">
        <v>440</v>
      </c>
      <c r="G110" s="43">
        <v>50</v>
      </c>
      <c r="H110" s="33">
        <f t="shared" si="5"/>
        <v>490</v>
      </c>
    </row>
    <row r="111" spans="1:10">
      <c r="A111" s="56">
        <v>810110</v>
      </c>
      <c r="B111" s="56" t="s">
        <v>15</v>
      </c>
      <c r="C111" s="57" t="s">
        <v>118</v>
      </c>
      <c r="D111" s="58"/>
      <c r="E111" s="56"/>
      <c r="F111" s="59"/>
      <c r="G111" s="59"/>
      <c r="H111" s="60">
        <f>SUM(H112:H123)</f>
        <v>102308.63</v>
      </c>
      <c r="I111" s="61"/>
      <c r="J111" s="61"/>
    </row>
    <row r="112" spans="1:10">
      <c r="A112" s="27"/>
      <c r="B112" s="101" t="s">
        <v>198</v>
      </c>
      <c r="C112" s="96" t="s">
        <v>203</v>
      </c>
      <c r="D112" s="41" t="s">
        <v>45</v>
      </c>
      <c r="E112" s="42">
        <v>2</v>
      </c>
      <c r="F112" s="28">
        <v>224</v>
      </c>
      <c r="G112" s="28">
        <v>30</v>
      </c>
      <c r="H112" s="33">
        <f t="shared" ref="H112:H123" si="6">(F112+G112)*E112</f>
        <v>508</v>
      </c>
      <c r="I112" s="115" t="s">
        <v>231</v>
      </c>
    </row>
    <row r="113" spans="1:10">
      <c r="A113" s="27"/>
      <c r="B113" s="101" t="s">
        <v>202</v>
      </c>
      <c r="C113" s="97" t="s">
        <v>201</v>
      </c>
      <c r="D113" s="41" t="s">
        <v>64</v>
      </c>
      <c r="E113" s="110">
        <v>68</v>
      </c>
      <c r="F113" s="28">
        <v>20</v>
      </c>
      <c r="G113" s="28">
        <v>15</v>
      </c>
      <c r="H113" s="33">
        <f t="shared" si="6"/>
        <v>2380</v>
      </c>
    </row>
    <row r="114" spans="1:10">
      <c r="A114" s="27"/>
      <c r="B114" s="101" t="s">
        <v>200</v>
      </c>
      <c r="C114" s="97" t="s">
        <v>224</v>
      </c>
      <c r="D114" s="41" t="s">
        <v>39</v>
      </c>
      <c r="E114" s="41">
        <v>1</v>
      </c>
      <c r="F114" s="28">
        <v>9000</v>
      </c>
      <c r="G114" s="28">
        <v>1500</v>
      </c>
      <c r="H114" s="33">
        <f t="shared" si="6"/>
        <v>10500</v>
      </c>
    </row>
    <row r="115" spans="1:10">
      <c r="A115" s="27"/>
      <c r="B115" s="101" t="s">
        <v>199</v>
      </c>
      <c r="C115" s="95" t="s">
        <v>216</v>
      </c>
      <c r="D115" s="109" t="s">
        <v>39</v>
      </c>
      <c r="E115" s="41">
        <v>1</v>
      </c>
      <c r="F115" s="43">
        <v>7520</v>
      </c>
      <c r="G115" s="43">
        <v>1000</v>
      </c>
      <c r="H115" s="33">
        <f t="shared" si="6"/>
        <v>8520</v>
      </c>
    </row>
    <row r="116" spans="1:10">
      <c r="A116" s="27"/>
      <c r="B116" s="101" t="s">
        <v>223</v>
      </c>
      <c r="C116" s="95" t="s">
        <v>214</v>
      </c>
      <c r="D116" s="109" t="s">
        <v>39</v>
      </c>
      <c r="E116" s="41">
        <v>1</v>
      </c>
      <c r="F116" s="103">
        <v>3000.63</v>
      </c>
      <c r="G116" s="103">
        <v>200</v>
      </c>
      <c r="H116" s="33">
        <f t="shared" si="6"/>
        <v>3200.63</v>
      </c>
    </row>
    <row r="117" spans="1:10">
      <c r="A117" s="27"/>
      <c r="B117" s="101" t="s">
        <v>222</v>
      </c>
      <c r="C117" s="95" t="s">
        <v>213</v>
      </c>
      <c r="D117" s="109" t="s">
        <v>39</v>
      </c>
      <c r="E117" s="41">
        <v>1</v>
      </c>
      <c r="F117" s="43">
        <v>19000</v>
      </c>
      <c r="G117" s="43">
        <v>2000</v>
      </c>
      <c r="H117" s="33">
        <f t="shared" si="6"/>
        <v>21000</v>
      </c>
    </row>
    <row r="118" spans="1:10">
      <c r="A118" s="27"/>
      <c r="B118" s="101" t="s">
        <v>221</v>
      </c>
      <c r="C118" s="95" t="s">
        <v>212</v>
      </c>
      <c r="D118" s="109" t="s">
        <v>39</v>
      </c>
      <c r="E118" s="41">
        <v>1</v>
      </c>
      <c r="F118" s="43"/>
      <c r="G118" s="43">
        <v>11000</v>
      </c>
      <c r="H118" s="33">
        <f t="shared" si="6"/>
        <v>11000</v>
      </c>
    </row>
    <row r="119" spans="1:10">
      <c r="A119" s="27"/>
      <c r="B119" s="101" t="s">
        <v>220</v>
      </c>
      <c r="C119" s="95" t="s">
        <v>211</v>
      </c>
      <c r="D119" s="30" t="s">
        <v>39</v>
      </c>
      <c r="E119" s="41">
        <v>1</v>
      </c>
      <c r="F119" s="43">
        <v>800</v>
      </c>
      <c r="G119" s="43">
        <v>100</v>
      </c>
      <c r="H119" s="33">
        <f t="shared" si="6"/>
        <v>900</v>
      </c>
    </row>
    <row r="120" spans="1:10">
      <c r="A120" s="27"/>
      <c r="B120" s="101" t="s">
        <v>219</v>
      </c>
      <c r="C120" s="95" t="s">
        <v>210</v>
      </c>
      <c r="D120" s="30" t="s">
        <v>39</v>
      </c>
      <c r="E120" s="41">
        <v>1</v>
      </c>
      <c r="F120" s="43">
        <v>1000</v>
      </c>
      <c r="G120" s="43">
        <v>100</v>
      </c>
      <c r="H120" s="33">
        <f t="shared" si="6"/>
        <v>1100</v>
      </c>
    </row>
    <row r="121" spans="1:10">
      <c r="A121" s="27"/>
      <c r="B121" s="101" t="s">
        <v>218</v>
      </c>
      <c r="C121" s="107" t="s">
        <v>209</v>
      </c>
      <c r="D121" s="46" t="s">
        <v>39</v>
      </c>
      <c r="E121" s="41">
        <v>1</v>
      </c>
      <c r="F121" s="43">
        <v>1000</v>
      </c>
      <c r="G121" s="43"/>
      <c r="H121" s="33">
        <f t="shared" si="6"/>
        <v>1000</v>
      </c>
    </row>
    <row r="122" spans="1:10">
      <c r="A122" s="27"/>
      <c r="B122" s="101" t="s">
        <v>217</v>
      </c>
      <c r="C122" s="108" t="s">
        <v>229</v>
      </c>
      <c r="D122" s="46" t="s">
        <v>208</v>
      </c>
      <c r="E122" s="110">
        <v>720</v>
      </c>
      <c r="F122" s="103">
        <v>35</v>
      </c>
      <c r="G122" s="43"/>
      <c r="H122" s="33">
        <f t="shared" si="6"/>
        <v>25200</v>
      </c>
      <c r="I122" t="s">
        <v>228</v>
      </c>
    </row>
    <row r="123" spans="1:10">
      <c r="A123" s="27"/>
      <c r="B123" s="101" t="s">
        <v>215</v>
      </c>
      <c r="C123" s="107" t="s">
        <v>207</v>
      </c>
      <c r="D123" s="46" t="s">
        <v>39</v>
      </c>
      <c r="E123" s="41">
        <v>1</v>
      </c>
      <c r="F123" s="103">
        <v>15000</v>
      </c>
      <c r="G123" s="103">
        <v>2000</v>
      </c>
      <c r="H123" s="33">
        <f t="shared" si="6"/>
        <v>17000</v>
      </c>
    </row>
    <row r="124" spans="1:10">
      <c r="A124" s="27"/>
      <c r="I124" s="106"/>
    </row>
    <row r="125" spans="1:10" ht="15.6">
      <c r="A125" s="122"/>
      <c r="B125" s="122"/>
      <c r="C125" s="123"/>
      <c r="D125" s="124"/>
      <c r="E125" s="125"/>
      <c r="F125" s="126"/>
      <c r="G125" s="127" t="s">
        <v>119</v>
      </c>
      <c r="H125" s="128">
        <f>H111+H104+H102+H99+H83+H81+H71+H43+H27+H90+H34</f>
        <v>1235500</v>
      </c>
      <c r="J125" s="100"/>
    </row>
    <row r="126" spans="1:10">
      <c r="H126" s="100"/>
    </row>
    <row r="127" spans="1:10">
      <c r="C127" s="114" t="s">
        <v>230</v>
      </c>
      <c r="H127" s="100"/>
    </row>
    <row r="128" spans="1:10" ht="34.799999999999997" customHeight="1">
      <c r="C128" s="129" t="s">
        <v>237</v>
      </c>
      <c r="D128" s="129"/>
      <c r="H128" s="100"/>
    </row>
    <row r="129" spans="3:8" ht="34.799999999999997" customHeight="1" thickBot="1">
      <c r="C129" s="130"/>
      <c r="D129" s="130"/>
      <c r="H129" s="100"/>
    </row>
    <row r="130" spans="3:8">
      <c r="C130" s="52"/>
    </row>
    <row r="131" spans="3:8" ht="15" thickBot="1">
      <c r="C131" s="53"/>
    </row>
    <row r="132" spans="3:8" ht="15.6">
      <c r="C132" s="121" t="s">
        <v>232</v>
      </c>
    </row>
    <row r="133" spans="3:8" ht="15.6">
      <c r="C133" s="119" t="s">
        <v>233</v>
      </c>
    </row>
    <row r="134" spans="3:8" ht="16.2" thickBot="1">
      <c r="C134" s="120" t="s">
        <v>238</v>
      </c>
    </row>
    <row r="135" spans="3:8" ht="16.2" thickBot="1">
      <c r="C135" s="118"/>
    </row>
    <row r="136" spans="3:8" ht="15.6">
      <c r="C136" s="121" t="s">
        <v>234</v>
      </c>
    </row>
    <row r="137" spans="3:8" ht="15.6">
      <c r="C137" s="119" t="s">
        <v>235</v>
      </c>
    </row>
    <row r="138" spans="3:8" ht="16.2" thickBot="1">
      <c r="C138" s="120" t="s">
        <v>236</v>
      </c>
    </row>
  </sheetData>
  <mergeCells count="14">
    <mergeCell ref="A6:B6"/>
    <mergeCell ref="C6:H6"/>
    <mergeCell ref="A7:B7"/>
    <mergeCell ref="C7:H7"/>
    <mergeCell ref="A2:C2"/>
    <mergeCell ref="B3:C3"/>
    <mergeCell ref="B4:C4"/>
    <mergeCell ref="D4:F4"/>
    <mergeCell ref="C8:D9"/>
    <mergeCell ref="C128:D129"/>
    <mergeCell ref="A26:H26"/>
    <mergeCell ref="F23:G23"/>
    <mergeCell ref="B23:B24"/>
    <mergeCell ref="C23:C2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d874d0-c552-4727-9c02-5b1c07c5b4b4">
      <Terms xmlns="http://schemas.microsoft.com/office/infopath/2007/PartnerControls"/>
    </lcf76f155ced4ddcb4097134ff3c332f>
    <TaxCatchAll xmlns="36b8e68b-7554-409c-85a4-5772116ca0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3C7FA26A0DEC4BB9340BCD00E554A6" ma:contentTypeVersion="13" ma:contentTypeDescription="Crie um novo documento." ma:contentTypeScope="" ma:versionID="f9c2f1d802bd3b0b9ec8d9c034f209d5">
  <xsd:schema xmlns:xsd="http://www.w3.org/2001/XMLSchema" xmlns:xs="http://www.w3.org/2001/XMLSchema" xmlns:p="http://schemas.microsoft.com/office/2006/metadata/properties" xmlns:ns2="b9d874d0-c552-4727-9c02-5b1c07c5b4b4" xmlns:ns3="36b8e68b-7554-409c-85a4-5772116ca008" targetNamespace="http://schemas.microsoft.com/office/2006/metadata/properties" ma:root="true" ma:fieldsID="87eb4ce78b83dca1a99c2080b0eb57a8" ns2:_="" ns3:_="">
    <xsd:import namespace="b9d874d0-c552-4727-9c02-5b1c07c5b4b4"/>
    <xsd:import namespace="36b8e68b-7554-409c-85a4-5772116ca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874d0-c552-4727-9c02-5b1c07c5b4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2007361-3871-486b-974f-54df117b5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e68b-7554-409c-85a4-5772116ca0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86182e-1bce-44e6-a9f7-5dc816473d70}" ma:internalName="TaxCatchAll" ma:showField="CatchAllData" ma:web="36b8e68b-7554-409c-85a4-5772116ca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DA8C34-17D6-408B-9699-89420C9271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D011FF-FC4C-4918-992C-498B4C6E7DB2}">
  <ds:schemaRefs>
    <ds:schemaRef ds:uri="http://schemas.microsoft.com/office/2006/metadata/properties"/>
    <ds:schemaRef ds:uri="http://schemas.microsoft.com/office/infopath/2007/PartnerControls"/>
    <ds:schemaRef ds:uri="88168c66-f943-4e21-8afa-c7b706f7afb9"/>
    <ds:schemaRef ds:uri="403965f5-dd3d-43df-8277-4cbb1d24df22"/>
    <ds:schemaRef ds:uri="2bc1ce66-d986-47ad-bbba-d12b618e2054"/>
    <ds:schemaRef ds:uri="610ea2ff-4465-46fb-9a26-93456e2bba6a"/>
    <ds:schemaRef ds:uri="01c109e8-1b84-4817-845c-8ecc582008ab"/>
    <ds:schemaRef ds:uri="90fa014f-5b20-4dd5-b9da-4fe8f28610af"/>
  </ds:schemaRefs>
</ds:datastoreItem>
</file>

<file path=customXml/itemProps3.xml><?xml version="1.0" encoding="utf-8"?>
<ds:datastoreItem xmlns:ds="http://schemas.openxmlformats.org/officeDocument/2006/customXml" ds:itemID="{17EC7BD0-8DD1-4B3F-B962-A8F9EB94CF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6ª Equal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Thais Ferreira Mello</dc:creator>
  <cp:keywords/>
  <dc:description/>
  <cp:lastModifiedBy>orcamentista-4</cp:lastModifiedBy>
  <cp:revision/>
  <dcterms:created xsi:type="dcterms:W3CDTF">2015-10-30T21:36:04Z</dcterms:created>
  <dcterms:modified xsi:type="dcterms:W3CDTF">2026-02-19T18:16:27Z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0x010100663C7FA26A0DEC4BB9340BCD00E554A6</vt:lpwstr>
  </property>
  <property fmtid="{D5CDD505-2E9C-101B-9397-08002B2CF9AE}" pid="3" name="Order">
    <vt:r8>453600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