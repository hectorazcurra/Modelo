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2033561\Downloads\"/>
    </mc:Choice>
  </mc:AlternateContent>
  <xr:revisionPtr revIDLastSave="0" documentId="13_ncr:1_{991095FC-9403-4049-8D85-1830859D1CD0}" xr6:coauthVersionLast="47" xr6:coauthVersionMax="47" xr10:uidLastSave="{00000000-0000-0000-0000-000000000000}"/>
  <bookViews>
    <workbookView xWindow="-110" yWindow="-110" windowWidth="19420" windowHeight="10300" tabRatio="725" firstSheet="4" activeTab="4" xr2:uid="{00000000-000D-0000-FFFF-FFFF00000000}"/>
  </bookViews>
  <sheets>
    <sheet name="PROPOSTA01" sheetId="1" r:id="rId1"/>
    <sheet name="1 Equa" sheetId="2" r:id="rId2"/>
    <sheet name="PROPOSTA 02" sheetId="4" r:id="rId3"/>
    <sheet name="2 EQUA" sheetId="3" r:id="rId4"/>
    <sheet name="PROPOSTA07" sheetId="13" r:id="rId5"/>
  </sheets>
  <definedNames>
    <definedName name="Formato_da_Loja">#REF!</definedName>
    <definedName name="marc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31" i="13"/>
  <c r="K32" i="13"/>
  <c r="K33" i="13"/>
  <c r="K34" i="13"/>
  <c r="K35" i="13"/>
  <c r="K36" i="13"/>
  <c r="K37" i="13"/>
  <c r="I38" i="13"/>
  <c r="K38" i="13"/>
  <c r="K39" i="13"/>
  <c r="K40" i="13"/>
  <c r="K41" i="13"/>
  <c r="H42" i="13"/>
  <c r="I42" i="13"/>
  <c r="K42" i="13"/>
  <c r="K43" i="13"/>
  <c r="J44" i="13"/>
  <c r="K44" i="13" s="1"/>
  <c r="K47" i="13"/>
  <c r="K48" i="13"/>
  <c r="K49" i="13"/>
  <c r="G50" i="13"/>
  <c r="G51" i="13" s="1"/>
  <c r="K50" i="13"/>
  <c r="K51" i="13"/>
  <c r="K52" i="13"/>
  <c r="H54" i="13"/>
  <c r="K54" i="13"/>
  <c r="H55" i="13"/>
  <c r="K55" i="13" s="1"/>
  <c r="K56" i="13"/>
  <c r="K57" i="13"/>
  <c r="K58" i="13"/>
  <c r="H59" i="13"/>
  <c r="K59" i="13" s="1"/>
  <c r="K60" i="13"/>
  <c r="H61" i="13"/>
  <c r="K61" i="13"/>
  <c r="H62" i="13"/>
  <c r="K62" i="13"/>
  <c r="K63" i="13"/>
  <c r="K65" i="13"/>
  <c r="H66" i="13"/>
  <c r="K66" i="13"/>
  <c r="K67" i="13"/>
  <c r="K68" i="13"/>
  <c r="K69" i="13"/>
  <c r="K70" i="13"/>
  <c r="K71" i="13"/>
  <c r="H73" i="13"/>
  <c r="K73" i="13"/>
  <c r="K74" i="13"/>
  <c r="K75" i="13"/>
  <c r="K76" i="13"/>
  <c r="H78" i="13"/>
  <c r="K78" i="13" s="1"/>
  <c r="K79" i="13"/>
  <c r="K80" i="13"/>
  <c r="J81" i="13"/>
  <c r="K81" i="13" s="1"/>
  <c r="J82" i="13"/>
  <c r="K82" i="13"/>
  <c r="H83" i="13"/>
  <c r="K83" i="13" s="1"/>
  <c r="J83" i="13"/>
  <c r="H84" i="13"/>
  <c r="K84" i="13"/>
  <c r="H85" i="13"/>
  <c r="K85" i="13"/>
  <c r="K86" i="13"/>
  <c r="K87" i="13"/>
  <c r="K88" i="13"/>
  <c r="K89" i="13"/>
  <c r="H90" i="13"/>
  <c r="K90" i="13"/>
  <c r="K91" i="13"/>
  <c r="K92" i="13"/>
  <c r="K93" i="13"/>
  <c r="K94" i="13"/>
  <c r="K95" i="13"/>
  <c r="K96" i="13"/>
  <c r="K97" i="13"/>
  <c r="K98" i="13"/>
  <c r="K99" i="13"/>
  <c r="H100" i="13"/>
  <c r="K100" i="13"/>
  <c r="K101" i="13"/>
  <c r="K103" i="13"/>
  <c r="K104" i="13"/>
  <c r="H105" i="13"/>
  <c r="K105" i="13" s="1"/>
  <c r="H106" i="13"/>
  <c r="K106" i="13" s="1"/>
  <c r="K107" i="13"/>
  <c r="K108" i="13"/>
  <c r="K109" i="13"/>
  <c r="H110" i="13"/>
  <c r="K110" i="13"/>
  <c r="K111" i="13"/>
  <c r="H112" i="13"/>
  <c r="K112" i="13" s="1"/>
  <c r="K113" i="13"/>
  <c r="K114" i="13"/>
  <c r="K116" i="13"/>
  <c r="K117" i="13"/>
  <c r="K118" i="13"/>
  <c r="K119" i="13"/>
  <c r="K120" i="13"/>
  <c r="K121" i="13"/>
  <c r="K122" i="13"/>
  <c r="K123" i="13"/>
  <c r="K124" i="13"/>
  <c r="K125" i="13"/>
  <c r="K126" i="13"/>
  <c r="I128" i="13"/>
  <c r="K128" i="13" s="1"/>
  <c r="K115" i="13" s="1"/>
  <c r="K129" i="13"/>
  <c r="K130" i="13"/>
  <c r="K131" i="13"/>
  <c r="K133" i="13"/>
  <c r="J134" i="13"/>
  <c r="K134" i="13"/>
  <c r="K135" i="13"/>
  <c r="K136" i="13"/>
  <c r="I139" i="13"/>
  <c r="K139" i="13"/>
  <c r="K140" i="13"/>
  <c r="K141" i="13"/>
  <c r="H142" i="13"/>
  <c r="K142" i="13" s="1"/>
  <c r="K143" i="13"/>
  <c r="K144" i="13"/>
  <c r="K145" i="13"/>
  <c r="K146" i="13"/>
  <c r="I147" i="13"/>
  <c r="K147" i="13"/>
  <c r="I148" i="13"/>
  <c r="K148" i="13"/>
  <c r="K149" i="13"/>
  <c r="H150" i="13"/>
  <c r="K150" i="13" s="1"/>
  <c r="K151" i="13"/>
  <c r="K152" i="13"/>
  <c r="K153" i="13"/>
  <c r="K154" i="13"/>
  <c r="K155" i="13"/>
  <c r="K156" i="13"/>
  <c r="I157" i="13"/>
  <c r="K157" i="13" s="1"/>
  <c r="K158" i="13"/>
  <c r="K159" i="13"/>
  <c r="H160" i="13"/>
  <c r="K160" i="13" s="1"/>
  <c r="J160" i="13"/>
  <c r="H161" i="13"/>
  <c r="K161" i="13"/>
  <c r="H162" i="13"/>
  <c r="I162" i="13"/>
  <c r="J162" i="13"/>
  <c r="K162" i="13"/>
  <c r="I163" i="13"/>
  <c r="K163" i="13" s="1"/>
  <c r="J163" i="13"/>
  <c r="K164" i="13"/>
  <c r="K165" i="13"/>
  <c r="K166" i="13"/>
  <c r="K167" i="13"/>
  <c r="I168" i="13"/>
  <c r="K168" i="13"/>
  <c r="K169" i="13"/>
  <c r="K170" i="13"/>
  <c r="K171" i="13"/>
  <c r="K172" i="13"/>
  <c r="K173" i="13"/>
  <c r="K174" i="13"/>
  <c r="I190" i="13"/>
  <c r="J190" i="13"/>
  <c r="K190" i="13"/>
  <c r="I191" i="13"/>
  <c r="J191" i="13"/>
  <c r="K191" i="13"/>
  <c r="I192" i="13"/>
  <c r="J192" i="13"/>
  <c r="K192" i="13"/>
  <c r="I193" i="13"/>
  <c r="J193" i="13"/>
  <c r="K193" i="13"/>
  <c r="I194" i="13"/>
  <c r="J194" i="13"/>
  <c r="K194" i="13"/>
  <c r="I195" i="13"/>
  <c r="J195" i="13"/>
  <c r="K195" i="13"/>
  <c r="I196" i="13"/>
  <c r="J196" i="13"/>
  <c r="K196" i="13"/>
  <c r="K45" i="13" l="1"/>
  <c r="K77" i="13"/>
  <c r="K137" i="13"/>
  <c r="K183" i="13" s="1"/>
  <c r="K30" i="13"/>
  <c r="K102" i="13"/>
  <c r="AG115" i="3" l="1"/>
  <c r="V115" i="3"/>
  <c r="J115" i="3"/>
  <c r="AG71" i="3" l="1"/>
  <c r="AG81" i="3"/>
  <c r="AG184" i="3"/>
  <c r="AF184" i="3"/>
  <c r="AE184" i="3"/>
  <c r="AG183" i="3"/>
  <c r="AF183" i="3"/>
  <c r="AE183" i="3"/>
  <c r="AG182" i="3"/>
  <c r="AF182" i="3"/>
  <c r="AE182" i="3"/>
  <c r="AG181" i="3"/>
  <c r="AF181" i="3"/>
  <c r="AE181" i="3"/>
  <c r="AG180" i="3"/>
  <c r="AF180" i="3"/>
  <c r="AE180" i="3"/>
  <c r="AG179" i="3"/>
  <c r="AF179" i="3"/>
  <c r="AE179" i="3"/>
  <c r="AG178" i="3"/>
  <c r="AF178" i="3"/>
  <c r="AE178" i="3"/>
  <c r="AG170" i="3"/>
  <c r="AG145" i="3"/>
  <c r="AG144" i="3"/>
  <c r="AG143" i="3"/>
  <c r="AG142" i="3"/>
  <c r="AG141" i="3"/>
  <c r="AG140" i="3"/>
  <c r="AG139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E88" i="3"/>
  <c r="AG88" i="3" s="1"/>
  <c r="AG87" i="3"/>
  <c r="AG86" i="3"/>
  <c r="AG85" i="3"/>
  <c r="AG84" i="3"/>
  <c r="AG83" i="3"/>
  <c r="AF82" i="3"/>
  <c r="AE82" i="3"/>
  <c r="AG76" i="3"/>
  <c r="AG75" i="3"/>
  <c r="AG74" i="3"/>
  <c r="AG73" i="3"/>
  <c r="AG70" i="3"/>
  <c r="AG69" i="3"/>
  <c r="AG68" i="3"/>
  <c r="AG63" i="3"/>
  <c r="AG62" i="3"/>
  <c r="AG61" i="3"/>
  <c r="AG60" i="3"/>
  <c r="AG59" i="3"/>
  <c r="AG19" i="3" s="1"/>
  <c r="AG58" i="3"/>
  <c r="AG57" i="3"/>
  <c r="AD54" i="3"/>
  <c r="AD65" i="3" s="1"/>
  <c r="AG52" i="3"/>
  <c r="AG11" i="3" s="1"/>
  <c r="AG51" i="3"/>
  <c r="AG50" i="3"/>
  <c r="AC50" i="3"/>
  <c r="AC51" i="3" s="1"/>
  <c r="AG49" i="3"/>
  <c r="AG48" i="3"/>
  <c r="AG10" i="3" s="1"/>
  <c r="AG47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22" i="3"/>
  <c r="AG20" i="3"/>
  <c r="AG18" i="3"/>
  <c r="AG17" i="3"/>
  <c r="AG16" i="3"/>
  <c r="AG12" i="3"/>
  <c r="AF4" i="3"/>
  <c r="AG137" i="3" l="1"/>
  <c r="AG54" i="3"/>
  <c r="AG82" i="3"/>
  <c r="AG24" i="3" s="1"/>
  <c r="AG25" i="3"/>
  <c r="AG21" i="3"/>
  <c r="AG30" i="3"/>
  <c r="AG15" i="3"/>
  <c r="AG23" i="3"/>
  <c r="AG65" i="3"/>
  <c r="AD66" i="3"/>
  <c r="AG77" i="3"/>
  <c r="AG102" i="3"/>
  <c r="AD55" i="3"/>
  <c r="AG55" i="3" s="1"/>
  <c r="AG13" i="3" s="1"/>
  <c r="AG66" i="3" l="1"/>
  <c r="AD67" i="3"/>
  <c r="AG67" i="3" s="1"/>
  <c r="AG14" i="3" l="1"/>
  <c r="AG26" i="3" s="1"/>
  <c r="AG45" i="3"/>
  <c r="AG171" i="3" s="1"/>
  <c r="V163" i="4" l="1"/>
  <c r="V162" i="4"/>
  <c r="V161" i="4"/>
  <c r="V160" i="4"/>
  <c r="J160" i="4"/>
  <c r="I160" i="4"/>
  <c r="H160" i="4"/>
  <c r="V159" i="4"/>
  <c r="J159" i="4"/>
  <c r="I159" i="4"/>
  <c r="H159" i="4"/>
  <c r="V158" i="4"/>
  <c r="J158" i="4"/>
  <c r="I158" i="4"/>
  <c r="H158" i="4"/>
  <c r="V157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45" i="4"/>
  <c r="V144" i="4"/>
  <c r="J144" i="4"/>
  <c r="V143" i="4"/>
  <c r="J143" i="4"/>
  <c r="V142" i="4"/>
  <c r="J142" i="4"/>
  <c r="V141" i="4"/>
  <c r="J141" i="4"/>
  <c r="H141" i="4"/>
  <c r="V140" i="4"/>
  <c r="J140" i="4"/>
  <c r="V139" i="4"/>
  <c r="J139" i="4"/>
  <c r="V138" i="4"/>
  <c r="J138" i="4"/>
  <c r="V137" i="4"/>
  <c r="J137" i="4"/>
  <c r="V136" i="4"/>
  <c r="I136" i="4"/>
  <c r="J136" i="4" s="1"/>
  <c r="H136" i="4"/>
  <c r="V135" i="4"/>
  <c r="J135" i="4"/>
  <c r="I135" i="4"/>
  <c r="H135" i="4"/>
  <c r="G135" i="4"/>
  <c r="V134" i="4"/>
  <c r="J134" i="4"/>
  <c r="G134" i="4"/>
  <c r="AG133" i="4"/>
  <c r="AF133" i="4"/>
  <c r="AE133" i="4"/>
  <c r="V133" i="4"/>
  <c r="I133" i="4"/>
  <c r="G133" i="4"/>
  <c r="J133" i="4" s="1"/>
  <c r="AG132" i="4"/>
  <c r="AF132" i="4"/>
  <c r="AE132" i="4"/>
  <c r="V132" i="4"/>
  <c r="J132" i="4"/>
  <c r="AG131" i="4"/>
  <c r="AF131" i="4"/>
  <c r="AE131" i="4"/>
  <c r="V131" i="4"/>
  <c r="J131" i="4"/>
  <c r="AG130" i="4"/>
  <c r="AF130" i="4"/>
  <c r="AE130" i="4"/>
  <c r="V130" i="4"/>
  <c r="J130" i="4"/>
  <c r="H130" i="4"/>
  <c r="AG129" i="4"/>
  <c r="AF129" i="4"/>
  <c r="AE129" i="4"/>
  <c r="V129" i="4"/>
  <c r="J129" i="4"/>
  <c r="AG128" i="4"/>
  <c r="AF128" i="4"/>
  <c r="AE128" i="4"/>
  <c r="V128" i="4"/>
  <c r="J128" i="4"/>
  <c r="AG127" i="4"/>
  <c r="AF127" i="4"/>
  <c r="AE127" i="4"/>
  <c r="V127" i="4"/>
  <c r="J127" i="4"/>
  <c r="V126" i="4"/>
  <c r="J126" i="4"/>
  <c r="V125" i="4"/>
  <c r="J125" i="4"/>
  <c r="V124" i="4"/>
  <c r="G124" i="4"/>
  <c r="J124" i="4" s="1"/>
  <c r="V123" i="4"/>
  <c r="J123" i="4"/>
  <c r="V122" i="4"/>
  <c r="H122" i="4"/>
  <c r="J122" i="4" s="1"/>
  <c r="V121" i="4"/>
  <c r="H121" i="4"/>
  <c r="J121" i="4" s="1"/>
  <c r="V120" i="4"/>
  <c r="J120" i="4"/>
  <c r="AG119" i="4"/>
  <c r="V119" i="4"/>
  <c r="J119" i="4"/>
  <c r="AG118" i="4"/>
  <c r="V118" i="4"/>
  <c r="J118" i="4"/>
  <c r="AG117" i="4"/>
  <c r="V117" i="4"/>
  <c r="J117" i="4"/>
  <c r="AG116" i="4"/>
  <c r="V116" i="4"/>
  <c r="G116" i="4"/>
  <c r="J116" i="4" s="1"/>
  <c r="J112" i="4" s="1"/>
  <c r="AG115" i="4"/>
  <c r="V115" i="4"/>
  <c r="J115" i="4"/>
  <c r="AG114" i="4"/>
  <c r="V114" i="4"/>
  <c r="J114" i="4"/>
  <c r="AG113" i="4"/>
  <c r="V113" i="4"/>
  <c r="V112" i="4" s="1"/>
  <c r="J113" i="4"/>
  <c r="AG112" i="4"/>
  <c r="AG111" i="4"/>
  <c r="V111" i="4"/>
  <c r="J111" i="4"/>
  <c r="AG110" i="4"/>
  <c r="V110" i="4"/>
  <c r="J110" i="4"/>
  <c r="AG109" i="4"/>
  <c r="V109" i="4"/>
  <c r="J109" i="4"/>
  <c r="G109" i="4"/>
  <c r="AG108" i="4"/>
  <c r="V108" i="4"/>
  <c r="J108" i="4"/>
  <c r="AG107" i="4"/>
  <c r="V107" i="4"/>
  <c r="G107" i="4"/>
  <c r="J107" i="4" s="1"/>
  <c r="AG106" i="4"/>
  <c r="V106" i="4"/>
  <c r="J106" i="4"/>
  <c r="H106" i="4"/>
  <c r="AG105" i="4"/>
  <c r="V105" i="4"/>
  <c r="J105" i="4"/>
  <c r="AG104" i="4"/>
  <c r="V104" i="4"/>
  <c r="J104" i="4"/>
  <c r="AG103" i="4"/>
  <c r="V103" i="4"/>
  <c r="G103" i="4"/>
  <c r="J103" i="4" s="1"/>
  <c r="AG102" i="4"/>
  <c r="V102" i="4"/>
  <c r="G102" i="4"/>
  <c r="J102" i="4" s="1"/>
  <c r="AG101" i="4"/>
  <c r="V101" i="4"/>
  <c r="J101" i="4"/>
  <c r="AG100" i="4"/>
  <c r="V100" i="4"/>
  <c r="V99" i="4" s="1"/>
  <c r="J100" i="4"/>
  <c r="AG99" i="4"/>
  <c r="AG98" i="4" s="1"/>
  <c r="V98" i="4"/>
  <c r="J98" i="4"/>
  <c r="AG97" i="4"/>
  <c r="V97" i="4"/>
  <c r="J97" i="4"/>
  <c r="G97" i="4"/>
  <c r="AG96" i="4"/>
  <c r="V96" i="4"/>
  <c r="J96" i="4"/>
  <c r="AG95" i="4"/>
  <c r="V95" i="4"/>
  <c r="J95" i="4"/>
  <c r="AG94" i="4"/>
  <c r="V94" i="4"/>
  <c r="J94" i="4"/>
  <c r="AG93" i="4"/>
  <c r="V93" i="4"/>
  <c r="J93" i="4"/>
  <c r="AG92" i="4"/>
  <c r="V92" i="4"/>
  <c r="J92" i="4"/>
  <c r="AG91" i="4"/>
  <c r="V91" i="4"/>
  <c r="J91" i="4"/>
  <c r="AG90" i="4"/>
  <c r="V90" i="4"/>
  <c r="J90" i="4"/>
  <c r="AG89" i="4"/>
  <c r="V89" i="4"/>
  <c r="V24" i="4" s="1"/>
  <c r="J89" i="4"/>
  <c r="AG88" i="4"/>
  <c r="V88" i="4"/>
  <c r="J88" i="4"/>
  <c r="AG87" i="4"/>
  <c r="V87" i="4"/>
  <c r="G87" i="4"/>
  <c r="J87" i="4" s="1"/>
  <c r="AG86" i="4"/>
  <c r="V86" i="4"/>
  <c r="J86" i="4"/>
  <c r="AG85" i="4"/>
  <c r="V85" i="4"/>
  <c r="J85" i="4"/>
  <c r="AE84" i="4"/>
  <c r="AG84" i="4" s="1"/>
  <c r="V84" i="4"/>
  <c r="J84" i="4"/>
  <c r="AG83" i="4"/>
  <c r="V83" i="4"/>
  <c r="J83" i="4"/>
  <c r="AG82" i="4"/>
  <c r="V82" i="4"/>
  <c r="J82" i="4"/>
  <c r="G82" i="4"/>
  <c r="AG81" i="4"/>
  <c r="V81" i="4"/>
  <c r="G81" i="4"/>
  <c r="J81" i="4" s="1"/>
  <c r="AG80" i="4"/>
  <c r="V80" i="4"/>
  <c r="J80" i="4"/>
  <c r="I80" i="4"/>
  <c r="G80" i="4"/>
  <c r="AG79" i="4"/>
  <c r="V79" i="4"/>
  <c r="J79" i="4"/>
  <c r="J77" i="4" s="1"/>
  <c r="I79" i="4"/>
  <c r="AF78" i="4"/>
  <c r="AG78" i="4" s="1"/>
  <c r="AE78" i="4"/>
  <c r="V78" i="4"/>
  <c r="V77" i="4" s="1"/>
  <c r="J78" i="4"/>
  <c r="I78" i="4"/>
  <c r="AG77" i="4"/>
  <c r="V76" i="4"/>
  <c r="J76" i="4"/>
  <c r="AG75" i="4"/>
  <c r="V75" i="4"/>
  <c r="J75" i="4"/>
  <c r="AG74" i="4"/>
  <c r="V74" i="4"/>
  <c r="J74" i="4"/>
  <c r="AG73" i="4"/>
  <c r="V73" i="4"/>
  <c r="J73" i="4"/>
  <c r="AG72" i="4"/>
  <c r="V71" i="4"/>
  <c r="K71" i="4"/>
  <c r="J71" i="4"/>
  <c r="AG70" i="4"/>
  <c r="V70" i="4"/>
  <c r="J70" i="4"/>
  <c r="AG69" i="4"/>
  <c r="V69" i="4"/>
  <c r="J69" i="4"/>
  <c r="AG68" i="4"/>
  <c r="V68" i="4"/>
  <c r="J68" i="4"/>
  <c r="V67" i="4"/>
  <c r="K67" i="4"/>
  <c r="J67" i="4"/>
  <c r="V66" i="4"/>
  <c r="V14" i="4" s="1"/>
  <c r="G66" i="4"/>
  <c r="J66" i="4" s="1"/>
  <c r="J14" i="4" s="1"/>
  <c r="V65" i="4"/>
  <c r="J65" i="4"/>
  <c r="AG63" i="4"/>
  <c r="V63" i="4"/>
  <c r="J63" i="4"/>
  <c r="AG62" i="4"/>
  <c r="V62" i="4"/>
  <c r="G62" i="4"/>
  <c r="J62" i="4" s="1"/>
  <c r="J23" i="4" s="1"/>
  <c r="AG61" i="4"/>
  <c r="V61" i="4"/>
  <c r="J61" i="4"/>
  <c r="G61" i="4"/>
  <c r="AG60" i="4"/>
  <c r="V60" i="4"/>
  <c r="J60" i="4"/>
  <c r="AG59" i="4"/>
  <c r="V59" i="4"/>
  <c r="G59" i="4"/>
  <c r="J59" i="4" s="1"/>
  <c r="J19" i="4" s="1"/>
  <c r="AG58" i="4"/>
  <c r="V58" i="4"/>
  <c r="J58" i="4"/>
  <c r="AG57" i="4"/>
  <c r="V57" i="4"/>
  <c r="J57" i="4"/>
  <c r="V56" i="4"/>
  <c r="J56" i="4"/>
  <c r="AD55" i="4"/>
  <c r="AG55" i="4" s="1"/>
  <c r="V55" i="4"/>
  <c r="G55" i="4"/>
  <c r="J55" i="4" s="1"/>
  <c r="AD54" i="4"/>
  <c r="AD65" i="4" s="1"/>
  <c r="V54" i="4"/>
  <c r="V13" i="4" s="1"/>
  <c r="J54" i="4"/>
  <c r="AG52" i="4"/>
  <c r="V52" i="4"/>
  <c r="J52" i="4"/>
  <c r="AG51" i="4"/>
  <c r="V51" i="4"/>
  <c r="R51" i="4"/>
  <c r="J51" i="4"/>
  <c r="AG50" i="4"/>
  <c r="AC50" i="4"/>
  <c r="AC51" i="4" s="1"/>
  <c r="V50" i="4"/>
  <c r="R50" i="4"/>
  <c r="J50" i="4"/>
  <c r="F50" i="4"/>
  <c r="F51" i="4" s="1"/>
  <c r="AG49" i="4"/>
  <c r="V49" i="4"/>
  <c r="J49" i="4"/>
  <c r="AG48" i="4"/>
  <c r="V48" i="4"/>
  <c r="J48" i="4"/>
  <c r="AG47" i="4"/>
  <c r="V47" i="4"/>
  <c r="V45" i="4" s="1"/>
  <c r="J47" i="4"/>
  <c r="AG44" i="4"/>
  <c r="V44" i="4"/>
  <c r="I44" i="4"/>
  <c r="J44" i="4" s="1"/>
  <c r="AG43" i="4"/>
  <c r="V43" i="4"/>
  <c r="J43" i="4"/>
  <c r="AG42" i="4"/>
  <c r="V42" i="4"/>
  <c r="H42" i="4"/>
  <c r="G42" i="4"/>
  <c r="J42" i="4" s="1"/>
  <c r="J15" i="4" s="1"/>
  <c r="AG41" i="4"/>
  <c r="V41" i="4"/>
  <c r="J41" i="4"/>
  <c r="AG40" i="4"/>
  <c r="V40" i="4"/>
  <c r="J40" i="4"/>
  <c r="AG39" i="4"/>
  <c r="V39" i="4"/>
  <c r="J39" i="4"/>
  <c r="AG38" i="4"/>
  <c r="V38" i="4"/>
  <c r="J38" i="4"/>
  <c r="AG37" i="4"/>
  <c r="V37" i="4"/>
  <c r="J37" i="4"/>
  <c r="AG36" i="4"/>
  <c r="AG15" i="4" s="1"/>
  <c r="V36" i="4"/>
  <c r="J36" i="4"/>
  <c r="AG35" i="4"/>
  <c r="V35" i="4"/>
  <c r="J35" i="4"/>
  <c r="AG34" i="4"/>
  <c r="V34" i="4"/>
  <c r="J34" i="4"/>
  <c r="J30" i="4" s="1"/>
  <c r="AG33" i="4"/>
  <c r="V33" i="4"/>
  <c r="J33" i="4"/>
  <c r="AG32" i="4"/>
  <c r="AG30" i="4" s="1"/>
  <c r="V32" i="4"/>
  <c r="J32" i="4"/>
  <c r="AG31" i="4"/>
  <c r="V31" i="4"/>
  <c r="J31" i="4"/>
  <c r="AG25" i="4"/>
  <c r="V25" i="4"/>
  <c r="J25" i="4"/>
  <c r="AG23" i="4"/>
  <c r="V23" i="4"/>
  <c r="AG22" i="4"/>
  <c r="V22" i="4"/>
  <c r="J22" i="4"/>
  <c r="V21" i="4"/>
  <c r="AG20" i="4"/>
  <c r="V20" i="4"/>
  <c r="J20" i="4"/>
  <c r="AG19" i="4"/>
  <c r="V19" i="4"/>
  <c r="AG18" i="4"/>
  <c r="V18" i="4"/>
  <c r="J18" i="4"/>
  <c r="AG17" i="4"/>
  <c r="V17" i="4"/>
  <c r="J17" i="4"/>
  <c r="AG16" i="4"/>
  <c r="V16" i="4"/>
  <c r="J16" i="4"/>
  <c r="AG12" i="4"/>
  <c r="V12" i="4"/>
  <c r="J12" i="4"/>
  <c r="AG11" i="4"/>
  <c r="V11" i="4"/>
  <c r="J11" i="4"/>
  <c r="AG10" i="4"/>
  <c r="V10" i="4"/>
  <c r="J10" i="4"/>
  <c r="AF4" i="4"/>
  <c r="I4" i="4"/>
  <c r="V30" i="4" l="1"/>
  <c r="V150" i="4"/>
  <c r="J24" i="4"/>
  <c r="AG65" i="4"/>
  <c r="AD66" i="4"/>
  <c r="AG24" i="4"/>
  <c r="AG76" i="4"/>
  <c r="J99" i="4"/>
  <c r="J147" i="4" s="1"/>
  <c r="J21" i="4"/>
  <c r="J45" i="4"/>
  <c r="J13" i="4"/>
  <c r="J26" i="4" s="1"/>
  <c r="V15" i="4"/>
  <c r="V26" i="4" s="1"/>
  <c r="AG54" i="4"/>
  <c r="AG13" i="4" s="1"/>
  <c r="AG21" i="4"/>
  <c r="AD67" i="4" l="1"/>
  <c r="AG67" i="4" s="1"/>
  <c r="AG14" i="4" s="1"/>
  <c r="AG26" i="4" s="1"/>
  <c r="AG66" i="4"/>
  <c r="AG45" i="4" s="1"/>
  <c r="AG120" i="4" s="1"/>
  <c r="V12" i="3" l="1"/>
  <c r="V16" i="3"/>
  <c r="V17" i="3"/>
  <c r="V18" i="3"/>
  <c r="V20" i="3"/>
  <c r="V22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7" i="3"/>
  <c r="V48" i="3"/>
  <c r="V10" i="3" s="1"/>
  <c r="V49" i="3"/>
  <c r="R50" i="3"/>
  <c r="R51" i="3" s="1"/>
  <c r="V50" i="3"/>
  <c r="V51" i="3"/>
  <c r="V52" i="3"/>
  <c r="V11" i="3" s="1"/>
  <c r="V54" i="3"/>
  <c r="V55" i="3"/>
  <c r="V56" i="3"/>
  <c r="V57" i="3"/>
  <c r="V58" i="3"/>
  <c r="V59" i="3"/>
  <c r="V19" i="3" s="1"/>
  <c r="V60" i="3"/>
  <c r="V61" i="3"/>
  <c r="V62" i="3"/>
  <c r="V63" i="3"/>
  <c r="V65" i="3"/>
  <c r="V66" i="3"/>
  <c r="V67" i="3"/>
  <c r="V68" i="3"/>
  <c r="V69" i="3"/>
  <c r="V70" i="3"/>
  <c r="V71" i="3"/>
  <c r="V73" i="3"/>
  <c r="V74" i="3"/>
  <c r="V75" i="3"/>
  <c r="V76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92" i="3"/>
  <c r="V193" i="3"/>
  <c r="V194" i="3"/>
  <c r="V195" i="3"/>
  <c r="V196" i="3"/>
  <c r="V197" i="3"/>
  <c r="V198" i="3"/>
  <c r="I4" i="3"/>
  <c r="J12" i="3"/>
  <c r="J16" i="3"/>
  <c r="J17" i="3"/>
  <c r="J18" i="3"/>
  <c r="J20" i="3"/>
  <c r="J22" i="3"/>
  <c r="J31" i="3"/>
  <c r="J32" i="3"/>
  <c r="J33" i="3"/>
  <c r="J34" i="3"/>
  <c r="J35" i="3"/>
  <c r="J36" i="3"/>
  <c r="J37" i="3"/>
  <c r="J38" i="3"/>
  <c r="J39" i="3"/>
  <c r="J40" i="3"/>
  <c r="J41" i="3"/>
  <c r="G42" i="3"/>
  <c r="H42" i="3"/>
  <c r="J43" i="3"/>
  <c r="I44" i="3"/>
  <c r="J44" i="3" s="1"/>
  <c r="J47" i="3"/>
  <c r="J48" i="3"/>
  <c r="J10" i="3" s="1"/>
  <c r="J49" i="3"/>
  <c r="F50" i="3"/>
  <c r="F51" i="3" s="1"/>
  <c r="J50" i="3"/>
  <c r="J51" i="3"/>
  <c r="J52" i="3"/>
  <c r="J11" i="3" s="1"/>
  <c r="J54" i="3"/>
  <c r="G55" i="3"/>
  <c r="J55" i="3" s="1"/>
  <c r="J56" i="3"/>
  <c r="J57" i="3"/>
  <c r="J58" i="3"/>
  <c r="G59" i="3"/>
  <c r="J59" i="3" s="1"/>
  <c r="J19" i="3" s="1"/>
  <c r="J60" i="3"/>
  <c r="G61" i="3"/>
  <c r="J61" i="3" s="1"/>
  <c r="J63" i="3"/>
  <c r="J65" i="3"/>
  <c r="G66" i="3"/>
  <c r="J66" i="3" s="1"/>
  <c r="J67" i="3"/>
  <c r="K67" i="3"/>
  <c r="K71" i="3" s="1"/>
  <c r="J68" i="3"/>
  <c r="J69" i="3"/>
  <c r="J70" i="3"/>
  <c r="J71" i="3"/>
  <c r="J73" i="3"/>
  <c r="J74" i="3"/>
  <c r="J75" i="3"/>
  <c r="J76" i="3"/>
  <c r="I81" i="3"/>
  <c r="J81" i="3" s="1"/>
  <c r="I82" i="3"/>
  <c r="J82" i="3" s="1"/>
  <c r="G83" i="3"/>
  <c r="I83" i="3"/>
  <c r="G84" i="3"/>
  <c r="J84" i="3" s="1"/>
  <c r="G85" i="3"/>
  <c r="J85" i="3" s="1"/>
  <c r="J86" i="3"/>
  <c r="J87" i="3"/>
  <c r="J88" i="3"/>
  <c r="J89" i="3"/>
  <c r="G90" i="3"/>
  <c r="J90" i="3" s="1"/>
  <c r="J91" i="3"/>
  <c r="J92" i="3"/>
  <c r="J93" i="3"/>
  <c r="J94" i="3"/>
  <c r="J95" i="3"/>
  <c r="J96" i="3"/>
  <c r="J97" i="3"/>
  <c r="J98" i="3"/>
  <c r="J99" i="3"/>
  <c r="G100" i="3"/>
  <c r="J100" i="3" s="1"/>
  <c r="J101" i="3"/>
  <c r="J103" i="3"/>
  <c r="J104" i="3"/>
  <c r="G105" i="3"/>
  <c r="J105" i="3" s="1"/>
  <c r="G106" i="3"/>
  <c r="J106" i="3" s="1"/>
  <c r="J107" i="3"/>
  <c r="J108" i="3"/>
  <c r="H109" i="3"/>
  <c r="J109" i="3" s="1"/>
  <c r="G110" i="3"/>
  <c r="J110" i="3" s="1"/>
  <c r="J111" i="3"/>
  <c r="G112" i="3"/>
  <c r="J112" i="3" s="1"/>
  <c r="J113" i="3"/>
  <c r="J114" i="3"/>
  <c r="J139" i="3"/>
  <c r="J140" i="3"/>
  <c r="J141" i="3"/>
  <c r="G142" i="3"/>
  <c r="J142" i="3" s="1"/>
  <c r="J143" i="3"/>
  <c r="J144" i="3"/>
  <c r="J145" i="3"/>
  <c r="J146" i="3"/>
  <c r="H147" i="3"/>
  <c r="J147" i="3" s="1"/>
  <c r="H148" i="3"/>
  <c r="J148" i="3" s="1"/>
  <c r="J149" i="3"/>
  <c r="G150" i="3"/>
  <c r="J150" i="3" s="1"/>
  <c r="J151" i="3"/>
  <c r="J152" i="3"/>
  <c r="J153" i="3"/>
  <c r="J154" i="3"/>
  <c r="J155" i="3"/>
  <c r="H156" i="3"/>
  <c r="J156" i="3" s="1"/>
  <c r="J157" i="3"/>
  <c r="J158" i="3"/>
  <c r="G159" i="3"/>
  <c r="I159" i="3"/>
  <c r="G160" i="3"/>
  <c r="J160" i="3" s="1"/>
  <c r="G161" i="3"/>
  <c r="H161" i="3"/>
  <c r="I161" i="3"/>
  <c r="H162" i="3"/>
  <c r="I162" i="3"/>
  <c r="J163" i="3"/>
  <c r="J164" i="3"/>
  <c r="J165" i="3"/>
  <c r="J166" i="3"/>
  <c r="H167" i="3"/>
  <c r="J167" i="3" s="1"/>
  <c r="J168" i="3"/>
  <c r="J169" i="3"/>
  <c r="J170" i="3"/>
  <c r="J171" i="3"/>
  <c r="H189" i="3"/>
  <c r="I189" i="3"/>
  <c r="J189" i="3"/>
  <c r="H190" i="3"/>
  <c r="I190" i="3"/>
  <c r="J190" i="3"/>
  <c r="H191" i="3"/>
  <c r="I191" i="3"/>
  <c r="J191" i="3"/>
  <c r="H192" i="3"/>
  <c r="I192" i="3"/>
  <c r="J192" i="3"/>
  <c r="H193" i="3"/>
  <c r="I193" i="3"/>
  <c r="J193" i="3"/>
  <c r="H194" i="3"/>
  <c r="I194" i="3"/>
  <c r="J194" i="3"/>
  <c r="H195" i="3"/>
  <c r="I195" i="3"/>
  <c r="J195" i="3"/>
  <c r="J159" i="3" l="1"/>
  <c r="J83" i="3"/>
  <c r="J77" i="3" s="1"/>
  <c r="J42" i="3"/>
  <c r="J162" i="3"/>
  <c r="G62" i="3"/>
  <c r="J62" i="3" s="1"/>
  <c r="J45" i="3" s="1"/>
  <c r="V25" i="3"/>
  <c r="V23" i="3"/>
  <c r="V13" i="3"/>
  <c r="V15" i="3"/>
  <c r="J13" i="3"/>
  <c r="V45" i="3"/>
  <c r="J25" i="3"/>
  <c r="J14" i="3"/>
  <c r="J161" i="3"/>
  <c r="V21" i="3"/>
  <c r="V137" i="3"/>
  <c r="V24" i="3"/>
  <c r="V14" i="3"/>
  <c r="J21" i="3"/>
  <c r="V102" i="3"/>
  <c r="V30" i="3"/>
  <c r="J102" i="3"/>
  <c r="V77" i="3"/>
  <c r="J15" i="3"/>
  <c r="J30" i="3"/>
  <c r="J24" i="3" l="1"/>
  <c r="J137" i="3"/>
  <c r="J23" i="3"/>
  <c r="J26" i="3" s="1"/>
  <c r="V26" i="3"/>
  <c r="V185" i="3"/>
  <c r="F60" i="2"/>
  <c r="I60" i="2" s="1"/>
  <c r="U12" i="2"/>
  <c r="U16" i="2"/>
  <c r="U17" i="2"/>
  <c r="U18" i="2"/>
  <c r="U20" i="2"/>
  <c r="U22" i="2"/>
  <c r="U31" i="2"/>
  <c r="U30" i="2" s="1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7" i="2"/>
  <c r="U48" i="2"/>
  <c r="U10" i="2" s="1"/>
  <c r="U49" i="2"/>
  <c r="U13" i="2" s="1"/>
  <c r="Q50" i="2"/>
  <c r="U50" i="2"/>
  <c r="Q51" i="2"/>
  <c r="U51" i="2"/>
  <c r="U52" i="2"/>
  <c r="U54" i="2"/>
  <c r="U55" i="2"/>
  <c r="U56" i="2"/>
  <c r="U57" i="2"/>
  <c r="U58" i="2"/>
  <c r="U59" i="2"/>
  <c r="U19" i="2" s="1"/>
  <c r="U60" i="2"/>
  <c r="U61" i="2"/>
  <c r="U23" i="2" s="1"/>
  <c r="U62" i="2"/>
  <c r="U63" i="2"/>
  <c r="U65" i="2"/>
  <c r="U66" i="2"/>
  <c r="U67" i="2"/>
  <c r="U68" i="2"/>
  <c r="U69" i="2"/>
  <c r="U71" i="2"/>
  <c r="U73" i="2"/>
  <c r="U74" i="2"/>
  <c r="U75" i="2"/>
  <c r="U76" i="2"/>
  <c r="U78" i="2"/>
  <c r="U79" i="2"/>
  <c r="U80" i="2"/>
  <c r="U81" i="2"/>
  <c r="U82" i="2"/>
  <c r="U83" i="2"/>
  <c r="U24" i="2" s="1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100" i="2"/>
  <c r="U21" i="2" s="1"/>
  <c r="U101" i="2"/>
  <c r="U102" i="2"/>
  <c r="U103" i="2"/>
  <c r="U104" i="2"/>
  <c r="U105" i="2"/>
  <c r="U106" i="2"/>
  <c r="U107" i="2"/>
  <c r="U108" i="2"/>
  <c r="U109" i="2"/>
  <c r="U110" i="2"/>
  <c r="U111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58" i="2"/>
  <c r="U159" i="2"/>
  <c r="U160" i="2"/>
  <c r="U161" i="2"/>
  <c r="U162" i="2"/>
  <c r="U163" i="2"/>
  <c r="U164" i="2"/>
  <c r="I161" i="2"/>
  <c r="H161" i="2"/>
  <c r="G161" i="2"/>
  <c r="I160" i="2"/>
  <c r="H160" i="2"/>
  <c r="G160" i="2"/>
  <c r="I159" i="2"/>
  <c r="H159" i="2"/>
  <c r="G159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38" i="2"/>
  <c r="H137" i="2"/>
  <c r="G137" i="2"/>
  <c r="H136" i="2"/>
  <c r="G136" i="2"/>
  <c r="F136" i="2"/>
  <c r="F135" i="2"/>
  <c r="I135" i="2" s="1"/>
  <c r="H134" i="2"/>
  <c r="G134" i="2"/>
  <c r="F134" i="2"/>
  <c r="I133" i="2"/>
  <c r="I132" i="2"/>
  <c r="G131" i="2"/>
  <c r="I131" i="2" s="1"/>
  <c r="I130" i="2"/>
  <c r="I129" i="2"/>
  <c r="I128" i="2"/>
  <c r="I127" i="2"/>
  <c r="I126" i="2"/>
  <c r="I125" i="2"/>
  <c r="F124" i="2"/>
  <c r="I124" i="2" s="1"/>
  <c r="I123" i="2"/>
  <c r="G122" i="2"/>
  <c r="I122" i="2" s="1"/>
  <c r="G121" i="2"/>
  <c r="I121" i="2" s="1"/>
  <c r="I120" i="2"/>
  <c r="I119" i="2"/>
  <c r="I118" i="2"/>
  <c r="I117" i="2"/>
  <c r="F116" i="2"/>
  <c r="I116" i="2" s="1"/>
  <c r="I115" i="2"/>
  <c r="I114" i="2"/>
  <c r="I113" i="2"/>
  <c r="I111" i="2"/>
  <c r="I110" i="2"/>
  <c r="I108" i="2"/>
  <c r="F107" i="2"/>
  <c r="I107" i="2" s="1"/>
  <c r="G106" i="2"/>
  <c r="I106" i="2" s="1"/>
  <c r="I105" i="2"/>
  <c r="I104" i="2"/>
  <c r="F103" i="2"/>
  <c r="I103" i="2" s="1"/>
  <c r="F102" i="2"/>
  <c r="I102" i="2" s="1"/>
  <c r="F101" i="2"/>
  <c r="F109" i="2" s="1"/>
  <c r="I109" i="2" s="1"/>
  <c r="I100" i="2"/>
  <c r="I98" i="2"/>
  <c r="I97" i="2"/>
  <c r="I96" i="2"/>
  <c r="I95" i="2"/>
  <c r="I94" i="2"/>
  <c r="I93" i="2"/>
  <c r="I92" i="2"/>
  <c r="I91" i="2"/>
  <c r="I90" i="2"/>
  <c r="I89" i="2"/>
  <c r="I88" i="2"/>
  <c r="F87" i="2"/>
  <c r="I87" i="2" s="1"/>
  <c r="I86" i="2"/>
  <c r="I85" i="2"/>
  <c r="I84" i="2"/>
  <c r="I83" i="2"/>
  <c r="F82" i="2"/>
  <c r="I82" i="2" s="1"/>
  <c r="F81" i="2"/>
  <c r="I81" i="2" s="1"/>
  <c r="H80" i="2"/>
  <c r="F80" i="2"/>
  <c r="I80" i="2" s="1"/>
  <c r="H79" i="2"/>
  <c r="F79" i="2"/>
  <c r="I76" i="2"/>
  <c r="I75" i="2"/>
  <c r="I74" i="2"/>
  <c r="I73" i="2"/>
  <c r="I71" i="2"/>
  <c r="I69" i="2"/>
  <c r="I68" i="2"/>
  <c r="I67" i="2"/>
  <c r="F65" i="2"/>
  <c r="F66" i="2" s="1"/>
  <c r="I66" i="2" s="1"/>
  <c r="I63" i="2"/>
  <c r="F61" i="2"/>
  <c r="F62" i="2" s="1"/>
  <c r="I62" i="2" s="1"/>
  <c r="F59" i="2"/>
  <c r="I59" i="2" s="1"/>
  <c r="I19" i="2" s="1"/>
  <c r="I58" i="2"/>
  <c r="I57" i="2"/>
  <c r="H55" i="2"/>
  <c r="H78" i="2" s="1"/>
  <c r="I78" i="2" s="1"/>
  <c r="F55" i="2"/>
  <c r="F54" i="2"/>
  <c r="I54" i="2" s="1"/>
  <c r="I52" i="2"/>
  <c r="I11" i="2" s="1"/>
  <c r="I51" i="2"/>
  <c r="I50" i="2"/>
  <c r="E50" i="2"/>
  <c r="E51" i="2" s="1"/>
  <c r="I49" i="2"/>
  <c r="H48" i="2"/>
  <c r="F48" i="2"/>
  <c r="I47" i="2"/>
  <c r="H44" i="2"/>
  <c r="I44" i="2" s="1"/>
  <c r="I43" i="2"/>
  <c r="G42" i="2"/>
  <c r="F42" i="2"/>
  <c r="I41" i="2"/>
  <c r="I40" i="2"/>
  <c r="I39" i="2"/>
  <c r="H38" i="2"/>
  <c r="G38" i="2"/>
  <c r="I37" i="2"/>
  <c r="I36" i="2"/>
  <c r="I35" i="2"/>
  <c r="I34" i="2"/>
  <c r="I33" i="2"/>
  <c r="I32" i="2"/>
  <c r="I31" i="2"/>
  <c r="I22" i="2"/>
  <c r="I20" i="2"/>
  <c r="I18" i="2"/>
  <c r="I17" i="2"/>
  <c r="I16" i="2"/>
  <c r="I12" i="2"/>
  <c r="H4" i="2"/>
  <c r="U12" i="1"/>
  <c r="U16" i="1"/>
  <c r="U17" i="1"/>
  <c r="U18" i="1"/>
  <c r="U20" i="1"/>
  <c r="U22" i="1"/>
  <c r="U31" i="1"/>
  <c r="U15" i="1" s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7" i="1"/>
  <c r="U48" i="1"/>
  <c r="U10" i="1" s="1"/>
  <c r="U49" i="1"/>
  <c r="U13" i="1" s="1"/>
  <c r="Q50" i="1"/>
  <c r="Q51" i="1" s="1"/>
  <c r="U50" i="1"/>
  <c r="U51" i="1"/>
  <c r="U52" i="1"/>
  <c r="U11" i="1" s="1"/>
  <c r="U54" i="1"/>
  <c r="U55" i="1"/>
  <c r="U56" i="1"/>
  <c r="U57" i="1"/>
  <c r="U58" i="1"/>
  <c r="U59" i="1"/>
  <c r="U19" i="1" s="1"/>
  <c r="U60" i="1"/>
  <c r="U61" i="1"/>
  <c r="U62" i="1"/>
  <c r="U63" i="1"/>
  <c r="U65" i="1"/>
  <c r="U66" i="1"/>
  <c r="U14" i="1" s="1"/>
  <c r="U67" i="1"/>
  <c r="U68" i="1"/>
  <c r="U69" i="1"/>
  <c r="U70" i="1"/>
  <c r="U72" i="1"/>
  <c r="U73" i="1"/>
  <c r="U74" i="1"/>
  <c r="U75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9" i="1"/>
  <c r="U21" i="1" s="1"/>
  <c r="U100" i="1"/>
  <c r="U101" i="1"/>
  <c r="U102" i="1"/>
  <c r="U103" i="1"/>
  <c r="U104" i="1"/>
  <c r="U105" i="1"/>
  <c r="U106" i="1"/>
  <c r="U107" i="1"/>
  <c r="U108" i="1"/>
  <c r="U109" i="1"/>
  <c r="U110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40" i="1"/>
  <c r="U141" i="1"/>
  <c r="U142" i="1"/>
  <c r="U143" i="1"/>
  <c r="U144" i="1"/>
  <c r="U145" i="1"/>
  <c r="U146" i="1"/>
  <c r="J182" i="3" l="1"/>
  <c r="U112" i="2"/>
  <c r="U77" i="2"/>
  <c r="U14" i="2"/>
  <c r="U45" i="2"/>
  <c r="U25" i="2"/>
  <c r="U15" i="2"/>
  <c r="U99" i="2"/>
  <c r="U11" i="2"/>
  <c r="I42" i="2"/>
  <c r="I25" i="2"/>
  <c r="I137" i="2"/>
  <c r="I136" i="2"/>
  <c r="I55" i="2"/>
  <c r="I13" i="2" s="1"/>
  <c r="I38" i="2"/>
  <c r="I30" i="2" s="1"/>
  <c r="I134" i="2"/>
  <c r="I48" i="2"/>
  <c r="I10" i="2" s="1"/>
  <c r="I101" i="2"/>
  <c r="I99" i="2" s="1"/>
  <c r="I79" i="2"/>
  <c r="I77" i="2" s="1"/>
  <c r="I21" i="2"/>
  <c r="I61" i="2"/>
  <c r="I23" i="2" s="1"/>
  <c r="I65" i="2"/>
  <c r="I14" i="2" s="1"/>
  <c r="U45" i="1"/>
  <c r="U111" i="1"/>
  <c r="U23" i="1"/>
  <c r="U25" i="1"/>
  <c r="U98" i="1"/>
  <c r="U76" i="1"/>
  <c r="U30" i="1"/>
  <c r="U24" i="1"/>
  <c r="U26" i="1" s="1"/>
  <c r="G42" i="1"/>
  <c r="G130" i="1"/>
  <c r="F86" i="1"/>
  <c r="I137" i="1"/>
  <c r="H78" i="1"/>
  <c r="H79" i="1"/>
  <c r="H55" i="1"/>
  <c r="H77" i="1" s="1"/>
  <c r="G105" i="1"/>
  <c r="U151" i="2" l="1"/>
  <c r="U26" i="2"/>
  <c r="I15" i="2"/>
  <c r="I112" i="2"/>
  <c r="I24" i="2"/>
  <c r="I45" i="2"/>
  <c r="U133" i="1"/>
  <c r="H48" i="1"/>
  <c r="F80" i="1"/>
  <c r="H135" i="1"/>
  <c r="G135" i="1"/>
  <c r="H136" i="1"/>
  <c r="G136" i="1"/>
  <c r="F134" i="1"/>
  <c r="G133" i="1"/>
  <c r="H133" i="1"/>
  <c r="F133" i="1"/>
  <c r="I26" i="2" l="1"/>
  <c r="I148" i="2"/>
  <c r="I136" i="1"/>
  <c r="F135" i="1"/>
  <c r="I133" i="1"/>
  <c r="G121" i="1"/>
  <c r="G120" i="1"/>
  <c r="I130" i="1"/>
  <c r="I131" i="1"/>
  <c r="I132" i="1"/>
  <c r="H44" i="1"/>
  <c r="F42" i="1"/>
  <c r="H38" i="1"/>
  <c r="I134" i="1" l="1"/>
  <c r="F106" i="1"/>
  <c r="F101" i="1"/>
  <c r="F100" i="1"/>
  <c r="F108" i="1" s="1"/>
  <c r="F102" i="1"/>
  <c r="I127" i="1"/>
  <c r="F78" i="1"/>
  <c r="F79" i="1"/>
  <c r="I128" i="1"/>
  <c r="I129" i="1"/>
  <c r="I135" i="1"/>
  <c r="I122" i="1"/>
  <c r="I124" i="1"/>
  <c r="I125" i="1"/>
  <c r="I126" i="1"/>
  <c r="G38" i="1"/>
  <c r="F81" i="1" l="1"/>
  <c r="F65" i="1"/>
  <c r="F66" i="1" s="1"/>
  <c r="F48" i="1"/>
  <c r="F123" i="1"/>
  <c r="I123" i="1" s="1"/>
  <c r="F59" i="1" l="1"/>
  <c r="I59" i="1" s="1"/>
  <c r="I19" i="1" s="1"/>
  <c r="I121" i="1"/>
  <c r="I120" i="1"/>
  <c r="F55" i="1"/>
  <c r="F54" i="1"/>
  <c r="I54" i="1" s="1"/>
  <c r="F61" i="1"/>
  <c r="I61" i="1" s="1"/>
  <c r="F115" i="1"/>
  <c r="I115" i="1" s="1"/>
  <c r="H4" i="1"/>
  <c r="I12" i="1"/>
  <c r="I16" i="1"/>
  <c r="I17" i="1"/>
  <c r="I18" i="1"/>
  <c r="I20" i="1"/>
  <c r="I22" i="1"/>
  <c r="I42" i="1"/>
  <c r="I43" i="1"/>
  <c r="I44" i="1"/>
  <c r="I75" i="1"/>
  <c r="I72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19" i="1"/>
  <c r="I118" i="1"/>
  <c r="I117" i="1"/>
  <c r="I116" i="1"/>
  <c r="I114" i="1"/>
  <c r="I113" i="1"/>
  <c r="I112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84" i="1"/>
  <c r="I83" i="1"/>
  <c r="I82" i="1"/>
  <c r="I81" i="1"/>
  <c r="I80" i="1"/>
  <c r="I79" i="1"/>
  <c r="I78" i="1"/>
  <c r="I77" i="1"/>
  <c r="I74" i="1"/>
  <c r="I73" i="1"/>
  <c r="I70" i="1"/>
  <c r="I69" i="1"/>
  <c r="I68" i="1"/>
  <c r="I67" i="1"/>
  <c r="I66" i="1"/>
  <c r="I65" i="1"/>
  <c r="I60" i="1"/>
  <c r="I58" i="1"/>
  <c r="I57" i="1"/>
  <c r="I52" i="1"/>
  <c r="I11" i="1" s="1"/>
  <c r="I51" i="1"/>
  <c r="I50" i="1"/>
  <c r="E50" i="1"/>
  <c r="E51" i="1" s="1"/>
  <c r="I49" i="1"/>
  <c r="I47" i="1"/>
  <c r="I41" i="1"/>
  <c r="I40" i="1"/>
  <c r="I39" i="1"/>
  <c r="I38" i="1"/>
  <c r="I37" i="1"/>
  <c r="I36" i="1"/>
  <c r="I35" i="1"/>
  <c r="I34" i="1"/>
  <c r="I33" i="1"/>
  <c r="I32" i="1"/>
  <c r="I31" i="1"/>
  <c r="I30" i="1" l="1"/>
  <c r="I111" i="1"/>
  <c r="I25" i="1"/>
  <c r="F62" i="1"/>
  <c r="I62" i="1" s="1"/>
  <c r="I23" i="1" s="1"/>
  <c r="I21" i="1"/>
  <c r="I24" i="1"/>
  <c r="I98" i="1"/>
  <c r="I76" i="1"/>
  <c r="I14" i="1"/>
  <c r="I15" i="1"/>
  <c r="I55" i="1"/>
  <c r="I63" i="1"/>
  <c r="I48" i="1"/>
  <c r="I10" i="1" s="1"/>
  <c r="I13" i="1" l="1"/>
  <c r="I26" i="1" s="1"/>
  <c r="I45" i="1"/>
  <c r="I142" i="1" s="1"/>
</calcChain>
</file>

<file path=xl/sharedStrings.xml><?xml version="1.0" encoding="utf-8"?>
<sst xmlns="http://schemas.openxmlformats.org/spreadsheetml/2006/main" count="4813" uniqueCount="459">
  <si>
    <t>LOJA</t>
  </si>
  <si>
    <t>Tipo</t>
  </si>
  <si>
    <t>Tamanho</t>
  </si>
  <si>
    <t>ÁREA</t>
  </si>
  <si>
    <t>INÍCIO DA OBRA</t>
  </si>
  <si>
    <t>TÉRMINO DA OBRA</t>
  </si>
  <si>
    <t>REFORMA</t>
  </si>
  <si>
    <t>Gerenciador:</t>
  </si>
  <si>
    <t>Duração da obra:</t>
  </si>
  <si>
    <t>DIAS</t>
  </si>
  <si>
    <t>RAZÃO SOCIAL</t>
  </si>
  <si>
    <t>CNPJ</t>
  </si>
  <si>
    <t>DESCRIÇÃO</t>
  </si>
  <si>
    <t>C.C.</t>
  </si>
  <si>
    <t>ITEM</t>
  </si>
  <si>
    <t>CÓD SERVIÇO</t>
  </si>
  <si>
    <t>VALOR</t>
  </si>
  <si>
    <t>ALVENARIA (PARED.DIVISÓRIAS, ETC.)</t>
  </si>
  <si>
    <t>ESQUADRIAS E VIDROS ÁREA ADM.</t>
  </si>
  <si>
    <t>REVESTIMENTOS DE PAREDE</t>
  </si>
  <si>
    <t>PINTURAS DE FORRO/PAREDES</t>
  </si>
  <si>
    <t>PISO DA ÁREA ADM/RESERVA</t>
  </si>
  <si>
    <t>ADMINISTRAÇÃO, MOBILIZAÇÃO E LIMPEZA DA OBRA</t>
  </si>
  <si>
    <t>IMPEAB/TELHADO/REV.EXT/CANTEIRO</t>
  </si>
  <si>
    <t>LIGAÇÃO PROVISÓRIA INSTALAÇÕES ELETRICAS</t>
  </si>
  <si>
    <t>MÓVEIS E EQUIPTOS ÁREA ADM.</t>
  </si>
  <si>
    <t>FORRO ÁREA DE VENDAS</t>
  </si>
  <si>
    <t>PISO ÁREA DE VENDAS</t>
  </si>
  <si>
    <t>FACHADAS / ENTRADA LOJA / VITRIN</t>
  </si>
  <si>
    <t>SERVICOS GERAIS (CÓPIAS, ETC.)</t>
  </si>
  <si>
    <t>PAINÉIS E FERRAGENS</t>
  </si>
  <si>
    <t>PAINÉIS FERRAGENS E ESPELHOS PROVADORES</t>
  </si>
  <si>
    <t>OMISSOS</t>
  </si>
  <si>
    <t>TOTAL</t>
  </si>
  <si>
    <t>PREÇOS UNITÁRIOS</t>
  </si>
  <si>
    <t>UN.</t>
  </si>
  <si>
    <t>QDE.</t>
  </si>
  <si>
    <t>MAT.*</t>
  </si>
  <si>
    <t>M.OBRA</t>
  </si>
  <si>
    <t>1.0</t>
  </si>
  <si>
    <t>SERVIÇO DE ADMINISTRAÇÃO MOBILIZAÇÃO E LIMPEZA DA OBRA</t>
  </si>
  <si>
    <t>1.1</t>
  </si>
  <si>
    <t>LONA PLÁSTICA PARA PROTEÇÃO DE EQUIPAMENTOS</t>
  </si>
  <si>
    <t>rolos</t>
  </si>
  <si>
    <t>1.2</t>
  </si>
  <si>
    <t>LONA PARA ISOLAMENTO DAS FASES DA OBRA (modelos aceitos: SUNSET BRANCO BRILHO OU LG BRANCO BRILHO 340GR) COM ILHÓS E VELCRO</t>
  </si>
  <si>
    <t>vb.</t>
  </si>
  <si>
    <t>1.3</t>
  </si>
  <si>
    <t>ESTADIAS E REFEIÇÕES</t>
  </si>
  <si>
    <t>1.4</t>
  </si>
  <si>
    <t>MOBILIZAÇÃO DA OBRA</t>
  </si>
  <si>
    <t>1.5</t>
  </si>
  <si>
    <t>MOVIMENTAÇÃO DE MATERIAIS NA OBRA</t>
  </si>
  <si>
    <t>1.6</t>
  </si>
  <si>
    <t>LIMPEZA PERMANENTE DE OBRA (2 AUXILIARES DE LIMPEZA - COM MATERIAIS/EQUIPAMENTOS)</t>
  </si>
  <si>
    <t>dias</t>
  </si>
  <si>
    <t>1.7</t>
  </si>
  <si>
    <t>LIMPEZA FINAL DE OBRA (2 AUXILIARES DE LIMPEZA - COM MATERIAIS/EQUIPAMENTOS)</t>
  </si>
  <si>
    <t>1.8</t>
  </si>
  <si>
    <t>REMOÇÃO DE ENTULHO/RESÍDUOS (CONSIDERAR DESTINAÇÃO ADEQUADA DOS RESÍDUOS GERADOS CONFORME LEGISLAÇÃO LOCAL E MANUAL DE GESTÃO DE RESÍDUOS C&amp;A - TODA A DOCUMENTAÇÃO RELATIVA AOS DESCARTES DEVERÁ SER ENTREGUE AO TÉRMINO DA OBRA)</t>
  </si>
  <si>
    <t>1.9</t>
  </si>
  <si>
    <t>EQUIPAMENTOS DE PROTEÇÃO (EPIs/EPCs) E EQUIPAMENTOS NECESSÁRIOS PARA A EXECUÇÃO DA OBRA (ANDAIMES, PLATAFORMAS, ETC)</t>
  </si>
  <si>
    <t>1.10</t>
  </si>
  <si>
    <t>ART OU RRT DE OBRA (DEVE CONSTAR TODAS AS ATIVIDADES A SEGUIR: EXECUÇÃO DE REFORMA DE INTERIORES, EXECUÇÃO DE INSTALAÇÕES PREDIAIS DE PREVENÇÃO E COMBATE A INCÊNDIO E EXECUÇÃO DE INSTALAÇÕES ELÉTRICAS PREDIAIS)</t>
  </si>
  <si>
    <t>1.11</t>
  </si>
  <si>
    <t>SEGURO DE OBRA</t>
  </si>
  <si>
    <t>1.12</t>
  </si>
  <si>
    <t>TAPUME (CONSIDERAR  FACHADA e FASES)</t>
  </si>
  <si>
    <t>ml</t>
  </si>
  <si>
    <t>1.13</t>
  </si>
  <si>
    <t>ENGENHEIRO RESIDENTE</t>
  </si>
  <si>
    <t>mês</t>
  </si>
  <si>
    <t>1.14</t>
  </si>
  <si>
    <t>Tecnico de Segurança (2 visitas semanal)</t>
  </si>
  <si>
    <t>2.0</t>
  </si>
  <si>
    <t>SALÃO DE VENDAS</t>
  </si>
  <si>
    <t>PAREDERS E DEMOLIÇÕES</t>
  </si>
  <si>
    <t>2.1</t>
  </si>
  <si>
    <t xml:space="preserve">DEMOLIÇÃO DE PAREDES DRYWALL </t>
  </si>
  <si>
    <t>m²</t>
  </si>
  <si>
    <t>2.2</t>
  </si>
  <si>
    <t>EXECUÇÃO/REVESTIMENTO DE PAREDES EM DRYWALL - MAT + MO</t>
  </si>
  <si>
    <t>2.3</t>
  </si>
  <si>
    <t>PINTURA ACRÍLICA E EMASSAMENTO DAS PAREDES (MARCAS CORAL OU SUVINIL / COR BRANCO NEVE) - ÁREA DE CAIXA</t>
  </si>
  <si>
    <t>2.4</t>
  </si>
  <si>
    <t>ACABAMENTO EM TEXTURA REF. TERRACOR VELVET COR 13323</t>
  </si>
  <si>
    <t>2.5</t>
  </si>
  <si>
    <t>PINTURA LATEX ACRÍLICO ACETINADO REF. SHERWIN WILLIAMS SW 6994 – CORSÁRIO NEGRO - ÁREA ACE</t>
  </si>
  <si>
    <t>2.6</t>
  </si>
  <si>
    <t xml:space="preserve">PILARES COM ACABAMENTO EM ESPELHO COM TOPOS LAPIDADOS DIRETAMENTE NA PAREDE (MODELO: GUARDIAN GLASS 4mm) </t>
  </si>
  <si>
    <t>unid</t>
  </si>
  <si>
    <t>FORROS</t>
  </si>
  <si>
    <t>2.7</t>
  </si>
  <si>
    <t>DEMOLIÇÃO DE FORRO DE GESSO (aonde for necessário conforme projeto)</t>
  </si>
  <si>
    <t>2.8</t>
  </si>
  <si>
    <t>EXECUÇÃO DE FORRO DE GESSO GYPSUM LISO TABICADO, ESTRUTURADO REJUNTADO E EMASSADO) - reparos devido às demolições/retirada de paredes/retiradas de sancas/molduras/interferências -  MO</t>
  </si>
  <si>
    <t>2.9</t>
  </si>
  <si>
    <t>2.10</t>
  </si>
  <si>
    <t xml:space="preserve">PINTURA EM LÁTEX PVA BRANCO NEVE (FORRO ÁREA DE VENDAS - MARCAS CORAL OU SUVINIL) </t>
  </si>
  <si>
    <t>2.11</t>
  </si>
  <si>
    <t xml:space="preserve">PINTURA EM LÁTEX PVA PRETO (LAJE E INFRAS ÁREA DE VENDAS - MARCAS CORAL OU SUVINIL) </t>
  </si>
  <si>
    <t>2.12</t>
  </si>
  <si>
    <r>
      <t xml:space="preserve">RELOCAÇÃO DE LUMINÁRIAS (ABERTURA DE FORRO) </t>
    </r>
    <r>
      <rPr>
        <b/>
        <sz val="10"/>
        <color rgb="FFFF0000"/>
        <rFont val="Calibri"/>
        <family val="2"/>
      </rPr>
      <t>VERIFICAR NO PROJETO OS DIFERENTES TIPOS DE LUMINÁRIAS</t>
    </r>
  </si>
  <si>
    <t>un.</t>
  </si>
  <si>
    <t>2.13</t>
  </si>
  <si>
    <r>
      <t xml:space="preserve">RELOCAÇÃO DE LUMINÁRIAS (FECHAMENTO DE FORRO) </t>
    </r>
    <r>
      <rPr>
        <b/>
        <sz val="10"/>
        <color rgb="FFFF0000"/>
        <rFont val="Calibri"/>
        <family val="2"/>
      </rPr>
      <t>VERIFICAR NO PROJETO OS DIFERENTES TIPOS DE LUMINÁRIAS</t>
    </r>
  </si>
  <si>
    <t>2.14</t>
  </si>
  <si>
    <t>EXECUÇÃO DE FORRO RIPADO EM BP REVESTIDO EM DURATEX ITAPUA - ÁREA CAIXA</t>
  </si>
  <si>
    <t>2.15</t>
  </si>
  <si>
    <t>ESTRUTUTURA METÁLICA PARA FIXAÇÃO DE RIPADO CAIXA</t>
  </si>
  <si>
    <t>2.16</t>
  </si>
  <si>
    <t>PINTURA EM TINTA LÁTEX SHERWIN WILLIAMSCOR URBANE BRONZE REF. SW 7048 OU SUVINIL ACETINADO FULIJEM R163 APLICADA SOBRE MASSA CORRIDA</t>
  </si>
  <si>
    <t>PISO</t>
  </si>
  <si>
    <t>2.17</t>
  </si>
  <si>
    <t xml:space="preserve">DEMOLIÇÃO DE PISO PORCELANATO </t>
  </si>
  <si>
    <t>2.18</t>
  </si>
  <si>
    <t>2.19</t>
  </si>
  <si>
    <t>ASSENTAMENTO DE PISO PORCELANATO REF. AETERNA BIANCO NATURAL. REJUNTE PORTOBELLO ACRILICO COR PLATINUM -  (piso, ARGAMASSA E REJUNTE será fornecido pela C&amp;A)</t>
  </si>
  <si>
    <t>2.20</t>
  </si>
  <si>
    <t>RODAPÉ METALICO EM CHAPA DOBRADA COM PINTURA ELETROSTÁTICA REF. SAYLERLACK X130 (TOM SIMILAR AO PISO)  H= 9,5CM, ESP.1,5CM</t>
  </si>
  <si>
    <t>2.21</t>
  </si>
  <si>
    <t>RODAPÉ EM CHAPA DOBRADA DE INOX ESCOVADO H= 9,5CM, ESP. 1,5CM</t>
  </si>
  <si>
    <t>2.22</t>
  </si>
  <si>
    <t>PISO REF. GERFLOR R-TILE, ESP. 5mm, COR PRETO, PLACAS INTERTRAVADAS SOBREPOSTAS AO PORCELANATO E C/ ARREMATE EM PERFIL REDUTOR COR PRETO SOLDADO NO PISO E COLADO NO PISO C/ FITA DUPLA-FACE (piso fornecimento C&amp;A)</t>
  </si>
  <si>
    <t>SERRALHERIA</t>
  </si>
  <si>
    <t>2.23</t>
  </si>
  <si>
    <t>ARREMATES DE CANTOS / CANTONEIRAS DE ALUMÍNIO</t>
  </si>
  <si>
    <t>2.24</t>
  </si>
  <si>
    <t>REVESTIMENTO DE PAREDE EM LAMINADO ÁRTICO TX</t>
  </si>
  <si>
    <t>2.25</t>
  </si>
  <si>
    <t>TUBO DE AÇO INOX 2" PARA ALIMENTAÇÃO CAIXA - MAT  +MO</t>
  </si>
  <si>
    <t>2.26</t>
  </si>
  <si>
    <t>CAIXA PARA HIDRANTES EM AÇO  COM VICRO TEMPERADO - MAT + MO</t>
  </si>
  <si>
    <t>3.0</t>
  </si>
  <si>
    <t>PROVADORES</t>
  </si>
  <si>
    <t>3.1</t>
  </si>
  <si>
    <t>EXECUÇÃO DE FORRO DE GESSO GYPSUM LISO TABICADO, ESTRUTURADO REJUNTADO E EMASSADO, COM ACABAMENTO EM PINTURA - (MARCAS CORAL OU SUVINIL/COR BRANCO NEVE) - reparos devido às demolições/retirada de paredes/retiradas de sancas/molduras/interferências - MAT + MO</t>
  </si>
  <si>
    <t>3.2</t>
  </si>
  <si>
    <t>EXECUÇÃO DE PAREDE EM DRYWALL COM ACABAMENTO EM TEXTURA TERRACOR</t>
  </si>
  <si>
    <t>3.3</t>
  </si>
  <si>
    <t>EXECUÇÃO DE PAREDE EM DRYWALL COM ACABAMENTO PINTURA LATEX ACRÍLICO ACETINADO BRANCO NEVE (incluir SALA DE DISTRIBUIÇÃO)</t>
  </si>
  <si>
    <t>3.4</t>
  </si>
  <si>
    <t>REFORÇO ESTRUTURAL PARA FIXAÇÃO DO VARÃO CABINES</t>
  </si>
  <si>
    <t>3.5</t>
  </si>
  <si>
    <r>
      <t xml:space="preserve">PISO PORCELANATO AMADEIRADO REF. ELIANE/DECORTILES BOTÂNICA AMBAR MA - RET, COM REJUNTE QUARTZOBRÁS REJUNTE PRONTO ACRÍLICO REF. ARGILA CN  - </t>
    </r>
    <r>
      <rPr>
        <sz val="10"/>
        <color rgb="FFFF0000"/>
        <rFont val="Calibri"/>
        <family val="2"/>
      </rPr>
      <t>CONSIDERAR FORNECIMENTO DE ARGAMASSA E REJUNTE</t>
    </r>
    <r>
      <rPr>
        <sz val="10"/>
        <rFont val="Calibri"/>
        <family val="2"/>
      </rPr>
      <t xml:space="preserve"> (piso será fornecido pela C&amp;A)</t>
    </r>
  </si>
  <si>
    <t>3.6</t>
  </si>
  <si>
    <t>3.7</t>
  </si>
  <si>
    <t>SUPORTE METÁLICO COM A CABAMENTO EM AÇO INOX FIXADO NA PAREDE PARA SUSTENTAÇÃO DE CORTINA DE TECIDO JEANS</t>
  </si>
  <si>
    <t>3.8</t>
  </si>
  <si>
    <r>
      <t xml:space="preserve">ESPELHO CABINE PROVADOR COM CHASSIS, CONSIDERAR MÃO AMIGA PARA FIXAÇÃO NA PAREDE (MODELO: GUARDIAN GLASS 4mm)  </t>
    </r>
    <r>
      <rPr>
        <b/>
        <sz val="10"/>
        <color rgb="FFFF0000"/>
        <rFont val="Calibri"/>
        <family val="2"/>
      </rPr>
      <t>CONFIRMAR MEDIDA</t>
    </r>
  </si>
  <si>
    <t>3.9</t>
  </si>
  <si>
    <t>REFORÇO PARA FIXAÇÃO DOS ESPELHOS CABINES</t>
  </si>
  <si>
    <t>3.10</t>
  </si>
  <si>
    <t>ESPELHO DE CORREDOR GRANDE COM TOPOS LAPIDADOS DIRETAMENTE NA PAREDE (MODELO: GUARDIAN GLASS 4mm)</t>
  </si>
  <si>
    <t>3.11</t>
  </si>
  <si>
    <t>PORTA DE GIRO SIMPLES 1 FOLHA COMPLETA PARA SALA DE DISTRIBUIÇÃO 0,70X2,10 , ACABAMENTO EM PINTURA CONFORME PAREDES</t>
  </si>
  <si>
    <t>3.12</t>
  </si>
  <si>
    <t>PÓRTICO LOUNGE PROVADOR ESTRUTURADO EM MDF COM RIPADO DURATEX ITAPUA</t>
  </si>
  <si>
    <t>3.13</t>
  </si>
  <si>
    <t>BATENTE METÁLICO EM AÇO INOX, PÓRTICO CABINES</t>
  </si>
  <si>
    <t>3.14</t>
  </si>
  <si>
    <t>CORTINA EM TECIDO JEANS COM DOBRA TIPO WAVE E COM ILHÓS EM AÇO INOX</t>
  </si>
  <si>
    <t>3.15</t>
  </si>
  <si>
    <t>CANTONEIRA EM ALUMÍNIO BRANCA 1 1/4"</t>
  </si>
  <si>
    <t>3.16</t>
  </si>
  <si>
    <t>3.17</t>
  </si>
  <si>
    <t>FIXADORES DE TETO</t>
  </si>
  <si>
    <t>3.18</t>
  </si>
  <si>
    <t xml:space="preserve">TUBO EM AÇO INOX PARA PROVADOR DEFICIENTE 160,0cm </t>
  </si>
  <si>
    <t>3.19</t>
  </si>
  <si>
    <t xml:space="preserve">TUBO EM AÇO INOX PARA PROVADOR DEFICIENTE 80,0cm </t>
  </si>
  <si>
    <t>3.20</t>
  </si>
  <si>
    <t>PAINEL EM MDF BRANCO L120TX (SALA DISTRIBUIÇÃO, CORREDOR)</t>
  </si>
  <si>
    <t>3.21</t>
  </si>
  <si>
    <t>ESPELHO DE DA CABINE PROVADOR COM CHASSIS, CONSIDERAR MÃO AMIGA PARA FIXAÇÃO NA PAREDE (MODELO: GUARDIAN GLASS 4mm)  CONFIRMAR MEDIDA</t>
  </si>
  <si>
    <t>4.0</t>
  </si>
  <si>
    <t>FACHADAS</t>
  </si>
  <si>
    <t>4.1</t>
  </si>
  <si>
    <t>DEMOLIÇÃO DE FACHADAS/TABLADOS</t>
  </si>
  <si>
    <t>4.2</t>
  </si>
  <si>
    <t>EXECUÇÃO DE TESTEIRA EM DRYWALL C/ CURVAS E ILUMINAÇÃO EMBUTIDA, ACABAMENTO EM PINTURA LATEX ACRÍLICO ACETINADO BRANCO NEVE - MAT + MO</t>
  </si>
  <si>
    <t>4.3</t>
  </si>
  <si>
    <t>EXECUÇÃO DE TESTEIRA EM DRYWALL AO FUNDO C/ ACABAMENTO EM TEXTURA REF. TERRACOR VELVET COR 13323 - MAT + MO</t>
  </si>
  <si>
    <t>4.4</t>
  </si>
  <si>
    <t>MOLDURA PARA TESTEIRA EM AÇO INOX ESCOVADO 30mm</t>
  </si>
  <si>
    <t>4.5</t>
  </si>
  <si>
    <t>FECHAMENTO ESTRUTURADO DO PÓRTICO DE ACESSO EM AÇO INOX ESCOVADO</t>
  </si>
  <si>
    <t>4.6</t>
  </si>
  <si>
    <t>4.7</t>
  </si>
  <si>
    <t>SOLEIRA EM REVESTIMENTO ROCCIA, LINHA FOKOS, MARCA LAMINAM - MAT + MO</t>
  </si>
  <si>
    <t>4.8</t>
  </si>
  <si>
    <t>VIDRO TEMPERADO INCOLOR 10mm</t>
  </si>
  <si>
    <t>4.9</t>
  </si>
  <si>
    <t>PERFIL DE AÇO INOX ESCOVADO PARA CAICILHO DOS VIDROS 150mm</t>
  </si>
  <si>
    <t>4.10</t>
  </si>
  <si>
    <t>ESTRUTURA METÁLICA EM METALON PARA REVESTIMENTO DE FACHADA</t>
  </si>
  <si>
    <t>4.11</t>
  </si>
  <si>
    <t>TABLADO DE MADEIRA EM MDF BRANCO TX PARA VITRINES</t>
  </si>
  <si>
    <t>4.12</t>
  </si>
  <si>
    <t>Adequação estrutura metálica para instalação nova porta enrolar</t>
  </si>
  <si>
    <t>5.0</t>
  </si>
  <si>
    <t>6.1</t>
  </si>
  <si>
    <t>6.2</t>
  </si>
  <si>
    <t>6.4</t>
  </si>
  <si>
    <t>6.5</t>
  </si>
  <si>
    <t>6.6</t>
  </si>
  <si>
    <t>m2</t>
  </si>
  <si>
    <t>6.7</t>
  </si>
  <si>
    <t>UN</t>
  </si>
  <si>
    <t>Hora Normal</t>
  </si>
  <si>
    <t>Hora 60%</t>
  </si>
  <si>
    <t>Hora 100%</t>
  </si>
  <si>
    <t>Adicional Noturno</t>
  </si>
  <si>
    <t>Homem/Hora</t>
  </si>
  <si>
    <t>Engenheiro</t>
  </si>
  <si>
    <t>Mês</t>
  </si>
  <si>
    <t>Mestre</t>
  </si>
  <si>
    <t>h</t>
  </si>
  <si>
    <t>Encarregado</t>
  </si>
  <si>
    <t>Administrativo</t>
  </si>
  <si>
    <t xml:space="preserve">Servente </t>
  </si>
  <si>
    <t>Pedreiro</t>
  </si>
  <si>
    <t>Almoxarifado</t>
  </si>
  <si>
    <t>Carpinteiro</t>
  </si>
  <si>
    <t>BAR</t>
  </si>
  <si>
    <t>BARRA SHOPPING</t>
  </si>
  <si>
    <t>Desmobilização</t>
  </si>
  <si>
    <t>Execução de parede em Bloco de concreto</t>
  </si>
  <si>
    <t>M2</t>
  </si>
  <si>
    <t>Execução de parede em alvenaria</t>
  </si>
  <si>
    <t>Revestimento em gesso em parede de Bloco de concreto</t>
  </si>
  <si>
    <t xml:space="preserve">Manta RFID </t>
  </si>
  <si>
    <t>Banco provador</t>
  </si>
  <si>
    <t>Pç</t>
  </si>
  <si>
    <t>parede area vendas + colunas</t>
  </si>
  <si>
    <t>Reforço de parede  /estrutura para recebimento de equipamentos e provador em mdf/Osb de 15mm</t>
  </si>
  <si>
    <t>Reforço estrutural  em perimetro para equipamentos no forro</t>
  </si>
  <si>
    <t>Piso tátil</t>
  </si>
  <si>
    <t>Fechamento vertical de forro de gesso</t>
  </si>
  <si>
    <t>Ml</t>
  </si>
  <si>
    <t>hipermeabilização manta asfaltica</t>
  </si>
  <si>
    <t>soleira inclusa</t>
  </si>
  <si>
    <t>incluso 02 serventes pelo periodo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</si>
  <si>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</si>
  <si>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</si>
  <si>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</si>
  <si>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</si>
  <si>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</si>
  <si>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</si>
  <si>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</si>
  <si>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</si>
  <si>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</si>
  <si>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</si>
  <si>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</si>
  <si>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H = 15cm</t>
  </si>
  <si>
    <t>incluso provador</t>
  </si>
  <si>
    <t>Rodapé em madeira tauari 20cm</t>
  </si>
  <si>
    <t>Rodapé em madeira tauari 7cm</t>
  </si>
  <si>
    <t>Rodapé Sta,. Luzia 10cm fornecimento C&amp;A</t>
  </si>
  <si>
    <t>Inox para colunas de fachada e forro antes porta de enrolar</t>
  </si>
  <si>
    <t>Pilar revestido de inox</t>
  </si>
  <si>
    <t>6.19</t>
  </si>
  <si>
    <t>6.20</t>
  </si>
  <si>
    <t>considerado planilha e não edital</t>
  </si>
  <si>
    <t>6.21</t>
  </si>
  <si>
    <t>6.22</t>
  </si>
  <si>
    <t>Barracão / container ( 01 com banheiro coletivo , 01 fiscalização com banheiro individual )</t>
  </si>
  <si>
    <t>6.23</t>
  </si>
  <si>
    <t>Estrutura metálica para revestimento do atrio e fixação de vidro</t>
  </si>
  <si>
    <t>Estrutura dupla face para painél led atrio ( face led e face revestimento )</t>
  </si>
  <si>
    <t>6.24</t>
  </si>
  <si>
    <t>6.25</t>
  </si>
  <si>
    <t>REGULARIZAÇÃO DO CONTRAPISO (até 3cm)</t>
  </si>
  <si>
    <t>SOLEIRA Em cinza andorinha</t>
  </si>
  <si>
    <t>VIDRO TEMPERADO INCOLOR 10mm guarda corpo escada 10mm com perfil metálico superior</t>
  </si>
  <si>
    <t>M3</t>
  </si>
  <si>
    <t>Demolição/ escavação  para posso de escada</t>
  </si>
  <si>
    <t>6.26</t>
  </si>
  <si>
    <t>sem espelho</t>
  </si>
  <si>
    <t>incluso pequenos reparos pontuais em laje / não incluso pintura de instalações</t>
  </si>
  <si>
    <t xml:space="preserve">Considerado forro novo </t>
  </si>
  <si>
    <t>Desmonte técnico lage escada pavimento 01 com escoramento</t>
  </si>
  <si>
    <t>Tapume reforçado entorno da escada dos dois pavimentos</t>
  </si>
  <si>
    <t>Concretagem poço escada / bombeado com armadura/forma</t>
  </si>
  <si>
    <t>Material fornecido pela C&amp;A conforme edital</t>
  </si>
  <si>
    <t>Para varão , cabide</t>
  </si>
  <si>
    <t>Material fornecido pela C&amp;A conforme edital / forro total</t>
  </si>
  <si>
    <t>reforço em montante</t>
  </si>
  <si>
    <t>Cabideiro provador</t>
  </si>
  <si>
    <t>PÇ</t>
  </si>
  <si>
    <t>6.27</t>
  </si>
  <si>
    <t>6.28</t>
  </si>
  <si>
    <t>6.29</t>
  </si>
  <si>
    <t>6.30</t>
  </si>
  <si>
    <t>MB04</t>
  </si>
  <si>
    <t>MB06</t>
  </si>
  <si>
    <t>Considerado 04 movimentações</t>
  </si>
  <si>
    <t>JNG</t>
  </si>
  <si>
    <t>BORANY CONSTRUTORA</t>
  </si>
  <si>
    <t xml:space="preserve">01.241.380/0001-19 </t>
  </si>
  <si>
    <r>
      <rPr>
        <sz val="10"/>
        <color theme="1"/>
        <rFont val="Calibri"/>
        <family val="2"/>
      </rPr>
      <t xml:space="preserve">RELOCAÇÃO DE LUMINÁRIAS (ABERTURA DE FORRO) </t>
    </r>
    <r>
      <rPr>
        <b/>
        <sz val="10"/>
        <color rgb="FFFF0000"/>
        <rFont val="Calibri"/>
        <family val="2"/>
      </rPr>
      <t>VERIFICAR NO PROJETO OS DIFERENTES TIPOS DE LUMINÁRIAS</t>
    </r>
  </si>
  <si>
    <r>
      <rPr>
        <sz val="10"/>
        <color theme="1"/>
        <rFont val="Calibri"/>
        <family val="2"/>
      </rPr>
      <t xml:space="preserve">RELOCAÇÃO DE LUMINÁRIAS (FECHAMENTO DE FORRO) </t>
    </r>
    <r>
      <rPr>
        <b/>
        <sz val="10"/>
        <color rgb="FFFF0000"/>
        <rFont val="Calibri"/>
        <family val="2"/>
      </rPr>
      <t>VERIFICAR NO PROJETO OS DIFERENTES TIPOS DE LUMINÁRIAS</t>
    </r>
  </si>
  <si>
    <t>REGULARIZAÇÃO DO CONTRAPISO</t>
  </si>
  <si>
    <r>
      <rPr>
        <sz val="10"/>
        <color theme="1"/>
        <rFont val="Calibri"/>
        <family val="2"/>
      </rPr>
      <t xml:space="preserve">PISO PORCELANATO AMADEIRADO REF. ELIANE/DECORTILES BOTÂNICA AMBAR MA - RET, COM REJUNTE QUARTZOBRÁS REJUNTE PRONTO ACRÍLICO REF. ARGILA CN  - </t>
    </r>
    <r>
      <rPr>
        <sz val="10"/>
        <color rgb="FFFF0000"/>
        <rFont val="Calibri"/>
        <family val="2"/>
      </rPr>
      <t>CONSIDERAR FORNECIMENTO DE ARGAMASSA E REJUNTE</t>
    </r>
    <r>
      <rPr>
        <sz val="10"/>
        <color theme="1"/>
        <rFont val="Calibri"/>
        <family val="2"/>
      </rPr>
      <t xml:space="preserve"> (piso será fornecido pela C&amp;A)</t>
    </r>
  </si>
  <si>
    <r>
      <rPr>
        <sz val="10"/>
        <color theme="1"/>
        <rFont val="Calibri"/>
        <family val="2"/>
      </rPr>
      <t xml:space="preserve">ESPELHO CABINE PROVADOR COM CHASSIS, CONSIDERAR MÃO AMIGA PARA FIXAÇÃO NA PAREDE (MODELO: GUARDIAN GLASS 4mm)  </t>
    </r>
    <r>
      <rPr>
        <b/>
        <sz val="10"/>
        <color rgb="FFFF0000"/>
        <rFont val="Calibri"/>
        <family val="2"/>
      </rPr>
      <t>CONFIRMAR MEDIDA</t>
    </r>
  </si>
  <si>
    <t>5.1</t>
  </si>
  <si>
    <t xml:space="preserve">DESATIVAÇÃO E REMOÇÃO DAS ANTENAS DE ALARME. </t>
  </si>
  <si>
    <t>5.2</t>
  </si>
  <si>
    <t>DEMOLIÇÃO DOS VIDROS/ VITRINES.</t>
  </si>
  <si>
    <t>5.3</t>
  </si>
  <si>
    <t>DEMOLIÇÃO DE LAJE.</t>
  </si>
  <si>
    <t>5.4</t>
  </si>
  <si>
    <t>5.5</t>
  </si>
  <si>
    <t xml:space="preserve">SOLEIRA GRANITO CINZA ANDORINHA </t>
  </si>
  <si>
    <t>5.6</t>
  </si>
  <si>
    <t xml:space="preserve">PISO TÁTIL EM PLACAS ACABAMENTO EM AÇO INOX </t>
  </si>
  <si>
    <t>5.7</t>
  </si>
  <si>
    <t xml:space="preserve">IMPERMEABILIZAÇÃO COM MANTA ASFÁLTICA TIPO TORODIN OU SIMILAR </t>
  </si>
  <si>
    <t>5.8</t>
  </si>
  <si>
    <t>CERÂMICO 45X45CM REF. CARGO PLUS WHITE FABR. ELIANE</t>
  </si>
  <si>
    <t>5.9</t>
  </si>
  <si>
    <t>RODAPÉ EM POLIESTILENO 454 FENDI H=10cm</t>
  </si>
  <si>
    <t>5.10</t>
  </si>
  <si>
    <t xml:space="preserve">RODAPÉ EM MADEIRA CURUPIXÁ OU TAUARI -20CM </t>
  </si>
  <si>
    <t>5.11</t>
  </si>
  <si>
    <t xml:space="preserve">RODAPÉ EM MADEIRA CURUPIXÁ OU TAUARI -7CM </t>
  </si>
  <si>
    <t>5.12</t>
  </si>
  <si>
    <t>Projeto estrutural (abertura de laje)</t>
  </si>
  <si>
    <t>Mezanino</t>
  </si>
  <si>
    <t>5.13</t>
  </si>
  <si>
    <t>CERÂMICA ELIANE 20x20, COR BRANCA, LINHA FORMA WHITE BRILHANTE, COM REJUNTE BRANCO E ARREMATE EM PERFIL "L" 1/2" x 1/16" EM ALUMÍNIO ANODIZADO BRANCO H=140cm</t>
  </si>
  <si>
    <t>5.14</t>
  </si>
  <si>
    <t xml:space="preserve"> CERÂMICA ELIANE 20x20, COR BRANCA, LINHA FORMA WHITE
BRILHANTE, COM REJUNTE BRANCO E ARREMATE EM PERFIL "L" 1/2"
x 1/16" EM ALUMÍNIO ANODIZADO BRANCO H=180cm</t>
  </si>
  <si>
    <t>5.15</t>
  </si>
  <si>
    <t xml:space="preserve"> PINTURA ACRÍLICA SEMI-BRILHO, COR BRANCO NEVE
FABRIC. SUVINIL, EM GESSO ACARTONADO</t>
  </si>
  <si>
    <t>5.16</t>
  </si>
  <si>
    <t xml:space="preserve">Parede de Drywall ST </t>
  </si>
  <si>
    <t>5.17</t>
  </si>
  <si>
    <t>Parede de Drywall RU</t>
  </si>
  <si>
    <t>5.18</t>
  </si>
  <si>
    <t>Andaime</t>
  </si>
  <si>
    <t>5.19</t>
  </si>
  <si>
    <t>Placa de obra</t>
  </si>
  <si>
    <t>5.20</t>
  </si>
  <si>
    <t>FORRO EM AÇO INOX ESTRUTURADO CONFORME PROJETO</t>
  </si>
  <si>
    <t>ASSENTAMENTO DE PISO PORCELANATO AMADEIRADO REF. ELIANE/DECORTILES BOTÂNICA AMBAR MA (piso, argamassa e rejunte fornecido pelo C&amp;A)</t>
  </si>
  <si>
    <t>RODAPÉ POLIESTIRENO SANTA LUZIA NA COR FENDI. DIMENSÕES: H=10cm</t>
  </si>
  <si>
    <t>SOLEIRA EM PISO TIPO PORCELANATO REF. LAMINAM FOKOS/ROCCIA</t>
  </si>
  <si>
    <t>Painel ripado INOX provador</t>
  </si>
  <si>
    <t>Pintura latex acrilica semi-brilho, cor branco gelo - adm</t>
  </si>
  <si>
    <t>Pintura latex acrilica fosco, cor branco gelo - adm</t>
  </si>
  <si>
    <t>Ceramica Eliane 20x20 linha forma White - adm</t>
  </si>
  <si>
    <t>Ripado em aço inox no atrio das Escadas rolantes</t>
  </si>
  <si>
    <t>Guarda-corpo em vidro no Atrio h=1,10m</t>
  </si>
  <si>
    <t>EXECUÇÃO/REVESTIMENTO DE PAREDES EM DRYWALL  - MAT + MO</t>
  </si>
  <si>
    <t>item 2.2</t>
  </si>
  <si>
    <t>RODAPÉ EM CHAPA DOBRADA DE INOX ESCOVADO H= 9,5CM, ESP. 1,5CM (Pilarres)</t>
  </si>
  <si>
    <t>RODAPÉ EM CHAPA DOBRADA DE INOX ESCOVADO H= 9,5CM, ESP. 1,5CM (Pilares)</t>
  </si>
  <si>
    <t>Reforço estrutural  em perimetro para equipamentos AC no forro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</si>
  <si>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</si>
  <si>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</si>
  <si>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</si>
  <si>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</si>
  <si>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</si>
  <si>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</si>
  <si>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</si>
  <si>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</si>
  <si>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</si>
  <si>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</si>
  <si>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</si>
  <si>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</si>
  <si>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</si>
  <si>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Item 4.1</t>
  </si>
  <si>
    <t>Material fornecido pela C&amp;A</t>
  </si>
  <si>
    <t xml:space="preserve">PINTURA EM LÁTEX SHERWIN WILLIAMS COR MARCH WIND (LAJE E INFRAS ÁREA DE VENDAS) </t>
  </si>
  <si>
    <t xml:space="preserve">Material fornecido pela C&amp;A </t>
  </si>
  <si>
    <t>Parede painél 3D</t>
  </si>
  <si>
    <t>Painel ripado INOX provador - Fórmica inox</t>
  </si>
  <si>
    <t>Não utilizarei</t>
  </si>
  <si>
    <t>Não localizei</t>
  </si>
  <si>
    <t>incluso no item 2.2</t>
  </si>
  <si>
    <t>Fornecimento C&amp;A</t>
  </si>
  <si>
    <t>Sem planta de luminárias existentes</t>
  </si>
  <si>
    <t>Considerado mesma metragem de piso</t>
  </si>
  <si>
    <t>analisar em locco a situação do mesmo</t>
  </si>
  <si>
    <t>Conforme resumo de planta descontando vitrine e fachada que está no item 4.1</t>
  </si>
  <si>
    <t>Considerado 04 movimentações e Adesivação</t>
  </si>
  <si>
    <t xml:space="preserve">Complemeto de laje </t>
  </si>
  <si>
    <t>2.27</t>
  </si>
  <si>
    <t>Ynovação Construções e Decorações Ltda</t>
  </si>
  <si>
    <t>18.670.289/0001-11</t>
  </si>
  <si>
    <t>Cabideiro cromado</t>
  </si>
  <si>
    <t>EXECUÇÃO DE FECHAMENTO VERTICAL  GESSO GYPSUM LISO TABICADO, ESTRUTURADO REJUNTADO E EMASSADO) - reparos devido às demolições/retirada de paredes/retiradas de sancas/molduras/interferências -  MO</t>
  </si>
  <si>
    <t>Alçapões</t>
  </si>
  <si>
    <t>ML</t>
  </si>
  <si>
    <t>EXECUÇÃO DE PAINEL VERTICAL METÁLICO COM ACABAMENTO EM AÇO INOX (Provador)</t>
  </si>
  <si>
    <t>Furação da Laje - Átrio / Escada Rolante / Tomada de Ar</t>
  </si>
  <si>
    <t>Guarda-Corpo - Vidro Blindex 10mm - Mat +  M.O.</t>
  </si>
  <si>
    <t>ml.</t>
  </si>
  <si>
    <t>EXECUÇÃO DE PAINEL VERTICAL METÁLICO COM ACABAMENTO EM AÇO INOX</t>
  </si>
  <si>
    <t>ESPELHO DE CANTO DA CABINE PROVADOR COM CHASSIS, CONSIDERAR MÃO AMIGA PARA FIXAÇÃO NA PAREDE (MODELO: GUARDIAN GLASS 4mm)  CONFIRMAR MEDIDA</t>
  </si>
  <si>
    <t xml:space="preserve">PINTURA EM LÁTEX SHERWIN WILLIAMS COR MARCH WIND (LAJE,  FECHAMENTO VERTICAL E INFRAS DE ELETRICA, SPK, DETECÇÃO, SONORIZAÇÃO, CFTV) </t>
  </si>
  <si>
    <t>DEMOLIÇÃO DOS PROVADORES</t>
  </si>
  <si>
    <t>DEMOLIÇÃO DO PISO</t>
  </si>
  <si>
    <t>3.22</t>
  </si>
  <si>
    <t>3.23</t>
  </si>
  <si>
    <t>3.24</t>
  </si>
  <si>
    <t>ADMINISTRAÇÃO</t>
  </si>
  <si>
    <t>INSTALAÇÃO DE LUMINÁRIAS</t>
  </si>
  <si>
    <t>EXECUÇÃO DE PAREDES EM DRYWALL - MAT + MO</t>
  </si>
  <si>
    <t>Rodapé de madeira h=7cm</t>
  </si>
  <si>
    <t>m</t>
  </si>
  <si>
    <t xml:space="preserve">Rodapé de madeira h=20cm </t>
  </si>
  <si>
    <r>
      <t xml:space="preserve">Soleira em granito - Mat. + M.O. </t>
    </r>
    <r>
      <rPr>
        <sz val="10"/>
        <color rgb="FFFF0000"/>
        <rFont val="Montserrat"/>
      </rPr>
      <t>(Cinza Andorinha)</t>
    </r>
  </si>
  <si>
    <t xml:space="preserve">Aplicação de piso cerâmico c/ fornecimento de argamassa e rejunte  - Cerâmica ate 45x45 cm REF.: Cargo plus white Eliane - fornecido pela C&amp;A </t>
  </si>
  <si>
    <t>Azulejo branco junta a prumo - Mat. + M.O.</t>
  </si>
  <si>
    <t xml:space="preserve">Perfil de alumínio branco 1/2" E 1/16" meia altura - Mat. + M.O. </t>
  </si>
  <si>
    <t xml:space="preserve">Arremate em cantoneira de alumínio nas quinas da circulação h=1,70m - Mat. + M.O. </t>
  </si>
  <si>
    <t xml:space="preserve">Rodameio em madeira para sala de gerente - Mat. + M.O. </t>
  </si>
  <si>
    <t>REVESTIMENTO DE PAREDE</t>
  </si>
  <si>
    <t xml:space="preserve">Bancadas em granito para cantina (bancadas, área balcão térmico) - Mat. + M.O. </t>
  </si>
  <si>
    <t>Bancadas em granito para vestiários - Mat. + M.O.</t>
  </si>
  <si>
    <t xml:space="preserve">Aparadores para bancada de vestiários  - Mat. + M.O. </t>
  </si>
  <si>
    <t xml:space="preserve">Nicho em granito nos box de chuveiro - Mat. + M.O. </t>
  </si>
  <si>
    <t>MARMORES E GRANITOS</t>
  </si>
  <si>
    <t xml:space="preserve">Emassamento e pintura acrílica - branco gelo - área administrativa - Mat. + M.O. </t>
  </si>
  <si>
    <t xml:space="preserve">DEMOLIÇÃO DE PISO </t>
  </si>
  <si>
    <t>Item 5.10</t>
  </si>
  <si>
    <t>6.0</t>
  </si>
  <si>
    <t>6.3</t>
  </si>
  <si>
    <t>6.31</t>
  </si>
  <si>
    <t>6.32</t>
  </si>
  <si>
    <t>6.33</t>
  </si>
  <si>
    <t>Item 5.8</t>
  </si>
  <si>
    <t>Item 5.9</t>
  </si>
  <si>
    <t>Item 5.11</t>
  </si>
  <si>
    <t>é o mesmo item?</t>
  </si>
  <si>
    <t>item 2.22</t>
  </si>
  <si>
    <t>ajustado</t>
  </si>
  <si>
    <t>inox das colunas</t>
  </si>
  <si>
    <t>incluso levantamento loja</t>
  </si>
  <si>
    <t>Já cotado no item de loja</t>
  </si>
  <si>
    <t>instalações</t>
  </si>
  <si>
    <t>material fornecido pela C&amp;A</t>
  </si>
  <si>
    <t>sem detalhe/ cotado somente copa</t>
  </si>
  <si>
    <t>metais , çouças e conexões não orçadas por fata de detalhes</t>
  </si>
  <si>
    <t>sem detalhe</t>
  </si>
  <si>
    <t>40 x 60cm</t>
  </si>
  <si>
    <t>Pintura fechamento vertical</t>
  </si>
  <si>
    <t>inclusão</t>
  </si>
  <si>
    <t>conforme composição edital</t>
  </si>
  <si>
    <t>incluso no item 2.4</t>
  </si>
  <si>
    <t>Demolição total do forro</t>
  </si>
  <si>
    <t>Considerado 04 movimentações e Adesivação mais 2 fechamentos de 1/4 de loja</t>
  </si>
  <si>
    <t>SOLEIRA  Granito cinza Absoluto</t>
  </si>
  <si>
    <t>6.34</t>
  </si>
  <si>
    <t>Quantidade C&amp;A</t>
  </si>
  <si>
    <t>fornecimento C&amp;A</t>
  </si>
  <si>
    <t>Pintura latex em paredes da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</si>
</sst>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  <numFmt numFmtId="167" formatCode="#,##0.00_ ;\-#,##0.00\ "/>
    <numFmt numFmtId="168" formatCode="_(&quot;R$ &quot;* #,##0.00_);_(&quot;R$ &quot;* \(#,##0.00\);_(&quot;R$ &quot;* &quot;-&quot;??_);_(@_)"/>
    <numFmt numFmtId="169" formatCode="&quot;R$&quot;\ #,##0.00"/>
    <numFmt numFmtId="170" formatCode="_-* #,##0_-;\-* #,##0_-;_-* &quot;-&quot;??_-;_-@"/>
    <numFmt numFmtId="171" formatCode="_-* #,##0.00_-;\-* #,##0.00_-;_-* &quot;-&quot;??_-;_-@"/>
    <numFmt numFmtId="172" formatCode="_-&quot;R$&quot;\ * #,##0.00_-;\-&quot;R$&quot;\ * #,##0.00_-;_-&quot;R$&quot;\ * &quot;-&quot;??_-;_-@"/>
    <numFmt numFmtId="173" formatCode="0.000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6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3" tint="-0.249977111117893"/>
      <name val="Aptos Narrow"/>
      <family val="2"/>
      <scheme val="minor"/>
    </font>
    <font>
      <b/>
      <sz val="12"/>
      <color theme="3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Montserrat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0"/>
      <color theme="0"/>
      <name val="Montserrat"/>
    </font>
    <font>
      <sz val="10"/>
      <name val="Montserrat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0"/>
      <color rgb="FF0070C0"/>
      <name val="Calibri"/>
      <family val="2"/>
    </font>
    <font>
      <b/>
      <sz val="16"/>
      <color rgb="FF000000"/>
      <name val="Aptos Narrow"/>
      <family val="2"/>
    </font>
    <font>
      <sz val="11"/>
      <name val="Aptos Narrow"/>
      <family val="2"/>
    </font>
    <font>
      <b/>
      <sz val="12"/>
      <color theme="0"/>
      <name val="Aptos Narrow"/>
      <family val="2"/>
    </font>
    <font>
      <sz val="9"/>
      <color theme="1"/>
      <name val="Aptos Narrow"/>
      <family val="2"/>
      <scheme val="minor"/>
    </font>
    <font>
      <b/>
      <sz val="14"/>
      <color rgb="FF0A1E30"/>
      <name val="Aptos Narrow"/>
      <family val="2"/>
    </font>
    <font>
      <b/>
      <sz val="12"/>
      <color rgb="FF0A1E30"/>
      <name val="Aptos Narrow"/>
      <family val="2"/>
    </font>
    <font>
      <b/>
      <sz val="12"/>
      <color rgb="FF0A1E30"/>
      <name val="Aptos Narrow"/>
      <family val="2"/>
    </font>
    <font>
      <sz val="11"/>
      <color theme="1"/>
      <name val="Aptos Narrow"/>
      <family val="2"/>
    </font>
    <font>
      <b/>
      <sz val="14"/>
      <color rgb="FFFF0000"/>
      <name val="Aptos Narrow"/>
      <family val="2"/>
    </font>
    <font>
      <b/>
      <sz val="14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ptos Narrow"/>
      <family val="2"/>
    </font>
    <font>
      <b/>
      <sz val="11"/>
      <color theme="0"/>
      <name val="Aptos Narrow"/>
      <family val="2"/>
    </font>
    <font>
      <b/>
      <sz val="12"/>
      <color theme="1"/>
      <name val="Aptos Narrow"/>
      <family val="2"/>
    </font>
    <font>
      <b/>
      <sz val="10"/>
      <color theme="1"/>
      <name val="Montserrat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0"/>
      <color theme="0"/>
      <name val="Aptos Narrow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Aptos Narrow"/>
      <family val="2"/>
    </font>
    <font>
      <sz val="10"/>
      <color theme="0"/>
      <name val="Aptos Narrow"/>
      <family val="2"/>
    </font>
    <font>
      <sz val="10"/>
      <color theme="1"/>
      <name val="Montserrat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</font>
    <font>
      <sz val="10"/>
      <color rgb="FFFF0000"/>
      <name val="Montserrat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A1E30"/>
        <bgColor rgb="FF0A1E30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AEAEAE"/>
        <bgColor rgb="FFAEAEAE"/>
      </patternFill>
    </fill>
    <fill>
      <patternFill patternType="solid">
        <fgColor rgb="FF78206E"/>
        <bgColor rgb="FF78206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A1E3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rgb="FF0A1E3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6">
    <xf numFmtId="0" fontId="0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9">
    <xf numFmtId="0" fontId="0" fillId="0" borderId="0" xfId="0"/>
    <xf numFmtId="0" fontId="4" fillId="0" borderId="0" xfId="2"/>
    <xf numFmtId="0" fontId="6" fillId="2" borderId="3" xfId="2" applyFont="1" applyFill="1" applyBorder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8" fillId="4" borderId="3" xfId="2" applyFont="1" applyFill="1" applyBorder="1" applyAlignment="1" applyProtection="1">
      <alignment horizontal="center" vertical="center"/>
      <protection locked="0"/>
    </xf>
    <xf numFmtId="3" fontId="8" fillId="3" borderId="3" xfId="2" applyNumberFormat="1" applyFont="1" applyFill="1" applyBorder="1" applyAlignment="1" applyProtection="1">
      <alignment horizontal="center" vertical="center"/>
      <protection locked="0"/>
    </xf>
    <xf numFmtId="14" fontId="8" fillId="4" borderId="1" xfId="2" applyNumberFormat="1" applyFont="1" applyFill="1" applyBorder="1" applyAlignment="1" applyProtection="1">
      <alignment vertical="center"/>
      <protection locked="0"/>
    </xf>
    <xf numFmtId="14" fontId="8" fillId="4" borderId="3" xfId="2" applyNumberFormat="1" applyFont="1" applyFill="1" applyBorder="1" applyAlignment="1" applyProtection="1">
      <alignment horizontal="center" vertical="center"/>
      <protection locked="0"/>
    </xf>
    <xf numFmtId="0" fontId="8" fillId="4" borderId="1" xfId="3" applyNumberFormat="1" applyFont="1" applyFill="1" applyBorder="1" applyAlignment="1" applyProtection="1">
      <alignment horizontal="right" vertical="center"/>
      <protection locked="0"/>
    </xf>
    <xf numFmtId="164" fontId="8" fillId="4" borderId="4" xfId="3" applyNumberFormat="1" applyFont="1" applyFill="1" applyBorder="1" applyAlignment="1" applyProtection="1">
      <alignment horizontal="left" vertical="center"/>
      <protection locked="0"/>
    </xf>
    <xf numFmtId="0" fontId="0" fillId="0" borderId="5" xfId="2" applyFont="1" applyBorder="1" applyAlignment="1" applyProtection="1">
      <alignment horizontal="center" vertical="center"/>
      <protection locked="0"/>
    </xf>
    <xf numFmtId="0" fontId="1" fillId="0" borderId="0" xfId="2" applyFont="1" applyAlignment="1" applyProtection="1">
      <alignment vertical="center"/>
      <protection locked="0"/>
    </xf>
    <xf numFmtId="0" fontId="0" fillId="0" borderId="0" xfId="2" applyFont="1" applyAlignment="1" applyProtection="1">
      <alignment vertical="center"/>
      <protection locked="0"/>
    </xf>
    <xf numFmtId="0" fontId="1" fillId="0" borderId="5" xfId="2" applyFont="1" applyBorder="1" applyAlignment="1">
      <alignment horizontal="center" vertical="center"/>
    </xf>
    <xf numFmtId="0" fontId="1" fillId="0" borderId="0" xfId="2" applyFont="1" applyAlignment="1">
      <alignment vertical="center"/>
    </xf>
    <xf numFmtId="0" fontId="4" fillId="0" borderId="0" xfId="2" applyAlignment="1">
      <alignment horizontal="center"/>
    </xf>
    <xf numFmtId="0" fontId="10" fillId="0" borderId="0" xfId="5" applyFont="1" applyFill="1" applyBorder="1" applyAlignment="1" applyProtection="1">
      <alignment vertical="center"/>
      <protection hidden="1"/>
    </xf>
    <xf numFmtId="0" fontId="2" fillId="2" borderId="3" xfId="5" applyFont="1" applyFill="1" applyBorder="1" applyAlignment="1" applyProtection="1">
      <alignment horizontal="center" vertical="center"/>
      <protection hidden="1"/>
    </xf>
    <xf numFmtId="0" fontId="11" fillId="0" borderId="0" xfId="6" applyFont="1" applyAlignment="1" applyProtection="1">
      <alignment horizontal="center" vertical="center"/>
      <protection hidden="1"/>
    </xf>
    <xf numFmtId="0" fontId="11" fillId="0" borderId="0" xfId="6" applyFont="1" applyAlignment="1" applyProtection="1">
      <alignment vertical="center"/>
      <protection hidden="1"/>
    </xf>
    <xf numFmtId="0" fontId="13" fillId="4" borderId="3" xfId="7" applyNumberFormat="1" applyFont="1" applyFill="1" applyBorder="1" applyAlignment="1" applyProtection="1">
      <alignment horizontal="center" vertical="center"/>
      <protection hidden="1"/>
    </xf>
    <xf numFmtId="165" fontId="13" fillId="4" borderId="3" xfId="1" applyFont="1" applyFill="1" applyBorder="1" applyAlignment="1" applyProtection="1">
      <alignment horizontal="center" vertical="center"/>
      <protection hidden="1"/>
    </xf>
    <xf numFmtId="43" fontId="16" fillId="2" borderId="3" xfId="2" applyNumberFormat="1" applyFont="1" applyFill="1" applyBorder="1" applyAlignment="1" applyProtection="1">
      <alignment horizontal="center" vertical="center"/>
      <protection hidden="1"/>
    </xf>
    <xf numFmtId="0" fontId="17" fillId="0" borderId="8" xfId="2" applyFont="1" applyBorder="1" applyAlignment="1" applyProtection="1">
      <alignment horizontal="center" vertical="center"/>
      <protection hidden="1"/>
    </xf>
    <xf numFmtId="0" fontId="17" fillId="0" borderId="0" xfId="2" applyFont="1" applyAlignment="1" applyProtection="1">
      <alignment horizontal="center" vertical="center"/>
      <protection hidden="1"/>
    </xf>
    <xf numFmtId="0" fontId="17" fillId="0" borderId="0" xfId="2" applyFont="1" applyAlignment="1" applyProtection="1">
      <alignment vertical="center" wrapText="1"/>
      <protection hidden="1"/>
    </xf>
    <xf numFmtId="0" fontId="18" fillId="0" borderId="0" xfId="2" applyFont="1" applyAlignment="1" applyProtection="1">
      <alignment vertical="center"/>
      <protection hidden="1"/>
    </xf>
    <xf numFmtId="0" fontId="18" fillId="0" borderId="0" xfId="2" applyFont="1" applyAlignment="1" applyProtection="1">
      <alignment horizontal="center" vertical="center"/>
      <protection hidden="1"/>
    </xf>
    <xf numFmtId="0" fontId="3" fillId="2" borderId="9" xfId="6" applyFont="1" applyFill="1" applyBorder="1" applyAlignment="1">
      <alignment horizontal="center" vertical="center"/>
    </xf>
    <xf numFmtId="0" fontId="19" fillId="2" borderId="3" xfId="2" applyFont="1" applyFill="1" applyBorder="1" applyAlignment="1" applyProtection="1">
      <alignment horizontal="center" vertical="center"/>
      <protection hidden="1"/>
    </xf>
    <xf numFmtId="0" fontId="20" fillId="2" borderId="3" xfId="5" applyFont="1" applyFill="1" applyBorder="1" applyAlignment="1" applyProtection="1">
      <alignment vertical="center"/>
      <protection hidden="1"/>
    </xf>
    <xf numFmtId="0" fontId="3" fillId="2" borderId="10" xfId="6" applyFont="1" applyFill="1" applyBorder="1" applyAlignment="1">
      <alignment horizontal="center" vertical="center"/>
    </xf>
    <xf numFmtId="0" fontId="20" fillId="2" borderId="3" xfId="5" applyFont="1" applyFill="1" applyBorder="1" applyAlignment="1" applyProtection="1">
      <alignment horizontal="center" vertical="center"/>
      <protection hidden="1"/>
    </xf>
    <xf numFmtId="0" fontId="3" fillId="2" borderId="11" xfId="6" applyFont="1" applyFill="1" applyBorder="1" applyAlignment="1">
      <alignment horizontal="center" vertical="center"/>
    </xf>
    <xf numFmtId="166" fontId="21" fillId="2" borderId="3" xfId="5" applyNumberFormat="1" applyFont="1" applyFill="1" applyBorder="1" applyAlignment="1" applyProtection="1">
      <alignment horizontal="center" vertical="center"/>
      <protection hidden="1"/>
    </xf>
    <xf numFmtId="0" fontId="21" fillId="2" borderId="3" xfId="2" applyFont="1" applyFill="1" applyBorder="1" applyAlignment="1" applyProtection="1">
      <alignment horizontal="left" vertical="center" wrapText="1"/>
      <protection hidden="1"/>
    </xf>
    <xf numFmtId="165" fontId="20" fillId="2" borderId="3" xfId="9" applyFont="1" applyFill="1" applyBorder="1" applyAlignment="1" applyProtection="1">
      <alignment vertical="center"/>
      <protection hidden="1"/>
    </xf>
    <xf numFmtId="0" fontId="17" fillId="0" borderId="10" xfId="2" applyFont="1" applyBorder="1" applyAlignment="1" applyProtection="1">
      <alignment horizontal="center" vertical="center" wrapText="1"/>
      <protection hidden="1"/>
    </xf>
    <xf numFmtId="0" fontId="17" fillId="0" borderId="3" xfId="2" applyFont="1" applyBorder="1" applyAlignment="1" applyProtection="1">
      <alignment horizontal="center" vertical="center" wrapText="1"/>
      <protection hidden="1"/>
    </xf>
    <xf numFmtId="0" fontId="17" fillId="0" borderId="3" xfId="2" applyFont="1" applyBorder="1" applyAlignment="1" applyProtection="1">
      <alignment vertical="center" wrapText="1"/>
      <protection hidden="1"/>
    </xf>
    <xf numFmtId="0" fontId="18" fillId="0" borderId="3" xfId="2" applyFont="1" applyBorder="1" applyAlignment="1" applyProtection="1">
      <alignment horizontal="center" vertical="center" wrapText="1"/>
      <protection locked="0"/>
    </xf>
    <xf numFmtId="43" fontId="18" fillId="0" borderId="3" xfId="10" applyFont="1" applyFill="1" applyBorder="1" applyAlignment="1" applyProtection="1">
      <alignment horizontal="right" vertical="center" wrapText="1"/>
      <protection locked="0"/>
    </xf>
    <xf numFmtId="43" fontId="18" fillId="0" borderId="3" xfId="10" applyFont="1" applyFill="1" applyBorder="1" applyAlignment="1" applyProtection="1">
      <alignment vertical="center" wrapText="1"/>
      <protection locked="0"/>
    </xf>
    <xf numFmtId="165" fontId="18" fillId="5" borderId="3" xfId="9" applyFont="1" applyFill="1" applyBorder="1" applyAlignment="1" applyProtection="1">
      <alignment vertical="center" wrapText="1"/>
      <protection locked="0"/>
    </xf>
    <xf numFmtId="0" fontId="18" fillId="5" borderId="3" xfId="2" applyFont="1" applyFill="1" applyBorder="1" applyAlignment="1" applyProtection="1">
      <alignment horizontal="center" vertical="center" wrapText="1"/>
      <protection locked="0"/>
    </xf>
    <xf numFmtId="43" fontId="18" fillId="0" borderId="3" xfId="12" applyNumberFormat="1" applyFont="1" applyFill="1" applyBorder="1" applyAlignment="1" applyProtection="1">
      <alignment vertical="center" wrapText="1"/>
      <protection locked="0"/>
    </xf>
    <xf numFmtId="43" fontId="18" fillId="0" borderId="3" xfId="11" applyNumberFormat="1" applyFont="1" applyFill="1" applyBorder="1" applyAlignment="1" applyProtection="1">
      <alignment vertical="center" wrapText="1"/>
      <protection locked="0"/>
    </xf>
    <xf numFmtId="0" fontId="19" fillId="6" borderId="3" xfId="2" applyFont="1" applyFill="1" applyBorder="1" applyAlignment="1" applyProtection="1">
      <alignment horizontal="center" vertical="center" wrapText="1"/>
      <protection hidden="1"/>
    </xf>
    <xf numFmtId="0" fontId="19" fillId="6" borderId="3" xfId="2" applyFont="1" applyFill="1" applyBorder="1" applyAlignment="1" applyProtection="1">
      <alignment vertical="center" wrapText="1"/>
      <protection hidden="1"/>
    </xf>
    <xf numFmtId="0" fontId="24" fillId="6" borderId="3" xfId="2" applyFont="1" applyFill="1" applyBorder="1" applyAlignment="1" applyProtection="1">
      <alignment horizontal="center" vertical="center" wrapText="1"/>
      <protection locked="0"/>
    </xf>
    <xf numFmtId="0" fontId="24" fillId="6" borderId="3" xfId="5" applyFont="1" applyFill="1" applyBorder="1" applyAlignment="1" applyProtection="1">
      <alignment horizontal="right" vertical="center" wrapText="1"/>
      <protection locked="0"/>
    </xf>
    <xf numFmtId="0" fontId="20" fillId="6" borderId="3" xfId="5" applyFont="1" applyFill="1" applyBorder="1" applyAlignment="1" applyProtection="1">
      <alignment vertical="center" wrapText="1"/>
      <protection locked="0"/>
    </xf>
    <xf numFmtId="165" fontId="20" fillId="6" borderId="3" xfId="9" applyFont="1" applyFill="1" applyBorder="1" applyAlignment="1" applyProtection="1">
      <alignment vertical="center" wrapText="1"/>
      <protection locked="0"/>
    </xf>
    <xf numFmtId="0" fontId="19" fillId="5" borderId="3" xfId="2" applyFont="1" applyFill="1" applyBorder="1" applyAlignment="1" applyProtection="1">
      <alignment horizontal="center" vertical="center" wrapText="1"/>
      <protection hidden="1"/>
    </xf>
    <xf numFmtId="0" fontId="19" fillId="5" borderId="10" xfId="2" applyFont="1" applyFill="1" applyBorder="1" applyAlignment="1" applyProtection="1">
      <alignment horizontal="center" vertical="center" wrapText="1"/>
      <protection hidden="1"/>
    </xf>
    <xf numFmtId="0" fontId="21" fillId="7" borderId="3" xfId="2" applyFont="1" applyFill="1" applyBorder="1" applyAlignment="1" applyProtection="1">
      <alignment vertical="center" wrapText="1"/>
      <protection hidden="1"/>
    </xf>
    <xf numFmtId="0" fontId="19" fillId="7" borderId="1" xfId="2" applyFont="1" applyFill="1" applyBorder="1" applyAlignment="1" applyProtection="1">
      <alignment horizontal="center" vertical="center" wrapText="1"/>
      <protection hidden="1"/>
    </xf>
    <xf numFmtId="0" fontId="24" fillId="7" borderId="3" xfId="2" applyFont="1" applyFill="1" applyBorder="1" applyAlignment="1" applyProtection="1">
      <alignment horizontal="center" vertical="center" wrapText="1"/>
      <protection locked="0"/>
    </xf>
    <xf numFmtId="0" fontId="24" fillId="7" borderId="3" xfId="5" applyFont="1" applyFill="1" applyBorder="1" applyAlignment="1" applyProtection="1">
      <alignment horizontal="right" vertical="center" wrapText="1"/>
      <protection locked="0"/>
    </xf>
    <xf numFmtId="0" fontId="20" fillId="7" borderId="3" xfId="5" applyFont="1" applyFill="1" applyBorder="1" applyAlignment="1" applyProtection="1">
      <alignment vertical="center" wrapText="1"/>
      <protection locked="0"/>
    </xf>
    <xf numFmtId="165" fontId="20" fillId="7" borderId="3" xfId="9" applyFont="1" applyFill="1" applyBorder="1" applyAlignment="1" applyProtection="1">
      <alignment vertical="center" wrapText="1"/>
      <protection locked="0"/>
    </xf>
    <xf numFmtId="0" fontId="17" fillId="0" borderId="9" xfId="2" applyFont="1" applyBorder="1" applyAlignment="1" applyProtection="1">
      <alignment horizontal="center" vertical="center" wrapText="1"/>
      <protection hidden="1"/>
    </xf>
    <xf numFmtId="0" fontId="17" fillId="0" borderId="1" xfId="2" applyFont="1" applyBorder="1" applyAlignment="1" applyProtection="1">
      <alignment horizontal="center" vertical="center" wrapText="1"/>
      <protection hidden="1"/>
    </xf>
    <xf numFmtId="0" fontId="17" fillId="5" borderId="3" xfId="2" applyFont="1" applyFill="1" applyBorder="1" applyAlignment="1" applyProtection="1">
      <alignment vertical="center" wrapText="1"/>
      <protection hidden="1"/>
    </xf>
    <xf numFmtId="0" fontId="17" fillId="5" borderId="3" xfId="2" applyFont="1" applyFill="1" applyBorder="1" applyAlignment="1" applyProtection="1">
      <alignment horizontal="center" vertical="center" wrapText="1"/>
      <protection hidden="1"/>
    </xf>
    <xf numFmtId="0" fontId="17" fillId="5" borderId="1" xfId="2" applyFont="1" applyFill="1" applyBorder="1" applyAlignment="1" applyProtection="1">
      <alignment horizontal="center" vertical="center" wrapText="1"/>
      <protection hidden="1"/>
    </xf>
    <xf numFmtId="165" fontId="18" fillId="0" borderId="3" xfId="9" applyFont="1" applyFill="1" applyBorder="1" applyAlignment="1" applyProtection="1">
      <alignment vertical="center" wrapText="1"/>
      <protection locked="0"/>
    </xf>
    <xf numFmtId="0" fontId="19" fillId="0" borderId="3" xfId="2" applyFont="1" applyBorder="1" applyAlignment="1" applyProtection="1">
      <alignment horizontal="center" vertical="center" wrapText="1"/>
      <protection hidden="1"/>
    </xf>
    <xf numFmtId="0" fontId="19" fillId="6" borderId="9" xfId="2" applyFont="1" applyFill="1" applyBorder="1" applyAlignment="1" applyProtection="1">
      <alignment horizontal="center" vertical="center" wrapText="1"/>
      <protection hidden="1"/>
    </xf>
    <xf numFmtId="165" fontId="18" fillId="0" borderId="3" xfId="13" applyFont="1" applyFill="1" applyBorder="1" applyAlignment="1" applyProtection="1">
      <alignment horizontal="right" vertical="center" wrapText="1"/>
      <protection locked="0"/>
    </xf>
    <xf numFmtId="165" fontId="18" fillId="0" borderId="3" xfId="13" applyFont="1" applyFill="1" applyBorder="1" applyAlignment="1" applyProtection="1">
      <alignment vertical="center" wrapText="1"/>
      <protection locked="0"/>
    </xf>
    <xf numFmtId="165" fontId="18" fillId="0" borderId="9" xfId="13" applyFont="1" applyFill="1" applyBorder="1" applyAlignment="1" applyProtection="1">
      <alignment vertical="center" wrapText="1"/>
      <protection locked="0"/>
    </xf>
    <xf numFmtId="0" fontId="19" fillId="6" borderId="3" xfId="2" quotePrefix="1" applyFont="1" applyFill="1" applyBorder="1" applyAlignment="1" applyProtection="1">
      <alignment horizontal="center" vertical="center" wrapText="1"/>
      <protection hidden="1"/>
    </xf>
    <xf numFmtId="0" fontId="21" fillId="6" borderId="3" xfId="2" applyFont="1" applyFill="1" applyBorder="1" applyAlignment="1" applyProtection="1">
      <alignment horizontal="center" vertical="center" wrapText="1"/>
      <protection hidden="1"/>
    </xf>
    <xf numFmtId="0" fontId="21" fillId="6" borderId="3" xfId="2" applyFont="1" applyFill="1" applyBorder="1" applyAlignment="1" applyProtection="1">
      <alignment vertical="center" wrapText="1"/>
      <protection hidden="1"/>
    </xf>
    <xf numFmtId="166" fontId="21" fillId="6" borderId="3" xfId="5" applyNumberFormat="1" applyFont="1" applyFill="1" applyBorder="1" applyAlignment="1" applyProtection="1">
      <alignment horizontal="center" vertical="center" wrapText="1"/>
      <protection hidden="1"/>
    </xf>
    <xf numFmtId="0" fontId="21" fillId="6" borderId="3" xfId="5" applyFont="1" applyFill="1" applyBorder="1" applyAlignment="1" applyProtection="1">
      <alignment vertical="center" wrapText="1"/>
      <protection hidden="1"/>
    </xf>
    <xf numFmtId="165" fontId="15" fillId="6" borderId="3" xfId="9" applyFont="1" applyFill="1" applyBorder="1" applyAlignment="1" applyProtection="1">
      <alignment horizontal="center" vertical="center" wrapText="1"/>
      <protection hidden="1"/>
    </xf>
    <xf numFmtId="0" fontId="21" fillId="0" borderId="3" xfId="2" applyFont="1" applyBorder="1" applyAlignment="1" applyProtection="1">
      <alignment horizontal="center" vertical="center" wrapText="1"/>
      <protection hidden="1"/>
    </xf>
    <xf numFmtId="0" fontId="21" fillId="0" borderId="3" xfId="2" applyFont="1" applyBorder="1" applyAlignment="1" applyProtection="1">
      <alignment vertical="center" wrapText="1"/>
      <protection hidden="1"/>
    </xf>
    <xf numFmtId="166" fontId="21" fillId="0" borderId="3" xfId="5" applyNumberFormat="1" applyFont="1" applyFill="1" applyBorder="1" applyAlignment="1" applyProtection="1">
      <alignment horizontal="center" vertical="center" wrapText="1"/>
      <protection hidden="1"/>
    </xf>
    <xf numFmtId="0" fontId="21" fillId="0" borderId="9" xfId="5" applyFont="1" applyFill="1" applyBorder="1" applyAlignment="1" applyProtection="1">
      <alignment vertical="center" wrapText="1"/>
      <protection hidden="1"/>
    </xf>
    <xf numFmtId="165" fontId="15" fillId="0" borderId="9" xfId="9" applyFont="1" applyFill="1" applyBorder="1" applyAlignment="1" applyProtection="1">
      <alignment horizontal="center" vertical="center" wrapText="1"/>
      <protection hidden="1"/>
    </xf>
    <xf numFmtId="49" fontId="27" fillId="8" borderId="3" xfId="2" applyNumberFormat="1" applyFont="1" applyFill="1" applyBorder="1" applyAlignment="1" applyProtection="1">
      <alignment horizontal="center" vertical="center" wrapText="1"/>
      <protection locked="0"/>
    </xf>
    <xf numFmtId="49" fontId="27" fillId="8" borderId="3" xfId="2" applyNumberFormat="1" applyFont="1" applyFill="1" applyBorder="1" applyAlignment="1" applyProtection="1">
      <alignment vertical="center" wrapText="1"/>
      <protection locked="0"/>
    </xf>
    <xf numFmtId="0" fontId="27" fillId="8" borderId="3" xfId="2" applyFont="1" applyFill="1" applyBorder="1" applyAlignment="1" applyProtection="1">
      <alignment vertical="center" wrapText="1"/>
      <protection locked="0"/>
    </xf>
    <xf numFmtId="0" fontId="27" fillId="8" borderId="9" xfId="2" applyFont="1" applyFill="1" applyBorder="1" applyAlignment="1" applyProtection="1">
      <alignment horizontal="center" vertical="center" wrapText="1"/>
      <protection locked="0"/>
    </xf>
    <xf numFmtId="43" fontId="27" fillId="8" borderId="9" xfId="7" applyFont="1" applyFill="1" applyBorder="1" applyAlignment="1" applyProtection="1">
      <alignment horizontal="center" vertical="center" wrapText="1"/>
      <protection locked="0"/>
    </xf>
    <xf numFmtId="0" fontId="27" fillId="8" borderId="3" xfId="2" applyFont="1" applyFill="1" applyBorder="1" applyAlignment="1" applyProtection="1">
      <alignment horizontal="center" vertical="center"/>
      <protection locked="0"/>
    </xf>
    <xf numFmtId="0" fontId="27" fillId="8" borderId="3" xfId="2" applyFont="1" applyFill="1" applyBorder="1" applyAlignment="1" applyProtection="1">
      <alignment vertical="center"/>
      <protection locked="0"/>
    </xf>
    <xf numFmtId="0" fontId="27" fillId="8" borderId="11" xfId="2" applyFont="1" applyFill="1" applyBorder="1" applyAlignment="1" applyProtection="1">
      <alignment horizontal="center" vertical="center" wrapText="1"/>
      <protection locked="0"/>
    </xf>
    <xf numFmtId="43" fontId="27" fillId="8" borderId="11" xfId="7" applyFont="1" applyFill="1" applyBorder="1" applyAlignment="1" applyProtection="1">
      <alignment horizontal="center" vertical="center" wrapText="1"/>
      <protection locked="0"/>
    </xf>
    <xf numFmtId="0" fontId="28" fillId="0" borderId="3" xfId="2" applyFont="1" applyBorder="1" applyAlignment="1" applyProtection="1">
      <alignment horizontal="center"/>
      <protection locked="0"/>
    </xf>
    <xf numFmtId="0" fontId="28" fillId="0" borderId="3" xfId="2" applyFont="1" applyBorder="1" applyProtection="1">
      <protection locked="0"/>
    </xf>
    <xf numFmtId="4" fontId="11" fillId="0" borderId="3" xfId="2" applyNumberFormat="1" applyFont="1" applyBorder="1" applyAlignment="1" applyProtection="1">
      <alignment horizontal="center"/>
      <protection locked="0"/>
    </xf>
    <xf numFmtId="2" fontId="28" fillId="5" borderId="3" xfId="14" applyNumberFormat="1" applyFont="1" applyFill="1" applyBorder="1" applyAlignment="1" applyProtection="1">
      <alignment horizontal="center"/>
      <protection locked="0"/>
    </xf>
    <xf numFmtId="43" fontId="28" fillId="0" borderId="3" xfId="7" applyFont="1" applyFill="1" applyBorder="1" applyAlignment="1" applyProtection="1">
      <alignment horizontal="center"/>
      <protection locked="0"/>
    </xf>
    <xf numFmtId="0" fontId="28" fillId="0" borderId="0" xfId="2" applyFont="1" applyAlignment="1">
      <alignment horizontal="center"/>
    </xf>
    <xf numFmtId="0" fontId="28" fillId="0" borderId="0" xfId="2" applyFont="1"/>
    <xf numFmtId="0" fontId="28" fillId="0" borderId="0" xfId="2" applyFont="1" applyAlignment="1">
      <alignment wrapText="1"/>
    </xf>
    <xf numFmtId="9" fontId="28" fillId="0" borderId="0" xfId="15" applyFont="1" applyAlignment="1">
      <alignment horizontal="center"/>
    </xf>
    <xf numFmtId="9" fontId="14" fillId="0" borderId="0" xfId="15" applyFont="1" applyFill="1" applyAlignment="1">
      <alignment horizontal="center"/>
    </xf>
    <xf numFmtId="43" fontId="18" fillId="0" borderId="3" xfId="11" applyNumberFormat="1" applyFont="1" applyFill="1" applyBorder="1" applyAlignment="1" applyProtection="1">
      <alignment horizontal="right" vertical="center" wrapText="1"/>
      <protection locked="0"/>
    </xf>
    <xf numFmtId="0" fontId="23" fillId="0" borderId="3" xfId="2" applyFont="1" applyBorder="1" applyAlignment="1" applyProtection="1">
      <alignment horizontal="center" vertical="center" wrapText="1"/>
      <protection locked="0"/>
    </xf>
    <xf numFmtId="43" fontId="23" fillId="0" borderId="3" xfId="10" applyFont="1" applyFill="1" applyBorder="1" applyAlignment="1" applyProtection="1">
      <alignment horizontal="right" vertical="center" wrapText="1"/>
      <protection locked="0"/>
    </xf>
    <xf numFmtId="43" fontId="23" fillId="0" borderId="3" xfId="10" applyFont="1" applyFill="1" applyBorder="1" applyAlignment="1" applyProtection="1">
      <alignment vertical="center" wrapText="1"/>
      <protection locked="0"/>
    </xf>
    <xf numFmtId="0" fontId="22" fillId="0" borderId="11" xfId="2" applyFont="1" applyBorder="1" applyAlignment="1" applyProtection="1">
      <alignment horizontal="center" vertical="center" textRotation="90" wrapText="1"/>
      <protection hidden="1"/>
    </xf>
    <xf numFmtId="0" fontId="17" fillId="9" borderId="3" xfId="2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30" fillId="0" borderId="0" xfId="0" applyFont="1" applyAlignment="1">
      <alignment wrapText="1"/>
    </xf>
    <xf numFmtId="0" fontId="31" fillId="0" borderId="3" xfId="2" applyFont="1" applyBorder="1" applyAlignment="1" applyProtection="1">
      <alignment horizontal="center" vertical="center" wrapText="1"/>
      <protection locked="0"/>
    </xf>
    <xf numFmtId="0" fontId="32" fillId="0" borderId="1" xfId="2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>
      <alignment horizontal="left" vertical="center" wrapText="1"/>
    </xf>
    <xf numFmtId="0" fontId="17" fillId="10" borderId="3" xfId="2" applyFont="1" applyFill="1" applyBorder="1" applyAlignment="1" applyProtection="1">
      <alignment horizontal="center" vertical="center" wrapText="1"/>
      <protection hidden="1"/>
    </xf>
    <xf numFmtId="0" fontId="17" fillId="11" borderId="3" xfId="2" applyFont="1" applyFill="1" applyBorder="1" applyAlignment="1" applyProtection="1">
      <alignment horizontal="center" vertical="center" wrapText="1"/>
      <protection hidden="1"/>
    </xf>
    <xf numFmtId="43" fontId="18" fillId="5" borderId="3" xfId="10" applyFont="1" applyFill="1" applyBorder="1" applyAlignment="1" applyProtection="1">
      <alignment horizontal="right" vertical="center" wrapText="1"/>
      <protection locked="0"/>
    </xf>
    <xf numFmtId="43" fontId="18" fillId="5" borderId="3" xfId="11" applyNumberFormat="1" applyFont="1" applyFill="1" applyBorder="1" applyAlignment="1" applyProtection="1">
      <alignment horizontal="right" vertical="center" wrapText="1"/>
      <protection locked="0"/>
    </xf>
    <xf numFmtId="0" fontId="30" fillId="0" borderId="0" xfId="0" applyFont="1" applyAlignment="1">
      <alignment vertical="center" wrapText="1"/>
    </xf>
    <xf numFmtId="43" fontId="23" fillId="5" borderId="3" xfId="10" applyFont="1" applyFill="1" applyBorder="1" applyAlignment="1" applyProtection="1">
      <alignment vertical="center" wrapText="1"/>
      <protection locked="0"/>
    </xf>
    <xf numFmtId="43" fontId="23" fillId="0" borderId="3" xfId="10" applyFont="1" applyBorder="1" applyAlignment="1" applyProtection="1">
      <alignment vertical="center" wrapText="1"/>
      <protection locked="0"/>
    </xf>
    <xf numFmtId="44" fontId="30" fillId="0" borderId="0" xfId="0" applyNumberFormat="1" applyFont="1" applyAlignment="1">
      <alignment wrapText="1"/>
    </xf>
    <xf numFmtId="169" fontId="30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35" fillId="12" borderId="15" xfId="0" applyFont="1" applyFill="1" applyBorder="1" applyAlignment="1">
      <alignment horizontal="center" vertical="center"/>
    </xf>
    <xf numFmtId="0" fontId="35" fillId="12" borderId="12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8" fillId="14" borderId="15" xfId="0" applyFont="1" applyFill="1" applyBorder="1" applyAlignment="1">
      <alignment horizontal="center" vertical="center"/>
    </xf>
    <xf numFmtId="3" fontId="38" fillId="13" borderId="15" xfId="0" applyNumberFormat="1" applyFont="1" applyFill="1" applyBorder="1" applyAlignment="1">
      <alignment horizontal="center" vertical="center"/>
    </xf>
    <xf numFmtId="14" fontId="38" fillId="14" borderId="12" xfId="0" applyNumberFormat="1" applyFont="1" applyFill="1" applyBorder="1" applyAlignment="1">
      <alignment vertical="center"/>
    </xf>
    <xf numFmtId="14" fontId="38" fillId="14" borderId="15" xfId="0" applyNumberFormat="1" applyFont="1" applyFill="1" applyBorder="1" applyAlignment="1">
      <alignment horizontal="center" vertical="center"/>
    </xf>
    <xf numFmtId="0" fontId="38" fillId="14" borderId="13" xfId="0" applyFont="1" applyFill="1" applyBorder="1" applyAlignment="1">
      <alignment horizontal="right" vertical="center"/>
    </xf>
    <xf numFmtId="0" fontId="38" fillId="14" borderId="12" xfId="0" applyFont="1" applyFill="1" applyBorder="1" applyAlignment="1">
      <alignment horizontal="right" vertical="center"/>
    </xf>
    <xf numFmtId="170" fontId="38" fillId="14" borderId="14" xfId="0" applyNumberFormat="1" applyFont="1" applyFill="1" applyBorder="1" applyAlignment="1">
      <alignment horizontal="left" vertical="center"/>
    </xf>
    <xf numFmtId="0" fontId="40" fillId="0" borderId="16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4" fillId="0" borderId="0" xfId="0" applyFont="1" applyAlignment="1">
      <alignment vertical="center"/>
    </xf>
    <xf numFmtId="0" fontId="45" fillId="12" borderId="1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14" borderId="15" xfId="0" applyFont="1" applyFill="1" applyBorder="1" applyAlignment="1">
      <alignment horizontal="center" vertical="center"/>
    </xf>
    <xf numFmtId="165" fontId="46" fillId="14" borderId="15" xfId="0" applyNumberFormat="1" applyFont="1" applyFill="1" applyBorder="1" applyAlignment="1">
      <alignment horizontal="center" vertical="center"/>
    </xf>
    <xf numFmtId="0" fontId="48" fillId="12" borderId="17" xfId="0" applyFont="1" applyFill="1" applyBorder="1" applyAlignment="1">
      <alignment vertical="center"/>
    </xf>
    <xf numFmtId="0" fontId="48" fillId="12" borderId="18" xfId="0" applyFont="1" applyFill="1" applyBorder="1" applyAlignment="1">
      <alignment vertical="center"/>
    </xf>
    <xf numFmtId="171" fontId="49" fillId="12" borderId="15" xfId="0" applyNumberFormat="1" applyFont="1" applyFill="1" applyBorder="1" applyAlignment="1">
      <alignment horizontal="center" vertical="center"/>
    </xf>
    <xf numFmtId="0" fontId="50" fillId="0" borderId="19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2" fillId="12" borderId="20" xfId="0" applyFont="1" applyFill="1" applyBorder="1" applyAlignment="1">
      <alignment horizontal="center" vertical="center"/>
    </xf>
    <xf numFmtId="0" fontId="53" fillId="12" borderId="20" xfId="0" applyFont="1" applyFill="1" applyBorder="1" applyAlignment="1">
      <alignment horizontal="center" vertical="center" wrapText="1"/>
    </xf>
    <xf numFmtId="0" fontId="53" fillId="12" borderId="15" xfId="0" applyFont="1" applyFill="1" applyBorder="1" applyAlignment="1">
      <alignment horizontal="center" vertical="center"/>
    </xf>
    <xf numFmtId="0" fontId="54" fillId="12" borderId="15" xfId="0" applyFont="1" applyFill="1" applyBorder="1" applyAlignment="1">
      <alignment vertical="center"/>
    </xf>
    <xf numFmtId="0" fontId="52" fillId="12" borderId="21" xfId="0" applyFont="1" applyFill="1" applyBorder="1" applyAlignment="1">
      <alignment horizontal="center" vertical="center"/>
    </xf>
    <xf numFmtId="0" fontId="54" fillId="12" borderId="15" xfId="0" applyFont="1" applyFill="1" applyBorder="1" applyAlignment="1">
      <alignment horizontal="center" vertical="center"/>
    </xf>
    <xf numFmtId="0" fontId="52" fillId="12" borderId="22" xfId="0" applyFont="1" applyFill="1" applyBorder="1" applyAlignment="1">
      <alignment horizontal="center" vertical="center"/>
    </xf>
    <xf numFmtId="166" fontId="55" fillId="12" borderId="15" xfId="0" applyNumberFormat="1" applyFont="1" applyFill="1" applyBorder="1" applyAlignment="1">
      <alignment horizontal="center" vertical="center"/>
    </xf>
    <xf numFmtId="0" fontId="55" fillId="12" borderId="15" xfId="0" applyFont="1" applyFill="1" applyBorder="1" applyAlignment="1">
      <alignment horizontal="left" vertical="center" wrapText="1"/>
    </xf>
    <xf numFmtId="165" fontId="54" fillId="12" borderId="15" xfId="0" applyNumberFormat="1" applyFont="1" applyFill="1" applyBorder="1" applyAlignment="1">
      <alignment vertical="center"/>
    </xf>
    <xf numFmtId="0" fontId="50" fillId="0" borderId="21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 wrapText="1"/>
    </xf>
    <xf numFmtId="0" fontId="50" fillId="0" borderId="15" xfId="0" applyFont="1" applyBorder="1" applyAlignment="1">
      <alignment vertical="center" wrapText="1"/>
    </xf>
    <xf numFmtId="0" fontId="51" fillId="0" borderId="15" xfId="0" applyFont="1" applyBorder="1" applyAlignment="1">
      <alignment horizontal="center" vertical="center" wrapText="1"/>
    </xf>
    <xf numFmtId="171" fontId="51" fillId="0" borderId="15" xfId="0" applyNumberFormat="1" applyFont="1" applyBorder="1" applyAlignment="1">
      <alignment horizontal="right" vertical="center" wrapText="1"/>
    </xf>
    <xf numFmtId="165" fontId="51" fillId="15" borderId="15" xfId="0" applyNumberFormat="1" applyFont="1" applyFill="1" applyBorder="1" applyAlignment="1">
      <alignment vertical="center" wrapText="1"/>
    </xf>
    <xf numFmtId="0" fontId="57" fillId="0" borderId="15" xfId="0" applyFont="1" applyBorder="1" applyAlignment="1">
      <alignment horizontal="center" vertical="center" wrapText="1"/>
    </xf>
    <xf numFmtId="0" fontId="58" fillId="0" borderId="15" xfId="0" applyFont="1" applyBorder="1" applyAlignment="1">
      <alignment horizontal="center" vertical="center" wrapText="1"/>
    </xf>
    <xf numFmtId="43" fontId="0" fillId="0" borderId="0" xfId="0" applyNumberFormat="1"/>
    <xf numFmtId="0" fontId="50" fillId="0" borderId="12" xfId="0" applyFont="1" applyBorder="1" applyAlignment="1">
      <alignment horizontal="center" vertical="center" wrapText="1"/>
    </xf>
    <xf numFmtId="0" fontId="53" fillId="12" borderId="15" xfId="0" applyFont="1" applyFill="1" applyBorder="1" applyAlignment="1">
      <alignment horizontal="center" vertical="center" wrapText="1"/>
    </xf>
    <xf numFmtId="0" fontId="53" fillId="12" borderId="15" xfId="0" applyFont="1" applyFill="1" applyBorder="1" applyAlignment="1">
      <alignment vertical="center" wrapText="1"/>
    </xf>
    <xf numFmtId="0" fontId="59" fillId="12" borderId="15" xfId="0" applyFont="1" applyFill="1" applyBorder="1" applyAlignment="1">
      <alignment horizontal="center" vertical="center" wrapText="1"/>
    </xf>
    <xf numFmtId="0" fontId="59" fillId="12" borderId="15" xfId="0" applyFont="1" applyFill="1" applyBorder="1" applyAlignment="1">
      <alignment horizontal="right" vertical="center" wrapText="1"/>
    </xf>
    <xf numFmtId="0" fontId="54" fillId="12" borderId="15" xfId="0" applyFont="1" applyFill="1" applyBorder="1" applyAlignment="1">
      <alignment vertical="center" wrapText="1"/>
    </xf>
    <xf numFmtId="165" fontId="54" fillId="12" borderId="15" xfId="0" applyNumberFormat="1" applyFont="1" applyFill="1" applyBorder="1" applyAlignment="1">
      <alignment vertical="center" wrapText="1"/>
    </xf>
    <xf numFmtId="0" fontId="53" fillId="15" borderId="15" xfId="0" applyFont="1" applyFill="1" applyBorder="1" applyAlignment="1">
      <alignment horizontal="center" vertical="center" wrapText="1"/>
    </xf>
    <xf numFmtId="0" fontId="53" fillId="15" borderId="21" xfId="0" applyFont="1" applyFill="1" applyBorder="1" applyAlignment="1">
      <alignment horizontal="center" vertical="center" wrapText="1"/>
    </xf>
    <xf numFmtId="0" fontId="55" fillId="16" borderId="15" xfId="0" applyFont="1" applyFill="1" applyBorder="1" applyAlignment="1">
      <alignment vertical="center" wrapText="1"/>
    </xf>
    <xf numFmtId="0" fontId="53" fillId="16" borderId="12" xfId="0" applyFont="1" applyFill="1" applyBorder="1" applyAlignment="1">
      <alignment horizontal="center" vertical="center" wrapText="1"/>
    </xf>
    <xf numFmtId="0" fontId="59" fillId="16" borderId="15" xfId="0" applyFont="1" applyFill="1" applyBorder="1" applyAlignment="1">
      <alignment horizontal="center" vertical="center" wrapText="1"/>
    </xf>
    <xf numFmtId="0" fontId="59" fillId="16" borderId="15" xfId="0" applyFont="1" applyFill="1" applyBorder="1" applyAlignment="1">
      <alignment horizontal="right" vertical="center" wrapText="1"/>
    </xf>
    <xf numFmtId="0" fontId="54" fillId="16" borderId="15" xfId="0" applyFont="1" applyFill="1" applyBorder="1" applyAlignment="1">
      <alignment vertical="center" wrapText="1"/>
    </xf>
    <xf numFmtId="165" fontId="54" fillId="16" borderId="15" xfId="0" applyNumberFormat="1" applyFont="1" applyFill="1" applyBorder="1" applyAlignment="1">
      <alignment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15" borderId="15" xfId="0" applyFont="1" applyFill="1" applyBorder="1" applyAlignment="1">
      <alignment vertical="center" wrapText="1"/>
    </xf>
    <xf numFmtId="0" fontId="1" fillId="0" borderId="0" xfId="0" applyFont="1"/>
    <xf numFmtId="43" fontId="51" fillId="0" borderId="15" xfId="0" applyNumberFormat="1" applyFont="1" applyBorder="1" applyAlignment="1">
      <alignment horizontal="center" vertical="center" wrapText="1"/>
    </xf>
    <xf numFmtId="0" fontId="50" fillId="15" borderId="15" xfId="0" applyFont="1" applyFill="1" applyBorder="1" applyAlignment="1">
      <alignment horizontal="center" vertical="center" wrapText="1"/>
    </xf>
    <xf numFmtId="0" fontId="0" fillId="9" borderId="0" xfId="0" applyFill="1"/>
    <xf numFmtId="0" fontId="50" fillId="15" borderId="12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0" fontId="57" fillId="0" borderId="15" xfId="0" applyFont="1" applyBorder="1" applyAlignment="1">
      <alignment vertical="center" wrapText="1"/>
    </xf>
    <xf numFmtId="0" fontId="51" fillId="15" borderId="15" xfId="0" applyFont="1" applyFill="1" applyBorder="1" applyAlignment="1">
      <alignment horizontal="center" vertical="center" wrapText="1"/>
    </xf>
    <xf numFmtId="0" fontId="55" fillId="12" borderId="14" xfId="0" applyFont="1" applyFill="1" applyBorder="1" applyAlignment="1">
      <alignment horizontal="center" vertical="center" wrapText="1"/>
    </xf>
    <xf numFmtId="165" fontId="48" fillId="12" borderId="15" xfId="0" applyNumberFormat="1" applyFont="1" applyFill="1" applyBorder="1" applyAlignment="1">
      <alignment horizontal="center" vertical="center" wrapText="1"/>
    </xf>
    <xf numFmtId="0" fontId="55" fillId="0" borderId="15" xfId="0" applyFont="1" applyBorder="1" applyAlignment="1">
      <alignment horizontal="center" vertical="center" wrapText="1"/>
    </xf>
    <xf numFmtId="0" fontId="55" fillId="0" borderId="15" xfId="0" applyFont="1" applyBorder="1" applyAlignment="1">
      <alignment vertical="center" wrapText="1"/>
    </xf>
    <xf numFmtId="166" fontId="55" fillId="0" borderId="15" xfId="0" applyNumberFormat="1" applyFont="1" applyBorder="1" applyAlignment="1">
      <alignment horizontal="center" vertical="center" wrapText="1"/>
    </xf>
    <xf numFmtId="0" fontId="55" fillId="0" borderId="20" xfId="0" applyFont="1" applyBorder="1" applyAlignment="1">
      <alignment vertical="center" wrapText="1"/>
    </xf>
    <xf numFmtId="165" fontId="48" fillId="0" borderId="20" xfId="0" applyNumberFormat="1" applyFont="1" applyBorder="1" applyAlignment="1">
      <alignment horizontal="center" vertical="center" wrapText="1"/>
    </xf>
    <xf numFmtId="49" fontId="27" fillId="17" borderId="15" xfId="0" applyNumberFormat="1" applyFont="1" applyFill="1" applyBorder="1" applyAlignment="1">
      <alignment horizontal="center" vertical="center" wrapText="1"/>
    </xf>
    <xf numFmtId="49" fontId="27" fillId="17" borderId="15" xfId="0" applyNumberFormat="1" applyFont="1" applyFill="1" applyBorder="1" applyAlignment="1">
      <alignment vertical="center" wrapText="1"/>
    </xf>
    <xf numFmtId="0" fontId="27" fillId="17" borderId="15" xfId="0" applyFont="1" applyFill="1" applyBorder="1" applyAlignment="1">
      <alignment vertical="center" wrapText="1"/>
    </xf>
    <xf numFmtId="0" fontId="27" fillId="17" borderId="20" xfId="0" applyFont="1" applyFill="1" applyBorder="1" applyAlignment="1">
      <alignment horizontal="center" vertical="center" wrapText="1"/>
    </xf>
    <xf numFmtId="171" fontId="27" fillId="17" borderId="20" xfId="0" applyNumberFormat="1" applyFont="1" applyFill="1" applyBorder="1" applyAlignment="1">
      <alignment horizontal="center" vertical="center" wrapText="1"/>
    </xf>
    <xf numFmtId="0" fontId="27" fillId="17" borderId="15" xfId="0" applyFont="1" applyFill="1" applyBorder="1" applyAlignment="1">
      <alignment horizontal="center" vertical="center"/>
    </xf>
    <xf numFmtId="0" fontId="27" fillId="17" borderId="15" xfId="0" applyFont="1" applyFill="1" applyBorder="1" applyAlignment="1">
      <alignment vertical="center"/>
    </xf>
    <xf numFmtId="0" fontId="27" fillId="17" borderId="22" xfId="0" applyFont="1" applyFill="1" applyBorder="1" applyAlignment="1">
      <alignment horizontal="center" vertical="center" wrapText="1"/>
    </xf>
    <xf numFmtId="171" fontId="27" fillId="17" borderId="22" xfId="0" applyNumberFormat="1" applyFont="1" applyFill="1" applyBorder="1" applyAlignment="1">
      <alignment horizontal="center" vertical="center" wrapText="1"/>
    </xf>
    <xf numFmtId="0" fontId="60" fillId="0" borderId="15" xfId="0" applyFont="1" applyBorder="1" applyAlignment="1">
      <alignment horizontal="center"/>
    </xf>
    <xf numFmtId="0" fontId="60" fillId="0" borderId="15" xfId="0" applyFont="1" applyBorder="1"/>
    <xf numFmtId="4" fontId="40" fillId="0" borderId="15" xfId="0" applyNumberFormat="1" applyFont="1" applyBorder="1" applyAlignment="1">
      <alignment horizontal="center"/>
    </xf>
    <xf numFmtId="2" fontId="60" fillId="15" borderId="15" xfId="0" applyNumberFormat="1" applyFont="1" applyFill="1" applyBorder="1" applyAlignment="1">
      <alignment horizontal="center"/>
    </xf>
    <xf numFmtId="171" fontId="60" fillId="0" borderId="15" xfId="0" applyNumberFormat="1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0" xfId="0" applyFont="1"/>
    <xf numFmtId="0" fontId="60" fillId="0" borderId="0" xfId="0" applyFont="1" applyAlignment="1">
      <alignment wrapText="1"/>
    </xf>
    <xf numFmtId="9" fontId="60" fillId="0" borderId="0" xfId="0" applyNumberFormat="1" applyFont="1" applyAlignment="1">
      <alignment horizontal="center"/>
    </xf>
    <xf numFmtId="9" fontId="47" fillId="0" borderId="0" xfId="0" applyNumberFormat="1" applyFont="1" applyAlignment="1">
      <alignment horizontal="center"/>
    </xf>
    <xf numFmtId="0" fontId="34" fillId="0" borderId="22" xfId="0" applyFont="1" applyBorder="1"/>
    <xf numFmtId="0" fontId="31" fillId="18" borderId="3" xfId="2" applyFont="1" applyFill="1" applyBorder="1" applyAlignment="1" applyProtection="1">
      <alignment horizontal="center" vertical="center" wrapText="1"/>
      <protection locked="0"/>
    </xf>
    <xf numFmtId="0" fontId="18" fillId="18" borderId="3" xfId="2" applyFont="1" applyFill="1" applyBorder="1" applyAlignment="1" applyProtection="1">
      <alignment horizontal="center" vertical="center" wrapText="1"/>
      <protection locked="0"/>
    </xf>
    <xf numFmtId="43" fontId="18" fillId="19" borderId="3" xfId="10" applyFont="1" applyFill="1" applyBorder="1" applyAlignment="1" applyProtection="1">
      <alignment horizontal="right" vertical="center" wrapText="1"/>
      <protection locked="0"/>
    </xf>
    <xf numFmtId="43" fontId="18" fillId="19" borderId="3" xfId="10" applyFont="1" applyFill="1" applyBorder="1" applyAlignment="1" applyProtection="1">
      <alignment vertical="center" wrapText="1"/>
      <protection locked="0"/>
    </xf>
    <xf numFmtId="0" fontId="18" fillId="11" borderId="3" xfId="2" applyFont="1" applyFill="1" applyBorder="1" applyAlignment="1" applyProtection="1">
      <alignment horizontal="center" vertical="center" wrapText="1"/>
      <protection locked="0"/>
    </xf>
    <xf numFmtId="165" fontId="18" fillId="19" borderId="3" xfId="13" applyFont="1" applyFill="1" applyBorder="1" applyAlignment="1" applyProtection="1">
      <alignment horizontal="right" vertical="center" wrapText="1"/>
      <protection locked="0"/>
    </xf>
    <xf numFmtId="0" fontId="23" fillId="18" borderId="3" xfId="2" applyFont="1" applyFill="1" applyBorder="1" applyAlignment="1" applyProtection="1">
      <alignment horizontal="center" vertical="center" wrapText="1"/>
      <protection locked="0"/>
    </xf>
    <xf numFmtId="0" fontId="51" fillId="18" borderId="15" xfId="0" applyFont="1" applyFill="1" applyBorder="1" applyAlignment="1">
      <alignment horizontal="center" vertical="center" wrapText="1"/>
    </xf>
    <xf numFmtId="0" fontId="17" fillId="20" borderId="3" xfId="2" applyFont="1" applyFill="1" applyBorder="1" applyAlignment="1" applyProtection="1">
      <alignment horizontal="center" vertical="center" wrapText="1"/>
      <protection hidden="1"/>
    </xf>
    <xf numFmtId="0" fontId="50" fillId="20" borderId="15" xfId="0" applyFont="1" applyFill="1" applyBorder="1" applyAlignment="1">
      <alignment horizontal="center" vertical="center" wrapText="1"/>
    </xf>
    <xf numFmtId="43" fontId="51" fillId="18" borderId="15" xfId="0" applyNumberFormat="1" applyFont="1" applyFill="1" applyBorder="1" applyAlignment="1">
      <alignment horizontal="center" vertical="center" wrapText="1"/>
    </xf>
    <xf numFmtId="43" fontId="51" fillId="11" borderId="15" xfId="0" applyNumberFormat="1" applyFont="1" applyFill="1" applyBorder="1" applyAlignment="1">
      <alignment horizontal="center" vertical="center" wrapText="1"/>
    </xf>
    <xf numFmtId="171" fontId="51" fillId="19" borderId="15" xfId="0" applyNumberFormat="1" applyFont="1" applyFill="1" applyBorder="1" applyAlignment="1">
      <alignment horizontal="right" vertical="center" wrapText="1"/>
    </xf>
    <xf numFmtId="0" fontId="51" fillId="11" borderId="15" xfId="0" applyFont="1" applyFill="1" applyBorder="1" applyAlignment="1">
      <alignment horizontal="center" vertical="center" wrapText="1"/>
    </xf>
    <xf numFmtId="171" fontId="51" fillId="9" borderId="15" xfId="0" applyNumberFormat="1" applyFont="1" applyFill="1" applyBorder="1" applyAlignment="1">
      <alignment horizontal="right" vertical="center" wrapText="1"/>
    </xf>
    <xf numFmtId="171" fontId="51" fillId="11" borderId="15" xfId="0" applyNumberFormat="1" applyFont="1" applyFill="1" applyBorder="1" applyAlignment="1">
      <alignment horizontal="right" vertical="center" wrapText="1"/>
    </xf>
    <xf numFmtId="43" fontId="18" fillId="9" borderId="3" xfId="10" applyFont="1" applyFill="1" applyBorder="1" applyAlignment="1" applyProtection="1">
      <alignment horizontal="right" vertical="center" wrapText="1"/>
      <protection locked="0"/>
    </xf>
    <xf numFmtId="0" fontId="18" fillId="19" borderId="3" xfId="2" applyFont="1" applyFill="1" applyBorder="1" applyAlignment="1" applyProtection="1">
      <alignment horizontal="center" vertical="center" wrapText="1"/>
      <protection locked="0"/>
    </xf>
    <xf numFmtId="165" fontId="18" fillId="19" borderId="3" xfId="13" applyFont="1" applyFill="1" applyBorder="1" applyAlignment="1" applyProtection="1">
      <alignment vertical="center" wrapText="1"/>
      <protection locked="0"/>
    </xf>
    <xf numFmtId="0" fontId="51" fillId="19" borderId="15" xfId="0" applyFont="1" applyFill="1" applyBorder="1" applyAlignment="1">
      <alignment horizontal="center" vertical="center" wrapText="1"/>
    </xf>
    <xf numFmtId="0" fontId="57" fillId="5" borderId="15" xfId="0" applyFont="1" applyFill="1" applyBorder="1" applyAlignment="1">
      <alignment vertical="center" wrapText="1"/>
    </xf>
    <xf numFmtId="0" fontId="61" fillId="0" borderId="0" xfId="0" applyFont="1"/>
    <xf numFmtId="43" fontId="18" fillId="9" borderId="3" xfId="11" applyNumberFormat="1" applyFont="1" applyFill="1" applyBorder="1" applyAlignment="1" applyProtection="1">
      <alignment horizontal="right" vertical="center" wrapText="1"/>
      <protection locked="0"/>
    </xf>
    <xf numFmtId="43" fontId="18" fillId="9" borderId="3" xfId="11" applyNumberFormat="1" applyFont="1" applyFill="1" applyBorder="1" applyAlignment="1" applyProtection="1">
      <alignment vertical="center" wrapText="1"/>
      <protection locked="0"/>
    </xf>
    <xf numFmtId="43" fontId="18" fillId="9" borderId="3" xfId="10" applyFont="1" applyFill="1" applyBorder="1" applyAlignment="1" applyProtection="1">
      <alignment vertical="center" wrapText="1"/>
      <protection locked="0"/>
    </xf>
    <xf numFmtId="43" fontId="23" fillId="9" borderId="3" xfId="10" applyFont="1" applyFill="1" applyBorder="1" applyAlignment="1" applyProtection="1">
      <alignment vertical="center" wrapText="1"/>
      <protection locked="0"/>
    </xf>
    <xf numFmtId="0" fontId="61" fillId="0" borderId="0" xfId="0" applyFont="1" applyAlignment="1">
      <alignment wrapText="1"/>
    </xf>
    <xf numFmtId="43" fontId="18" fillId="11" borderId="3" xfId="10" applyFont="1" applyFill="1" applyBorder="1" applyAlignment="1" applyProtection="1">
      <alignment vertical="center" wrapText="1"/>
      <protection locked="0"/>
    </xf>
    <xf numFmtId="43" fontId="18" fillId="11" borderId="3" xfId="10" applyFont="1" applyFill="1" applyBorder="1" applyAlignment="1" applyProtection="1">
      <alignment horizontal="right" vertical="center" wrapText="1"/>
      <protection locked="0"/>
    </xf>
    <xf numFmtId="0" fontId="50" fillId="20" borderId="12" xfId="0" applyFont="1" applyFill="1" applyBorder="1" applyAlignment="1">
      <alignment horizontal="center" vertical="center" wrapText="1"/>
    </xf>
    <xf numFmtId="165" fontId="18" fillId="9" borderId="3" xfId="13" applyFont="1" applyFill="1" applyBorder="1" applyAlignment="1" applyProtection="1">
      <alignment horizontal="right" vertical="center" wrapText="1"/>
      <protection locked="0"/>
    </xf>
    <xf numFmtId="165" fontId="18" fillId="9" borderId="3" xfId="13" applyFont="1" applyFill="1" applyBorder="1" applyAlignment="1" applyProtection="1">
      <alignment vertical="center" wrapText="1"/>
      <protection locked="0"/>
    </xf>
    <xf numFmtId="43" fontId="23" fillId="9" borderId="3" xfId="10" applyFont="1" applyFill="1" applyBorder="1" applyAlignment="1" applyProtection="1">
      <alignment horizontal="right" vertical="center" wrapText="1"/>
      <protection locked="0"/>
    </xf>
    <xf numFmtId="0" fontId="31" fillId="5" borderId="3" xfId="2" applyFont="1" applyFill="1" applyBorder="1" applyAlignment="1" applyProtection="1">
      <alignment horizontal="center" vertical="center" wrapText="1"/>
      <protection locked="0"/>
    </xf>
    <xf numFmtId="0" fontId="23" fillId="5" borderId="3" xfId="2" applyFont="1" applyFill="1" applyBorder="1" applyAlignment="1" applyProtection="1">
      <alignment horizontal="center" vertical="center" wrapText="1"/>
      <protection locked="0"/>
    </xf>
    <xf numFmtId="0" fontId="30" fillId="5" borderId="0" xfId="0" applyFont="1" applyFill="1" applyAlignment="1">
      <alignment wrapText="1"/>
    </xf>
    <xf numFmtId="43" fontId="30" fillId="0" borderId="0" xfId="0" applyNumberFormat="1" applyFont="1" applyAlignment="1">
      <alignment wrapText="1"/>
    </xf>
    <xf numFmtId="165" fontId="15" fillId="0" borderId="20" xfId="0" applyNumberFormat="1" applyFont="1" applyBorder="1" applyAlignment="1">
      <alignment horizontal="center" vertical="center" wrapText="1"/>
    </xf>
    <xf numFmtId="0" fontId="21" fillId="0" borderId="20" xfId="0" applyFont="1" applyBorder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166" fontId="21" fillId="0" borderId="15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 wrapText="1"/>
    </xf>
    <xf numFmtId="165" fontId="15" fillId="12" borderId="15" xfId="0" applyNumberFormat="1" applyFont="1" applyFill="1" applyBorder="1" applyAlignment="1">
      <alignment horizontal="center" vertical="center" wrapText="1"/>
    </xf>
    <xf numFmtId="0" fontId="21" fillId="12" borderId="14" xfId="0" applyFont="1" applyFill="1" applyBorder="1" applyAlignment="1">
      <alignment horizontal="center" vertical="center" wrapText="1"/>
    </xf>
    <xf numFmtId="2" fontId="51" fillId="19" borderId="15" xfId="0" applyNumberFormat="1" applyFont="1" applyFill="1" applyBorder="1" applyAlignment="1">
      <alignment horizontal="center" vertical="center" wrapText="1"/>
    </xf>
    <xf numFmtId="0" fontId="50" fillId="5" borderId="15" xfId="0" applyFont="1" applyFill="1" applyBorder="1" applyAlignment="1">
      <alignment vertical="center" wrapText="1"/>
    </xf>
    <xf numFmtId="0" fontId="19" fillId="12" borderId="15" xfId="0" applyFont="1" applyFill="1" applyBorder="1" applyAlignment="1">
      <alignment horizontal="center" vertical="center" wrapText="1"/>
    </xf>
    <xf numFmtId="0" fontId="19" fillId="12" borderId="15" xfId="0" applyFont="1" applyFill="1" applyBorder="1" applyAlignment="1">
      <alignment vertical="center" wrapText="1"/>
    </xf>
    <xf numFmtId="0" fontId="19" fillId="12" borderId="20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16" borderId="12" xfId="0" applyFont="1" applyFill="1" applyBorder="1" applyAlignment="1">
      <alignment horizontal="center" vertical="center" wrapText="1"/>
    </xf>
    <xf numFmtId="0" fontId="21" fillId="16" borderId="15" xfId="0" applyFont="1" applyFill="1" applyBorder="1" applyAlignment="1">
      <alignment vertical="center" wrapText="1"/>
    </xf>
    <xf numFmtId="0" fontId="19" fillId="15" borderId="15" xfId="0" applyFont="1" applyFill="1" applyBorder="1" applyAlignment="1">
      <alignment horizontal="center" vertical="center" wrapText="1"/>
    </xf>
    <xf numFmtId="0" fontId="19" fillId="15" borderId="21" xfId="0" applyFont="1" applyFill="1" applyBorder="1" applyAlignment="1">
      <alignment horizontal="center" vertical="center" wrapText="1"/>
    </xf>
    <xf numFmtId="0" fontId="21" fillId="12" borderId="15" xfId="0" applyFont="1" applyFill="1" applyBorder="1" applyAlignment="1">
      <alignment horizontal="left" vertical="center" wrapText="1"/>
    </xf>
    <xf numFmtId="166" fontId="21" fillId="12" borderId="15" xfId="0" applyNumberFormat="1" applyFont="1" applyFill="1" applyBorder="1" applyAlignment="1">
      <alignment horizontal="center" vertical="center"/>
    </xf>
    <xf numFmtId="0" fontId="19" fillId="12" borderId="15" xfId="0" applyFont="1" applyFill="1" applyBorder="1" applyAlignment="1">
      <alignment horizontal="center" vertical="center"/>
    </xf>
    <xf numFmtId="171" fontId="16" fillId="12" borderId="15" xfId="0" applyNumberFormat="1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vertical="center"/>
    </xf>
    <xf numFmtId="0" fontId="15" fillId="12" borderId="17" xfId="0" applyFont="1" applyFill="1" applyBorder="1" applyAlignment="1">
      <alignment vertical="center"/>
    </xf>
    <xf numFmtId="0" fontId="22" fillId="5" borderId="11" xfId="2" applyFont="1" applyFill="1" applyBorder="1" applyAlignment="1" applyProtection="1">
      <alignment horizontal="center" vertical="center" textRotation="90" wrapText="1"/>
      <protection hidden="1"/>
    </xf>
    <xf numFmtId="0" fontId="10" fillId="0" borderId="3" xfId="2" applyFont="1" applyBorder="1" applyAlignment="1" applyProtection="1">
      <alignment horizontal="center" vertical="center" wrapText="1"/>
      <protection locked="0"/>
    </xf>
    <xf numFmtId="0" fontId="10" fillId="5" borderId="3" xfId="2" applyFont="1" applyFill="1" applyBorder="1" applyAlignment="1" applyProtection="1">
      <alignment horizontal="center" vertical="center" wrapText="1"/>
      <protection locked="0"/>
    </xf>
    <xf numFmtId="43" fontId="18" fillId="0" borderId="11" xfId="10" applyFont="1" applyFill="1" applyBorder="1" applyAlignment="1" applyProtection="1">
      <alignment horizontal="right" vertical="center" wrapText="1"/>
      <protection locked="0"/>
    </xf>
    <xf numFmtId="43" fontId="18" fillId="0" borderId="11" xfId="10" applyFont="1" applyFill="1" applyBorder="1" applyAlignment="1" applyProtection="1">
      <alignment vertical="center" wrapText="1"/>
      <protection locked="0"/>
    </xf>
    <xf numFmtId="4" fontId="10" fillId="0" borderId="3" xfId="2" applyNumberFormat="1" applyFont="1" applyBorder="1" applyAlignment="1" applyProtection="1">
      <alignment horizontal="center" vertical="center" wrapText="1"/>
      <protection locked="0"/>
    </xf>
    <xf numFmtId="0" fontId="17" fillId="5" borderId="1" xfId="2" applyFont="1" applyFill="1" applyBorder="1" applyAlignment="1" applyProtection="1">
      <alignment vertical="center" wrapText="1"/>
      <protection hidden="1"/>
    </xf>
    <xf numFmtId="0" fontId="17" fillId="5" borderId="2" xfId="2" applyFont="1" applyFill="1" applyBorder="1" applyAlignment="1" applyProtection="1">
      <alignment horizontal="center" vertical="center" wrapText="1"/>
      <protection hidden="1"/>
    </xf>
    <xf numFmtId="0" fontId="18" fillId="0" borderId="2" xfId="2" applyFont="1" applyBorder="1" applyAlignment="1" applyProtection="1">
      <alignment horizontal="center" vertical="center" wrapText="1"/>
      <protection locked="0"/>
    </xf>
    <xf numFmtId="0" fontId="62" fillId="0" borderId="15" xfId="0" applyFont="1" applyBorder="1" applyAlignment="1">
      <alignment horizontal="center" vertical="center" wrapText="1"/>
    </xf>
    <xf numFmtId="0" fontId="50" fillId="21" borderId="15" xfId="0" applyFont="1" applyFill="1" applyBorder="1" applyAlignment="1">
      <alignment vertical="center" wrapText="1"/>
    </xf>
    <xf numFmtId="0" fontId="22" fillId="5" borderId="3" xfId="2" applyFont="1" applyFill="1" applyBorder="1" applyAlignment="1" applyProtection="1">
      <alignment vertical="center" wrapText="1"/>
      <protection hidden="1"/>
    </xf>
    <xf numFmtId="0" fontId="19" fillId="5" borderId="9" xfId="2" applyFont="1" applyFill="1" applyBorder="1" applyAlignment="1" applyProtection="1">
      <alignment horizontal="center" vertical="center" wrapText="1"/>
      <protection hidden="1"/>
    </xf>
    <xf numFmtId="0" fontId="24" fillId="5" borderId="3" xfId="2" applyFont="1" applyFill="1" applyBorder="1" applyAlignment="1" applyProtection="1">
      <alignment horizontal="center" vertical="center" wrapText="1"/>
      <protection locked="0"/>
    </xf>
    <xf numFmtId="0" fontId="24" fillId="5" borderId="3" xfId="5" applyFont="1" applyFill="1" applyBorder="1" applyAlignment="1" applyProtection="1">
      <alignment horizontal="right" vertical="center" wrapText="1"/>
      <protection locked="0"/>
    </xf>
    <xf numFmtId="0" fontId="20" fillId="5" borderId="3" xfId="5" applyFont="1" applyFill="1" applyBorder="1" applyAlignment="1" applyProtection="1">
      <alignment vertical="center" wrapText="1"/>
      <protection locked="0"/>
    </xf>
    <xf numFmtId="165" fontId="20" fillId="5" borderId="3" xfId="9" applyFont="1" applyFill="1" applyBorder="1" applyAlignment="1" applyProtection="1">
      <alignment vertical="center" wrapText="1"/>
      <protection locked="0"/>
    </xf>
    <xf numFmtId="0" fontId="50" fillId="5" borderId="3" xfId="2" applyFont="1" applyFill="1" applyBorder="1" applyAlignment="1" applyProtection="1">
      <alignment vertical="center" wrapText="1"/>
      <protection hidden="1"/>
    </xf>
    <xf numFmtId="0" fontId="50" fillId="5" borderId="1" xfId="2" applyFont="1" applyFill="1" applyBorder="1" applyAlignment="1" applyProtection="1">
      <alignment horizontal="center" vertical="center" wrapText="1"/>
      <protection hidden="1"/>
    </xf>
    <xf numFmtId="0" fontId="19" fillId="22" borderId="20" xfId="0" applyFont="1" applyFill="1" applyBorder="1" applyAlignment="1">
      <alignment horizontal="center" vertical="center" wrapText="1"/>
    </xf>
    <xf numFmtId="0" fontId="59" fillId="22" borderId="15" xfId="0" applyFont="1" applyFill="1" applyBorder="1" applyAlignment="1">
      <alignment horizontal="center" vertical="center" wrapText="1"/>
    </xf>
    <xf numFmtId="0" fontId="59" fillId="22" borderId="15" xfId="0" applyFont="1" applyFill="1" applyBorder="1" applyAlignment="1">
      <alignment horizontal="right" vertical="center" wrapText="1"/>
    </xf>
    <xf numFmtId="0" fontId="54" fillId="22" borderId="15" xfId="0" applyFont="1" applyFill="1" applyBorder="1" applyAlignment="1">
      <alignment vertical="center" wrapText="1"/>
    </xf>
    <xf numFmtId="165" fontId="54" fillId="22" borderId="15" xfId="0" applyNumberFormat="1" applyFont="1" applyFill="1" applyBorder="1" applyAlignment="1">
      <alignment vertical="center" wrapText="1"/>
    </xf>
    <xf numFmtId="0" fontId="28" fillId="0" borderId="3" xfId="2" applyFont="1" applyBorder="1" applyAlignment="1" applyProtection="1">
      <alignment vertical="center" wrapText="1"/>
      <protection hidden="1"/>
    </xf>
    <xf numFmtId="0" fontId="28" fillId="5" borderId="3" xfId="2" applyFont="1" applyFill="1" applyBorder="1" applyAlignment="1" applyProtection="1">
      <alignment horizontal="center" vertical="center"/>
      <protection hidden="1"/>
    </xf>
    <xf numFmtId="0" fontId="28" fillId="0" borderId="3" xfId="2" applyFont="1" applyBorder="1" applyAlignment="1" applyProtection="1">
      <alignment vertical="center" wrapText="1"/>
      <protection locked="0" hidden="1"/>
    </xf>
    <xf numFmtId="0" fontId="28" fillId="0" borderId="3" xfId="2" applyFont="1" applyBorder="1" applyAlignment="1" applyProtection="1">
      <alignment horizontal="center" vertical="center"/>
      <protection hidden="1"/>
    </xf>
    <xf numFmtId="0" fontId="28" fillId="0" borderId="3" xfId="2" applyFont="1" applyBorder="1" applyAlignment="1" applyProtection="1">
      <alignment horizontal="center" vertical="center"/>
      <protection locked="0" hidden="1"/>
    </xf>
    <xf numFmtId="0" fontId="27" fillId="10" borderId="3" xfId="2" applyFont="1" applyFill="1" applyBorder="1" applyAlignment="1" applyProtection="1">
      <alignment horizontal="left" vertical="center" wrapText="1"/>
      <protection hidden="1"/>
    </xf>
    <xf numFmtId="0" fontId="28" fillId="23" borderId="3" xfId="2" applyFont="1" applyFill="1" applyBorder="1" applyAlignment="1" applyProtection="1">
      <alignment horizontal="center" vertical="center"/>
      <protection hidden="1"/>
    </xf>
    <xf numFmtId="0" fontId="18" fillId="10" borderId="3" xfId="2" applyFont="1" applyFill="1" applyBorder="1" applyAlignment="1" applyProtection="1">
      <alignment horizontal="center" vertical="center" wrapText="1"/>
      <protection locked="0"/>
    </xf>
    <xf numFmtId="43" fontId="18" fillId="10" borderId="3" xfId="10" applyFont="1" applyFill="1" applyBorder="1" applyAlignment="1" applyProtection="1">
      <alignment horizontal="right" vertical="center" wrapText="1"/>
      <protection locked="0"/>
    </xf>
    <xf numFmtId="43" fontId="18" fillId="10" borderId="3" xfId="10" applyFont="1" applyFill="1" applyBorder="1" applyAlignment="1" applyProtection="1">
      <alignment vertical="center" wrapText="1"/>
      <protection locked="0"/>
    </xf>
    <xf numFmtId="165" fontId="18" fillId="10" borderId="3" xfId="9" applyFont="1" applyFill="1" applyBorder="1" applyAlignment="1" applyProtection="1">
      <alignment vertical="center" wrapText="1"/>
      <protection locked="0"/>
    </xf>
    <xf numFmtId="0" fontId="28" fillId="10" borderId="3" xfId="2" applyFont="1" applyFill="1" applyBorder="1" applyAlignment="1" applyProtection="1">
      <alignment horizontal="center" vertical="center"/>
      <protection hidden="1"/>
    </xf>
    <xf numFmtId="165" fontId="18" fillId="11" borderId="3" xfId="13" applyFont="1" applyFill="1" applyBorder="1" applyAlignment="1" applyProtection="1">
      <alignment horizontal="right" vertical="center" wrapText="1"/>
      <protection locked="0"/>
    </xf>
    <xf numFmtId="165" fontId="18" fillId="11" borderId="9" xfId="13" applyFont="1" applyFill="1" applyBorder="1" applyAlignment="1" applyProtection="1">
      <alignment vertical="center" wrapText="1"/>
      <protection locked="0"/>
    </xf>
    <xf numFmtId="165" fontId="18" fillId="11" borderId="3" xfId="13" applyFont="1" applyFill="1" applyBorder="1" applyAlignment="1" applyProtection="1">
      <alignment vertical="center" wrapText="1"/>
      <protection locked="0"/>
    </xf>
    <xf numFmtId="4" fontId="18" fillId="18" borderId="3" xfId="2" applyNumberFormat="1" applyFont="1" applyFill="1" applyBorder="1" applyAlignment="1" applyProtection="1">
      <alignment horizontal="center" vertical="center" wrapText="1"/>
      <protection locked="0"/>
    </xf>
    <xf numFmtId="171" fontId="51" fillId="5" borderId="15" xfId="0" applyNumberFormat="1" applyFont="1" applyFill="1" applyBorder="1" applyAlignment="1">
      <alignment horizontal="right" vertical="center" wrapText="1"/>
    </xf>
    <xf numFmtId="0" fontId="51" fillId="5" borderId="15" xfId="0" applyFont="1" applyFill="1" applyBorder="1" applyAlignment="1">
      <alignment horizontal="center" vertical="center" wrapText="1"/>
    </xf>
    <xf numFmtId="165" fontId="18" fillId="5" borderId="3" xfId="13" applyFont="1" applyFill="1" applyBorder="1" applyAlignment="1" applyProtection="1">
      <alignment horizontal="right" vertical="center" wrapText="1"/>
      <protection locked="0"/>
    </xf>
    <xf numFmtId="165" fontId="18" fillId="5" borderId="3" xfId="13" applyFont="1" applyFill="1" applyBorder="1" applyAlignment="1" applyProtection="1">
      <alignment vertical="center" wrapText="1"/>
      <protection locked="0"/>
    </xf>
    <xf numFmtId="0" fontId="58" fillId="18" borderId="15" xfId="0" applyFont="1" applyFill="1" applyBorder="1" applyAlignment="1">
      <alignment horizontal="center" vertical="center" wrapText="1"/>
    </xf>
    <xf numFmtId="0" fontId="17" fillId="8" borderId="3" xfId="2" applyFont="1" applyFill="1" applyBorder="1" applyAlignment="1" applyProtection="1">
      <alignment horizontal="center" vertical="center" wrapText="1"/>
      <protection hidden="1"/>
    </xf>
    <xf numFmtId="43" fontId="18" fillId="5" borderId="3" xfId="10" applyFont="1" applyFill="1" applyBorder="1" applyAlignment="1" applyProtection="1">
      <alignment vertical="center" wrapText="1"/>
      <protection locked="0"/>
    </xf>
    <xf numFmtId="43" fontId="18" fillId="19" borderId="11" xfId="10" applyFont="1" applyFill="1" applyBorder="1" applyAlignment="1" applyProtection="1">
      <alignment horizontal="right" vertical="center" wrapText="1"/>
      <protection locked="0"/>
    </xf>
    <xf numFmtId="43" fontId="18" fillId="19" borderId="11" xfId="10" applyFont="1" applyFill="1" applyBorder="1" applyAlignment="1" applyProtection="1">
      <alignment vertical="center" wrapText="1"/>
      <protection locked="0"/>
    </xf>
    <xf numFmtId="0" fontId="59" fillId="24" borderId="15" xfId="0" applyFont="1" applyFill="1" applyBorder="1" applyAlignment="1">
      <alignment horizontal="right" vertical="center" wrapText="1"/>
    </xf>
    <xf numFmtId="0" fontId="54" fillId="24" borderId="15" xfId="0" applyFont="1" applyFill="1" applyBorder="1" applyAlignment="1">
      <alignment vertical="center" wrapText="1"/>
    </xf>
    <xf numFmtId="0" fontId="24" fillId="19" borderId="3" xfId="5" applyFont="1" applyFill="1" applyBorder="1" applyAlignment="1" applyProtection="1">
      <alignment horizontal="right" vertical="center" wrapText="1"/>
      <protection locked="0"/>
    </xf>
    <xf numFmtId="0" fontId="20" fillId="19" borderId="3" xfId="5" applyFont="1" applyFill="1" applyBorder="1" applyAlignment="1" applyProtection="1">
      <alignment vertical="center" wrapText="1"/>
      <protection locked="0"/>
    </xf>
    <xf numFmtId="0" fontId="19" fillId="5" borderId="9" xfId="2" quotePrefix="1" applyFont="1" applyFill="1" applyBorder="1" applyAlignment="1" applyProtection="1">
      <alignment horizontal="center" vertical="center" wrapText="1"/>
      <protection hidden="1"/>
    </xf>
    <xf numFmtId="0" fontId="19" fillId="5" borderId="3" xfId="2" applyFont="1" applyFill="1" applyBorder="1" applyAlignment="1" applyProtection="1">
      <alignment vertical="center" wrapText="1"/>
      <protection hidden="1"/>
    </xf>
    <xf numFmtId="0" fontId="19" fillId="5" borderId="1" xfId="2" applyFont="1" applyFill="1" applyBorder="1" applyAlignment="1" applyProtection="1">
      <alignment horizontal="center" vertical="center" wrapText="1"/>
      <protection hidden="1"/>
    </xf>
    <xf numFmtId="0" fontId="0" fillId="5" borderId="0" xfId="0" applyFill="1"/>
    <xf numFmtId="0" fontId="19" fillId="22" borderId="15" xfId="0" applyFont="1" applyFill="1" applyBorder="1" applyAlignment="1">
      <alignment horizontal="center" vertical="center" wrapText="1"/>
    </xf>
    <xf numFmtId="0" fontId="19" fillId="22" borderId="15" xfId="0" applyFont="1" applyFill="1" applyBorder="1" applyAlignment="1">
      <alignment vertical="center" wrapText="1"/>
    </xf>
    <xf numFmtId="0" fontId="19" fillId="22" borderId="1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2" fontId="51" fillId="5" borderId="15" xfId="0" applyNumberFormat="1" applyFont="1" applyFill="1" applyBorder="1" applyAlignment="1">
      <alignment horizontal="center" vertical="center" wrapText="1"/>
    </xf>
    <xf numFmtId="0" fontId="64" fillId="0" borderId="0" xfId="0" applyFont="1"/>
    <xf numFmtId="0" fontId="61" fillId="0" borderId="0" xfId="0" applyFont="1" applyAlignment="1">
      <alignment vertical="center" wrapText="1"/>
    </xf>
    <xf numFmtId="0" fontId="17" fillId="0" borderId="9" xfId="2" applyFont="1" applyBorder="1" applyAlignment="1" applyProtection="1">
      <alignment horizontal="center" vertical="center"/>
      <protection hidden="1"/>
    </xf>
    <xf numFmtId="0" fontId="22" fillId="5" borderId="11" xfId="2" applyFont="1" applyFill="1" applyBorder="1" applyAlignment="1" applyProtection="1">
      <alignment horizontal="center" vertical="center" textRotation="90"/>
      <protection hidden="1"/>
    </xf>
    <xf numFmtId="0" fontId="17" fillId="0" borderId="3" xfId="2" applyFont="1" applyBorder="1" applyAlignment="1" applyProtection="1">
      <alignment horizontal="center" vertical="center"/>
      <protection hidden="1"/>
    </xf>
    <xf numFmtId="0" fontId="17" fillId="5" borderId="3" xfId="2" applyFont="1" applyFill="1" applyBorder="1" applyAlignment="1" applyProtection="1">
      <alignment vertical="center"/>
      <protection hidden="1"/>
    </xf>
    <xf numFmtId="165" fontId="18" fillId="0" borderId="3" xfId="9" applyFont="1" applyFill="1" applyBorder="1" applyAlignment="1" applyProtection="1">
      <alignment vertical="center"/>
      <protection locked="0"/>
    </xf>
    <xf numFmtId="0" fontId="30" fillId="0" borderId="0" xfId="0" applyFont="1"/>
    <xf numFmtId="165" fontId="65" fillId="4" borderId="3" xfId="1" applyFont="1" applyFill="1" applyBorder="1" applyAlignment="1" applyProtection="1">
      <alignment horizontal="center" vertical="center"/>
      <protection hidden="1"/>
    </xf>
    <xf numFmtId="0" fontId="22" fillId="0" borderId="1" xfId="2" applyFont="1" applyBorder="1" applyAlignment="1" applyProtection="1">
      <alignment horizontal="center" vertical="center" wrapText="1"/>
      <protection hidden="1"/>
    </xf>
    <xf numFmtId="165" fontId="10" fillId="0" borderId="3" xfId="9" applyFont="1" applyFill="1" applyBorder="1" applyAlignment="1" applyProtection="1">
      <alignment vertical="center" wrapText="1"/>
      <protection locked="0"/>
    </xf>
    <xf numFmtId="173" fontId="18" fillId="5" borderId="3" xfId="5" applyNumberFormat="1" applyFont="1" applyFill="1" applyBorder="1" applyAlignment="1" applyProtection="1">
      <alignment horizontal="right" vertical="center" wrapText="1"/>
      <protection locked="0"/>
    </xf>
    <xf numFmtId="0" fontId="10" fillId="5" borderId="3" xfId="5" applyFont="1" applyFill="1" applyBorder="1" applyAlignment="1" applyProtection="1">
      <alignment vertical="center" wrapText="1"/>
      <protection locked="0"/>
    </xf>
    <xf numFmtId="0" fontId="4" fillId="0" borderId="0" xfId="2" applyAlignment="1">
      <alignment wrapText="1"/>
    </xf>
    <xf numFmtId="0" fontId="28" fillId="0" borderId="3" xfId="2" applyFont="1" applyBorder="1" applyAlignment="1" applyProtection="1">
      <alignment wrapText="1"/>
      <protection locked="0"/>
    </xf>
    <xf numFmtId="43" fontId="18" fillId="5" borderId="3" xfId="10" applyFont="1" applyFill="1" applyBorder="1" applyAlignment="1" applyProtection="1">
      <alignment vertical="center"/>
      <protection locked="0"/>
    </xf>
    <xf numFmtId="43" fontId="18" fillId="5" borderId="3" xfId="10" applyFont="1" applyFill="1" applyBorder="1" applyAlignment="1" applyProtection="1">
      <alignment horizontal="right" vertical="center"/>
      <protection locked="0"/>
    </xf>
    <xf numFmtId="0" fontId="18" fillId="5" borderId="3" xfId="5" applyFont="1" applyFill="1" applyBorder="1" applyAlignment="1" applyProtection="1">
      <alignment horizontal="right" vertical="center" wrapText="1"/>
      <protection locked="0"/>
    </xf>
    <xf numFmtId="43" fontId="18" fillId="5" borderId="3" xfId="11" applyNumberFormat="1" applyFont="1" applyFill="1" applyBorder="1" applyAlignment="1" applyProtection="1">
      <alignment vertical="center" wrapText="1"/>
      <protection locked="0"/>
    </xf>
    <xf numFmtId="43" fontId="18" fillId="5" borderId="3" xfId="12" applyNumberFormat="1" applyFont="1" applyFill="1" applyBorder="1" applyAlignment="1" applyProtection="1">
      <alignment vertical="center" wrapText="1"/>
      <protection locked="0"/>
    </xf>
    <xf numFmtId="0" fontId="1" fillId="0" borderId="0" xfId="2" applyFont="1" applyAlignment="1">
      <alignment vertical="center" wrapText="1"/>
    </xf>
    <xf numFmtId="0" fontId="1" fillId="0" borderId="0" xfId="2" applyFont="1" applyAlignment="1" applyProtection="1">
      <alignment vertical="center" wrapText="1"/>
      <protection locked="0"/>
    </xf>
    <xf numFmtId="165" fontId="18" fillId="5" borderId="3" xfId="9" applyFont="1" applyFill="1" applyBorder="1" applyAlignment="1" applyProtection="1">
      <alignment vertical="center"/>
      <protection locked="0"/>
    </xf>
    <xf numFmtId="0" fontId="18" fillId="5" borderId="3" xfId="2" applyFont="1" applyFill="1" applyBorder="1" applyAlignment="1" applyProtection="1">
      <alignment horizontal="center" vertical="center"/>
      <protection locked="0"/>
    </xf>
    <xf numFmtId="165" fontId="10" fillId="5" borderId="3" xfId="9" applyFont="1" applyFill="1" applyBorder="1" applyAlignment="1" applyProtection="1">
      <alignment vertical="center" wrapText="1"/>
      <protection locked="0"/>
    </xf>
    <xf numFmtId="43" fontId="10" fillId="5" borderId="3" xfId="10" applyFont="1" applyFill="1" applyBorder="1" applyAlignment="1" applyProtection="1">
      <alignment horizontal="right" vertical="center" wrapText="1"/>
      <protection locked="0"/>
    </xf>
    <xf numFmtId="0" fontId="61" fillId="0" borderId="0" xfId="0" applyFont="1" applyAlignment="1">
      <alignment horizontal="center" vertical="center" wrapText="1"/>
    </xf>
    <xf numFmtId="43" fontId="18" fillId="25" borderId="3" xfId="11" applyNumberFormat="1" applyFont="1" applyFill="1" applyBorder="1" applyAlignment="1" applyProtection="1">
      <alignment vertical="center" wrapText="1"/>
      <protection locked="0"/>
    </xf>
    <xf numFmtId="43" fontId="10" fillId="5" borderId="3" xfId="10" applyFont="1" applyFill="1" applyBorder="1" applyAlignment="1" applyProtection="1">
      <alignment vertical="center" wrapText="1"/>
      <protection locked="0"/>
    </xf>
    <xf numFmtId="43" fontId="18" fillId="25" borderId="3" xfId="10" applyFont="1" applyFill="1" applyBorder="1" applyAlignment="1" applyProtection="1">
      <alignment vertical="center" wrapText="1"/>
      <protection locked="0"/>
    </xf>
    <xf numFmtId="43" fontId="18" fillId="25" borderId="3" xfId="10" applyFont="1" applyFill="1" applyBorder="1" applyAlignment="1" applyProtection="1">
      <alignment horizontal="right" vertical="center" wrapText="1"/>
      <protection locked="0"/>
    </xf>
    <xf numFmtId="0" fontId="17" fillId="26" borderId="3" xfId="2" applyFont="1" applyFill="1" applyBorder="1" applyAlignment="1" applyProtection="1">
      <alignment vertical="center" wrapText="1"/>
      <protection hidden="1"/>
    </xf>
    <xf numFmtId="43" fontId="10" fillId="26" borderId="3" xfId="10" applyFont="1" applyFill="1" applyBorder="1" applyAlignment="1" applyProtection="1">
      <alignment horizontal="right" vertical="center" wrapText="1"/>
      <protection locked="0"/>
    </xf>
    <xf numFmtId="165" fontId="18" fillId="9" borderId="9" xfId="13" applyFont="1" applyFill="1" applyBorder="1" applyAlignment="1" applyProtection="1">
      <alignment vertical="center" wrapText="1"/>
      <protection locked="0"/>
    </xf>
    <xf numFmtId="43" fontId="10" fillId="9" borderId="3" xfId="10" applyFont="1" applyFill="1" applyBorder="1" applyAlignment="1" applyProtection="1">
      <alignment horizontal="right" vertical="center" wrapText="1"/>
      <protection locked="0"/>
    </xf>
    <xf numFmtId="43" fontId="10" fillId="9" borderId="3" xfId="11" applyNumberFormat="1" applyFont="1" applyFill="1" applyBorder="1" applyAlignment="1" applyProtection="1">
      <alignment horizontal="right" vertical="center" wrapText="1"/>
      <protection locked="0"/>
    </xf>
    <xf numFmtId="0" fontId="12" fillId="4" borderId="1" xfId="2" applyFont="1" applyFill="1" applyBorder="1" applyAlignment="1" applyProtection="1">
      <alignment horizontal="left" vertical="center" wrapText="1"/>
      <protection locked="0"/>
    </xf>
    <xf numFmtId="0" fontId="12" fillId="4" borderId="2" xfId="2" applyFont="1" applyFill="1" applyBorder="1" applyAlignment="1" applyProtection="1">
      <alignment horizontal="left" vertical="center" wrapText="1"/>
      <protection locked="0"/>
    </xf>
    <xf numFmtId="0" fontId="5" fillId="0" borderId="1" xfId="2" applyFont="1" applyBorder="1" applyAlignment="1" applyProtection="1">
      <alignment horizontal="center" vertical="center" wrapText="1"/>
      <protection locked="0"/>
    </xf>
    <xf numFmtId="0" fontId="5" fillId="0" borderId="2" xfId="2" applyFont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/>
      <protection locked="0"/>
    </xf>
    <xf numFmtId="0" fontId="7" fillId="3" borderId="1" xfId="2" applyFont="1" applyFill="1" applyBorder="1" applyAlignment="1" applyProtection="1">
      <alignment horizontal="center" vertical="center"/>
      <protection locked="0"/>
    </xf>
    <xf numFmtId="0" fontId="7" fillId="3" borderId="4" xfId="2" applyFont="1" applyFill="1" applyBorder="1" applyAlignment="1" applyProtection="1">
      <alignment horizontal="center" vertical="center"/>
      <protection locked="0"/>
    </xf>
    <xf numFmtId="0" fontId="8" fillId="4" borderId="3" xfId="2" applyFont="1" applyFill="1" applyBorder="1" applyAlignment="1" applyProtection="1">
      <alignment horizontal="center" vertical="center"/>
      <protection locked="0"/>
    </xf>
    <xf numFmtId="0" fontId="8" fillId="4" borderId="1" xfId="2" applyFont="1" applyFill="1" applyBorder="1" applyAlignment="1" applyProtection="1">
      <alignment horizontal="center" vertical="center"/>
      <protection locked="0"/>
    </xf>
    <xf numFmtId="0" fontId="8" fillId="4" borderId="4" xfId="2" applyFont="1" applyFill="1" applyBorder="1" applyAlignment="1" applyProtection="1">
      <alignment horizontal="center" vertical="center"/>
      <protection locked="0"/>
    </xf>
    <xf numFmtId="0" fontId="8" fillId="3" borderId="1" xfId="2" applyFont="1" applyFill="1" applyBorder="1" applyAlignment="1" applyProtection="1">
      <alignment horizontal="center" vertical="center"/>
      <protection locked="0"/>
    </xf>
    <xf numFmtId="0" fontId="8" fillId="3" borderId="4" xfId="2" applyFont="1" applyFill="1" applyBorder="1" applyAlignment="1" applyProtection="1">
      <alignment horizontal="center" vertical="center"/>
      <protection locked="0"/>
    </xf>
    <xf numFmtId="0" fontId="8" fillId="4" borderId="1" xfId="2" applyFont="1" applyFill="1" applyBorder="1" applyAlignment="1" applyProtection="1">
      <alignment horizontal="center" vertical="center" wrapText="1"/>
      <protection locked="0"/>
    </xf>
    <xf numFmtId="0" fontId="8" fillId="4" borderId="2" xfId="2" applyFont="1" applyFill="1" applyBorder="1" applyAlignment="1" applyProtection="1">
      <alignment horizontal="center" vertical="center" wrapText="1"/>
      <protection locked="0"/>
    </xf>
    <xf numFmtId="0" fontId="8" fillId="4" borderId="4" xfId="2" applyFont="1" applyFill="1" applyBorder="1" applyAlignment="1" applyProtection="1">
      <alignment horizontal="center" vertical="center" wrapText="1"/>
      <protection locked="0"/>
    </xf>
    <xf numFmtId="0" fontId="9" fillId="3" borderId="1" xfId="4" applyFont="1" applyFill="1" applyBorder="1" applyAlignment="1" applyProtection="1">
      <alignment horizontal="center" vertical="center" wrapText="1"/>
      <protection locked="0"/>
    </xf>
    <xf numFmtId="0" fontId="9" fillId="3" borderId="2" xfId="4" applyFont="1" applyFill="1" applyBorder="1" applyAlignment="1" applyProtection="1">
      <alignment horizontal="center" vertical="center" wrapText="1"/>
      <protection locked="0"/>
    </xf>
    <xf numFmtId="0" fontId="8" fillId="4" borderId="2" xfId="2" applyFont="1" applyFill="1" applyBorder="1" applyAlignment="1" applyProtection="1">
      <alignment horizontal="center" vertical="center"/>
      <protection locked="0"/>
    </xf>
    <xf numFmtId="0" fontId="2" fillId="2" borderId="1" xfId="5" applyFont="1" applyFill="1" applyBorder="1" applyAlignment="1" applyProtection="1">
      <alignment horizontal="center" vertical="center"/>
      <protection hidden="1"/>
    </xf>
    <xf numFmtId="0" fontId="2" fillId="2" borderId="4" xfId="5" applyFont="1" applyFill="1" applyBorder="1" applyAlignment="1" applyProtection="1">
      <alignment horizontal="center" vertical="center"/>
      <protection hidden="1"/>
    </xf>
    <xf numFmtId="0" fontId="3" fillId="2" borderId="9" xfId="6" applyFont="1" applyFill="1" applyBorder="1" applyAlignment="1">
      <alignment horizontal="center" vertical="center"/>
    </xf>
    <xf numFmtId="0" fontId="3" fillId="2" borderId="10" xfId="6" applyFont="1" applyFill="1" applyBorder="1" applyAlignment="1">
      <alignment horizontal="center" vertical="center"/>
    </xf>
    <xf numFmtId="0" fontId="3" fillId="2" borderId="11" xfId="6" applyFont="1" applyFill="1" applyBorder="1" applyAlignment="1">
      <alignment horizontal="center" vertical="center"/>
    </xf>
    <xf numFmtId="0" fontId="19" fillId="2" borderId="9" xfId="2" applyFont="1" applyFill="1" applyBorder="1" applyAlignment="1" applyProtection="1">
      <alignment horizontal="center" vertical="center"/>
      <protection hidden="1"/>
    </xf>
    <xf numFmtId="0" fontId="19" fillId="2" borderId="11" xfId="2" applyFont="1" applyFill="1" applyBorder="1" applyAlignment="1" applyProtection="1">
      <alignment horizontal="center" vertical="center"/>
      <protection hidden="1"/>
    </xf>
    <xf numFmtId="0" fontId="19" fillId="2" borderId="9" xfId="2" applyFont="1" applyFill="1" applyBorder="1" applyAlignment="1" applyProtection="1">
      <alignment horizontal="center" vertical="center" wrapText="1"/>
      <protection hidden="1"/>
    </xf>
    <xf numFmtId="0" fontId="19" fillId="2" borderId="11" xfId="2" applyFont="1" applyFill="1" applyBorder="1" applyAlignment="1" applyProtection="1">
      <alignment horizontal="center" vertical="center" wrapText="1"/>
      <protection hidden="1"/>
    </xf>
    <xf numFmtId="44" fontId="19" fillId="2" borderId="9" xfId="8" applyFont="1" applyFill="1" applyBorder="1" applyAlignment="1" applyProtection="1">
      <alignment horizontal="center" vertical="center"/>
      <protection hidden="1"/>
    </xf>
    <xf numFmtId="44" fontId="19" fillId="2" borderId="10" xfId="8" applyFont="1" applyFill="1" applyBorder="1" applyAlignment="1" applyProtection="1">
      <alignment horizontal="center" vertical="center"/>
      <protection hidden="1"/>
    </xf>
    <xf numFmtId="0" fontId="22" fillId="0" borderId="9" xfId="2" applyFont="1" applyBorder="1" applyAlignment="1" applyProtection="1">
      <alignment horizontal="center" vertical="center" textRotation="90" wrapText="1"/>
      <protection hidden="1"/>
    </xf>
    <xf numFmtId="0" fontId="22" fillId="0" borderId="10" xfId="2" applyFont="1" applyBorder="1" applyAlignment="1" applyProtection="1">
      <alignment horizontal="center" vertical="center" textRotation="90" wrapText="1"/>
      <protection hidden="1"/>
    </xf>
    <xf numFmtId="0" fontId="22" fillId="0" borderId="11" xfId="2" applyFont="1" applyBorder="1" applyAlignment="1" applyProtection="1">
      <alignment horizontal="center" vertical="center" textRotation="90" wrapText="1"/>
      <protection hidden="1"/>
    </xf>
    <xf numFmtId="0" fontId="20" fillId="2" borderId="9" xfId="2" applyFont="1" applyFill="1" applyBorder="1" applyAlignment="1" applyProtection="1">
      <alignment horizontal="center" vertical="center"/>
      <protection hidden="1"/>
    </xf>
    <xf numFmtId="0" fontId="20" fillId="2" borderId="10" xfId="2" applyFont="1" applyFill="1" applyBorder="1" applyAlignment="1" applyProtection="1">
      <alignment horizontal="center" vertical="center"/>
      <protection hidden="1"/>
    </xf>
    <xf numFmtId="0" fontId="20" fillId="2" borderId="3" xfId="5" applyFont="1" applyFill="1" applyBorder="1" applyAlignment="1" applyProtection="1">
      <alignment horizontal="center" vertical="center"/>
      <protection locked="0" hidden="1"/>
    </xf>
    <xf numFmtId="0" fontId="20" fillId="2" borderId="9" xfId="5" applyFont="1" applyFill="1" applyBorder="1" applyAlignment="1" applyProtection="1">
      <alignment horizontal="center" vertical="center"/>
      <protection locked="0" hidden="1"/>
    </xf>
    <xf numFmtId="0" fontId="20" fillId="2" borderId="10" xfId="5" applyFont="1" applyFill="1" applyBorder="1" applyAlignment="1" applyProtection="1">
      <alignment horizontal="center" vertical="center"/>
      <protection locked="0" hidden="1"/>
    </xf>
    <xf numFmtId="0" fontId="46" fillId="14" borderId="12" xfId="0" applyFont="1" applyFill="1" applyBorder="1" applyAlignment="1">
      <alignment horizontal="left" vertical="center" wrapText="1"/>
    </xf>
    <xf numFmtId="0" fontId="34" fillId="0" borderId="13" xfId="0" applyFont="1" applyBorder="1"/>
    <xf numFmtId="0" fontId="15" fillId="2" borderId="6" xfId="2" applyFont="1" applyFill="1" applyBorder="1" applyAlignment="1" applyProtection="1">
      <alignment horizontal="center" vertical="center"/>
      <protection hidden="1"/>
    </xf>
    <xf numFmtId="0" fontId="15" fillId="2" borderId="7" xfId="2" applyFont="1" applyFill="1" applyBorder="1" applyAlignment="1" applyProtection="1">
      <alignment horizontal="center" vertical="center"/>
      <protection hidden="1"/>
    </xf>
    <xf numFmtId="0" fontId="22" fillId="5" borderId="9" xfId="2" applyFont="1" applyFill="1" applyBorder="1" applyAlignment="1" applyProtection="1">
      <alignment horizontal="center" vertical="center" textRotation="90" wrapText="1"/>
      <protection hidden="1"/>
    </xf>
    <xf numFmtId="0" fontId="22" fillId="5" borderId="10" xfId="2" applyFont="1" applyFill="1" applyBorder="1" applyAlignment="1" applyProtection="1">
      <alignment horizontal="center" vertical="center" textRotation="90" wrapText="1"/>
      <protection hidden="1"/>
    </xf>
    <xf numFmtId="0" fontId="22" fillId="5" borderId="11" xfId="2" applyFont="1" applyFill="1" applyBorder="1" applyAlignment="1" applyProtection="1">
      <alignment horizontal="center" vertical="center" textRotation="90" wrapText="1"/>
      <protection hidden="1"/>
    </xf>
    <xf numFmtId="0" fontId="14" fillId="4" borderId="1" xfId="2" applyFont="1" applyFill="1" applyBorder="1" applyAlignment="1" applyProtection="1">
      <alignment horizontal="left" vertical="center"/>
      <protection hidden="1"/>
    </xf>
    <xf numFmtId="0" fontId="14" fillId="4" borderId="4" xfId="2" applyFont="1" applyFill="1" applyBorder="1" applyAlignment="1" applyProtection="1">
      <alignment horizontal="left" vertical="center"/>
      <protection hidden="1"/>
    </xf>
    <xf numFmtId="0" fontId="47" fillId="14" borderId="12" xfId="0" applyFont="1" applyFill="1" applyBorder="1" applyAlignment="1">
      <alignment horizontal="left" vertical="center"/>
    </xf>
    <xf numFmtId="0" fontId="34" fillId="0" borderId="14" xfId="0" applyFont="1" applyBorder="1"/>
    <xf numFmtId="0" fontId="54" fillId="12" borderId="20" xfId="0" applyFont="1" applyFill="1" applyBorder="1" applyAlignment="1">
      <alignment horizontal="center" vertical="center"/>
    </xf>
    <xf numFmtId="0" fontId="34" fillId="0" borderId="21" xfId="0" applyFont="1" applyBorder="1"/>
    <xf numFmtId="0" fontId="54" fillId="12" borderId="12" xfId="0" applyFont="1" applyFill="1" applyBorder="1" applyAlignment="1">
      <alignment horizontal="center" vertical="center"/>
    </xf>
    <xf numFmtId="0" fontId="53" fillId="12" borderId="20" xfId="0" applyFont="1" applyFill="1" applyBorder="1" applyAlignment="1">
      <alignment horizontal="center" vertical="center"/>
    </xf>
    <xf numFmtId="0" fontId="34" fillId="0" borderId="22" xfId="0" applyFont="1" applyBorder="1"/>
    <xf numFmtId="0" fontId="21" fillId="12" borderId="12" xfId="0" applyFont="1" applyFill="1" applyBorder="1" applyAlignment="1">
      <alignment horizontal="center" vertical="center" wrapText="1"/>
    </xf>
    <xf numFmtId="0" fontId="55" fillId="12" borderId="13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5" fillId="12" borderId="12" xfId="0" applyFont="1" applyFill="1" applyBorder="1" applyAlignment="1">
      <alignment horizontal="center" vertical="center"/>
    </xf>
    <xf numFmtId="0" fontId="37" fillId="13" borderId="12" xfId="0" applyFont="1" applyFill="1" applyBorder="1" applyAlignment="1">
      <alignment horizontal="center" vertical="center"/>
    </xf>
    <xf numFmtId="0" fontId="38" fillId="14" borderId="12" xfId="0" applyFont="1" applyFill="1" applyBorder="1" applyAlignment="1">
      <alignment horizontal="center" vertical="center"/>
    </xf>
    <xf numFmtId="0" fontId="39" fillId="13" borderId="12" xfId="0" applyFont="1" applyFill="1" applyBorder="1" applyAlignment="1">
      <alignment horizontal="center" vertical="center"/>
    </xf>
    <xf numFmtId="0" fontId="38" fillId="14" borderId="12" xfId="0" applyFont="1" applyFill="1" applyBorder="1" applyAlignment="1">
      <alignment horizontal="center" vertical="center" wrapText="1"/>
    </xf>
    <xf numFmtId="0" fontId="41" fillId="13" borderId="12" xfId="0" applyFont="1" applyFill="1" applyBorder="1" applyAlignment="1">
      <alignment horizontal="center" vertical="center" wrapText="1"/>
    </xf>
    <xf numFmtId="0" fontId="42" fillId="13" borderId="12" xfId="0" applyFont="1" applyFill="1" applyBorder="1" applyAlignment="1">
      <alignment horizontal="center" vertical="center" wrapText="1"/>
    </xf>
    <xf numFmtId="0" fontId="45" fillId="12" borderId="12" xfId="0" applyFont="1" applyFill="1" applyBorder="1" applyAlignment="1">
      <alignment horizontal="center" vertical="center"/>
    </xf>
    <xf numFmtId="172" fontId="53" fillId="12" borderId="20" xfId="0" applyNumberFormat="1" applyFont="1" applyFill="1" applyBorder="1" applyAlignment="1">
      <alignment horizontal="center" vertical="center"/>
    </xf>
    <xf numFmtId="0" fontId="56" fillId="0" borderId="20" xfId="0" applyFont="1" applyBorder="1" applyAlignment="1">
      <alignment horizontal="center" vertical="center" textRotation="90" wrapText="1"/>
    </xf>
    <xf numFmtId="0" fontId="56" fillId="15" borderId="20" xfId="0" applyFont="1" applyFill="1" applyBorder="1" applyAlignment="1">
      <alignment horizontal="center" vertical="center" textRotation="90" wrapText="1"/>
    </xf>
    <xf numFmtId="0" fontId="48" fillId="12" borderId="17" xfId="0" applyFont="1" applyFill="1" applyBorder="1" applyAlignment="1">
      <alignment horizontal="center" vertical="center"/>
    </xf>
    <xf numFmtId="0" fontId="34" fillId="0" borderId="17" xfId="0" applyFont="1" applyBorder="1"/>
    <xf numFmtId="0" fontId="52" fillId="12" borderId="20" xfId="0" applyFont="1" applyFill="1" applyBorder="1" applyAlignment="1">
      <alignment horizontal="center" vertical="center"/>
    </xf>
    <xf numFmtId="0" fontId="53" fillId="12" borderId="20" xfId="0" applyFont="1" applyFill="1" applyBorder="1" applyAlignment="1">
      <alignment horizontal="center" vertical="center" wrapText="1"/>
    </xf>
    <xf numFmtId="0" fontId="56" fillId="0" borderId="21" xfId="0" applyFont="1" applyBorder="1" applyAlignment="1">
      <alignment horizontal="center" vertical="center" textRotation="90" wrapText="1"/>
    </xf>
    <xf numFmtId="0" fontId="21" fillId="12" borderId="13" xfId="0" applyFont="1" applyFill="1" applyBorder="1" applyAlignment="1">
      <alignment horizontal="center" vertical="center" wrapText="1"/>
    </xf>
    <xf numFmtId="172" fontId="19" fillId="12" borderId="20" xfId="0" applyNumberFormat="1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/>
    </xf>
    <xf numFmtId="0" fontId="38" fillId="13" borderId="12" xfId="0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wrapText="1"/>
    </xf>
  </cellXfs>
  <cellStyles count="16">
    <cellStyle name="Comma 2 2" xfId="7" xr:uid="{00000000-0005-0000-0000-000000000000}"/>
    <cellStyle name="Moeda 2" xfId="14" xr:uid="{00000000-0005-0000-0000-000001000000}"/>
    <cellStyle name="Moeda 3 2 2" xfId="8" xr:uid="{00000000-0005-0000-0000-000002000000}"/>
    <cellStyle name="Normal" xfId="0" builtinId="0"/>
    <cellStyle name="Normal 2 2" xfId="2" xr:uid="{00000000-0005-0000-0000-000004000000}"/>
    <cellStyle name="Normal 2 2 2" xfId="4" xr:uid="{00000000-0005-0000-0000-000005000000}"/>
    <cellStyle name="Normal 3" xfId="6" xr:uid="{00000000-0005-0000-0000-000006000000}"/>
    <cellStyle name="Porcentagem 2" xfId="15" xr:uid="{00000000-0005-0000-0000-000007000000}"/>
    <cellStyle name="Separador de milhares 2 2 2 3" xfId="11" xr:uid="{00000000-0005-0000-0000-000008000000}"/>
    <cellStyle name="Separador de milhares 2 2 3" xfId="13" xr:uid="{00000000-0005-0000-0000-000009000000}"/>
    <cellStyle name="Separador de milhares 2 2 3 3" xfId="10" xr:uid="{00000000-0005-0000-0000-00000A000000}"/>
    <cellStyle name="Separador de milhares 2 2 4" xfId="12" xr:uid="{00000000-0005-0000-0000-00000B000000}"/>
    <cellStyle name="Separador de milhares 2 3" xfId="5" xr:uid="{00000000-0005-0000-0000-00000C000000}"/>
    <cellStyle name="Vírgula" xfId="1" builtinId="3"/>
    <cellStyle name="Vírgula 2 2" xfId="3" xr:uid="{00000000-0005-0000-0000-00000E000000}"/>
    <cellStyle name="Vírgula 3" xfId="9" xr:uid="{00000000-0005-0000-0000-00000F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3"/>
  <sheetViews>
    <sheetView showGridLines="0" topLeftCell="I49" zoomScale="70" zoomScaleNormal="70" workbookViewId="0">
      <selection activeCell="A58" sqref="A58:XFD58"/>
    </sheetView>
  </sheetViews>
  <sheetFormatPr defaultColWidth="8.81640625" defaultRowHeight="14.5" x14ac:dyDescent="0.35"/>
  <cols>
    <col min="1" max="1" width="9.1796875" style="15" customWidth="1"/>
    <col min="2" max="3" width="9.1796875" style="1" customWidth="1"/>
    <col min="4" max="4" width="93.7265625" style="1" customWidth="1"/>
    <col min="5" max="5" width="10.453125" style="1" bestFit="1" customWidth="1"/>
    <col min="6" max="6" width="9.26953125" style="1" customWidth="1"/>
    <col min="7" max="7" width="13.81640625" style="1" customWidth="1"/>
    <col min="8" max="8" width="12.453125" style="1" bestFit="1" customWidth="1"/>
    <col min="9" max="9" width="19.81640625" style="1" customWidth="1"/>
    <col min="10" max="10" width="14.453125" style="109" customWidth="1"/>
    <col min="11" max="12" width="8.81640625" customWidth="1"/>
    <col min="13" max="15" width="9.1796875" customWidth="1"/>
    <col min="16" max="16" width="107.453125" customWidth="1"/>
    <col min="17" max="17" width="10.453125" customWidth="1"/>
    <col min="18" max="18" width="11.453125" customWidth="1"/>
    <col min="19" max="19" width="11" customWidth="1"/>
    <col min="20" max="20" width="12.453125" customWidth="1"/>
    <col min="21" max="21" width="21.26953125" customWidth="1"/>
    <col min="22" max="22" width="8.81640625" customWidth="1"/>
    <col min="23" max="23" width="6.1796875" style="122" customWidth="1"/>
    <col min="24" max="24" width="16.81640625" customWidth="1"/>
    <col min="25" max="25" width="8.81640625" customWidth="1"/>
  </cols>
  <sheetData>
    <row r="1" spans="1:23" ht="21" x14ac:dyDescent="0.35">
      <c r="A1" s="382"/>
      <c r="B1" s="383"/>
      <c r="C1" s="383"/>
      <c r="D1" s="383"/>
      <c r="E1" s="383"/>
      <c r="F1" s="383"/>
      <c r="G1" s="383"/>
      <c r="H1" s="383"/>
      <c r="I1" s="383"/>
      <c r="M1" s="435"/>
      <c r="N1" s="418"/>
      <c r="O1" s="418"/>
      <c r="P1" s="418"/>
      <c r="Q1" s="418"/>
      <c r="R1" s="418"/>
      <c r="S1" s="418"/>
      <c r="T1" s="418"/>
      <c r="U1" s="418"/>
    </row>
    <row r="2" spans="1:23" ht="32" x14ac:dyDescent="0.35">
      <c r="A2" s="384" t="s">
        <v>0</v>
      </c>
      <c r="B2" s="384"/>
      <c r="C2" s="384"/>
      <c r="D2" s="384"/>
      <c r="E2" s="2" t="s">
        <v>1</v>
      </c>
      <c r="F2" s="2" t="s">
        <v>2</v>
      </c>
      <c r="G2" s="2" t="s">
        <v>3</v>
      </c>
      <c r="H2" s="3" t="s">
        <v>4</v>
      </c>
      <c r="I2" s="3" t="s">
        <v>5</v>
      </c>
      <c r="M2" s="436" t="s">
        <v>0</v>
      </c>
      <c r="N2" s="418"/>
      <c r="O2" s="418"/>
      <c r="P2" s="427"/>
      <c r="Q2" s="123" t="s">
        <v>1</v>
      </c>
      <c r="R2" s="123" t="s">
        <v>2</v>
      </c>
      <c r="S2" s="123" t="s">
        <v>3</v>
      </c>
      <c r="T2" s="124" t="s">
        <v>4</v>
      </c>
      <c r="U2" s="124" t="s">
        <v>5</v>
      </c>
      <c r="W2" s="125"/>
    </row>
    <row r="3" spans="1:23" ht="18.5" x14ac:dyDescent="0.35">
      <c r="A3" s="385" t="s">
        <v>224</v>
      </c>
      <c r="B3" s="386"/>
      <c r="C3" s="387" t="s">
        <v>225</v>
      </c>
      <c r="D3" s="387"/>
      <c r="E3" s="4" t="s">
        <v>6</v>
      </c>
      <c r="F3" s="4"/>
      <c r="G3" s="5"/>
      <c r="H3" s="6">
        <v>46048</v>
      </c>
      <c r="I3" s="7">
        <v>46228</v>
      </c>
      <c r="M3" s="437" t="s">
        <v>224</v>
      </c>
      <c r="N3" s="427"/>
      <c r="O3" s="438" t="s">
        <v>225</v>
      </c>
      <c r="P3" s="427"/>
      <c r="Q3" s="126" t="s">
        <v>6</v>
      </c>
      <c r="R3" s="126"/>
      <c r="S3" s="127">
        <v>4745.76</v>
      </c>
      <c r="T3" s="128">
        <v>46048</v>
      </c>
      <c r="U3" s="129">
        <v>46228</v>
      </c>
      <c r="W3" s="125"/>
    </row>
    <row r="4" spans="1:23" ht="16" x14ac:dyDescent="0.35">
      <c r="A4" s="388" t="s">
        <v>7</v>
      </c>
      <c r="B4" s="389"/>
      <c r="C4" s="390"/>
      <c r="D4" s="391"/>
      <c r="E4" s="392" t="s">
        <v>8</v>
      </c>
      <c r="F4" s="393"/>
      <c r="G4" s="394"/>
      <c r="H4" s="8">
        <f>I3-H3</f>
        <v>180</v>
      </c>
      <c r="I4" s="9" t="s">
        <v>9</v>
      </c>
      <c r="M4" s="438" t="s">
        <v>7</v>
      </c>
      <c r="N4" s="427"/>
      <c r="O4" s="439"/>
      <c r="P4" s="427"/>
      <c r="Q4" s="440" t="s">
        <v>8</v>
      </c>
      <c r="R4" s="418"/>
      <c r="S4" s="130"/>
      <c r="T4" s="131">
        <v>180</v>
      </c>
      <c r="U4" s="132" t="s">
        <v>9</v>
      </c>
    </row>
    <row r="5" spans="1:23" x14ac:dyDescent="0.35">
      <c r="A5" s="10"/>
      <c r="B5" s="11"/>
      <c r="C5" s="12"/>
      <c r="D5" s="11"/>
      <c r="E5" s="11"/>
      <c r="F5" s="11"/>
      <c r="G5" s="11"/>
      <c r="H5" s="11"/>
      <c r="I5" s="11"/>
      <c r="M5" s="133"/>
      <c r="N5" s="134"/>
      <c r="O5" s="134"/>
      <c r="P5" s="134"/>
      <c r="Q5" s="134"/>
      <c r="R5" s="134"/>
      <c r="S5" s="134"/>
      <c r="T5" s="134"/>
      <c r="U5" s="134"/>
    </row>
    <row r="6" spans="1:23" ht="18.5" x14ac:dyDescent="0.35">
      <c r="A6" s="392" t="s">
        <v>10</v>
      </c>
      <c r="B6" s="393"/>
      <c r="C6" s="394"/>
      <c r="D6" s="395" t="s">
        <v>297</v>
      </c>
      <c r="E6" s="396"/>
      <c r="F6" s="396"/>
      <c r="G6" s="396"/>
      <c r="H6" s="396"/>
      <c r="I6" s="396"/>
      <c r="M6" s="440" t="s">
        <v>10</v>
      </c>
      <c r="N6" s="418"/>
      <c r="O6" s="427"/>
      <c r="P6" s="441" t="s">
        <v>298</v>
      </c>
      <c r="Q6" s="418"/>
      <c r="R6" s="418"/>
      <c r="S6" s="418"/>
      <c r="T6" s="418"/>
      <c r="U6" s="418"/>
    </row>
    <row r="7" spans="1:23" ht="18.5" x14ac:dyDescent="0.35">
      <c r="A7" s="388" t="s">
        <v>11</v>
      </c>
      <c r="B7" s="397"/>
      <c r="C7" s="389"/>
      <c r="D7" s="395"/>
      <c r="E7" s="396"/>
      <c r="F7" s="396"/>
      <c r="G7" s="396"/>
      <c r="H7" s="396"/>
      <c r="I7" s="396"/>
      <c r="M7" s="438" t="s">
        <v>11</v>
      </c>
      <c r="N7" s="418"/>
      <c r="O7" s="427"/>
      <c r="P7" s="442" t="s">
        <v>299</v>
      </c>
      <c r="Q7" s="418"/>
      <c r="R7" s="418"/>
      <c r="S7" s="418"/>
      <c r="T7" s="418"/>
      <c r="U7" s="418"/>
    </row>
    <row r="8" spans="1:23" x14ac:dyDescent="0.35">
      <c r="A8" s="13"/>
      <c r="B8" s="14"/>
      <c r="C8" s="14"/>
      <c r="D8" s="14"/>
      <c r="E8" s="14"/>
      <c r="F8" s="14"/>
      <c r="G8" s="14"/>
      <c r="H8" s="14"/>
      <c r="I8" s="14"/>
      <c r="M8" s="133"/>
      <c r="N8" s="134"/>
      <c r="O8" s="134"/>
      <c r="P8" s="134"/>
      <c r="Q8" s="134"/>
      <c r="R8" s="134"/>
      <c r="S8" s="134"/>
      <c r="T8" s="134"/>
      <c r="U8" s="134"/>
    </row>
    <row r="9" spans="1:23" x14ac:dyDescent="0.35">
      <c r="C9" s="16"/>
      <c r="D9" s="398" t="s">
        <v>12</v>
      </c>
      <c r="E9" s="399"/>
      <c r="F9" s="17" t="s">
        <v>13</v>
      </c>
      <c r="G9" s="17" t="s">
        <v>14</v>
      </c>
      <c r="H9" s="17" t="s">
        <v>15</v>
      </c>
      <c r="I9" s="17" t="s">
        <v>16</v>
      </c>
      <c r="M9" s="135"/>
      <c r="N9" s="136"/>
      <c r="O9" s="137"/>
      <c r="P9" s="443" t="s">
        <v>12</v>
      </c>
      <c r="Q9" s="427"/>
      <c r="R9" s="138" t="s">
        <v>13</v>
      </c>
      <c r="S9" s="138" t="s">
        <v>14</v>
      </c>
      <c r="T9" s="138" t="s">
        <v>15</v>
      </c>
      <c r="U9" s="138" t="s">
        <v>16</v>
      </c>
    </row>
    <row r="10" spans="1:23" ht="16" x14ac:dyDescent="0.35">
      <c r="A10" s="18"/>
      <c r="B10" s="19"/>
      <c r="C10" s="19"/>
      <c r="D10" s="380" t="s">
        <v>17</v>
      </c>
      <c r="E10" s="381"/>
      <c r="F10" s="20">
        <v>810030</v>
      </c>
      <c r="G10" s="20">
        <v>10</v>
      </c>
      <c r="H10" s="20">
        <v>7317011</v>
      </c>
      <c r="I10" s="21">
        <f t="shared" ref="I10:I25" si="0">SUMIF($A$30:$A$142,F10,$I$30:$I$142)</f>
        <v>49294.104999999996</v>
      </c>
      <c r="M10" s="139"/>
      <c r="N10" s="134"/>
      <c r="O10" s="134"/>
      <c r="P10" s="417" t="s">
        <v>17</v>
      </c>
      <c r="Q10" s="418"/>
      <c r="R10" s="140">
        <v>810030</v>
      </c>
      <c r="S10" s="140">
        <v>10</v>
      </c>
      <c r="T10" s="140">
        <v>7317011</v>
      </c>
      <c r="U10" s="141">
        <f t="shared" ref="U10:U25" si="1">SUMIF($M$30:$M$133,R10,$U$30:$U$133)</f>
        <v>73040.165232151572</v>
      </c>
    </row>
    <row r="11" spans="1:23" ht="16" x14ac:dyDescent="0.35">
      <c r="A11" s="18"/>
      <c r="B11" s="19"/>
      <c r="C11" s="19"/>
      <c r="D11" s="380" t="s">
        <v>18</v>
      </c>
      <c r="E11" s="381"/>
      <c r="F11" s="20">
        <v>810031</v>
      </c>
      <c r="G11" s="20">
        <v>20</v>
      </c>
      <c r="H11" s="20">
        <v>7316000</v>
      </c>
      <c r="I11" s="21">
        <f t="shared" si="0"/>
        <v>27840</v>
      </c>
      <c r="M11" s="139"/>
      <c r="N11" s="134"/>
      <c r="O11" s="134"/>
      <c r="P11" s="417" t="s">
        <v>18</v>
      </c>
      <c r="Q11" s="418"/>
      <c r="R11" s="140">
        <v>810031</v>
      </c>
      <c r="S11" s="140">
        <v>20</v>
      </c>
      <c r="T11" s="140">
        <v>7316000</v>
      </c>
      <c r="U11" s="141">
        <f t="shared" si="1"/>
        <v>9587.1043856362048</v>
      </c>
    </row>
    <row r="12" spans="1:23" ht="16" x14ac:dyDescent="0.35">
      <c r="A12" s="18"/>
      <c r="B12" s="19"/>
      <c r="C12" s="19"/>
      <c r="D12" s="380" t="s">
        <v>19</v>
      </c>
      <c r="E12" s="381"/>
      <c r="F12" s="20">
        <v>810040</v>
      </c>
      <c r="G12" s="20">
        <v>30</v>
      </c>
      <c r="H12" s="20">
        <v>7317000</v>
      </c>
      <c r="I12" s="21">
        <f t="shared" si="0"/>
        <v>0</v>
      </c>
      <c r="M12" s="139"/>
      <c r="N12" s="134"/>
      <c r="O12" s="134"/>
      <c r="P12" s="417" t="s">
        <v>19</v>
      </c>
      <c r="Q12" s="418"/>
      <c r="R12" s="140">
        <v>810040</v>
      </c>
      <c r="S12" s="140">
        <v>30</v>
      </c>
      <c r="T12" s="140">
        <v>7317000</v>
      </c>
      <c r="U12" s="141">
        <f t="shared" si="1"/>
        <v>0</v>
      </c>
    </row>
    <row r="13" spans="1:23" ht="16" x14ac:dyDescent="0.35">
      <c r="A13" s="18"/>
      <c r="B13" s="19"/>
      <c r="C13" s="19"/>
      <c r="D13" s="380" t="s">
        <v>20</v>
      </c>
      <c r="E13" s="381"/>
      <c r="F13" s="20">
        <v>810041</v>
      </c>
      <c r="G13" s="20">
        <v>40</v>
      </c>
      <c r="H13" s="20">
        <v>7317120</v>
      </c>
      <c r="I13" s="21">
        <f t="shared" si="0"/>
        <v>494480.97499999998</v>
      </c>
      <c r="M13" s="139"/>
      <c r="N13" s="134"/>
      <c r="O13" s="134"/>
      <c r="P13" s="417" t="s">
        <v>20</v>
      </c>
      <c r="Q13" s="418"/>
      <c r="R13" s="140">
        <v>810041</v>
      </c>
      <c r="S13" s="140">
        <v>40</v>
      </c>
      <c r="T13" s="140">
        <v>7317120</v>
      </c>
      <c r="U13" s="141">
        <f t="shared" si="1"/>
        <v>677587.80917347223</v>
      </c>
    </row>
    <row r="14" spans="1:23" ht="16" x14ac:dyDescent="0.35">
      <c r="A14" s="18"/>
      <c r="B14" s="19"/>
      <c r="C14" s="19"/>
      <c r="D14" s="380" t="s">
        <v>21</v>
      </c>
      <c r="E14" s="381"/>
      <c r="F14" s="20">
        <v>810051</v>
      </c>
      <c r="G14" s="20">
        <v>50</v>
      </c>
      <c r="H14" s="20">
        <v>7317002</v>
      </c>
      <c r="I14" s="21">
        <f t="shared" si="0"/>
        <v>561907.89</v>
      </c>
      <c r="M14" s="139"/>
      <c r="N14" s="134"/>
      <c r="O14" s="134"/>
      <c r="P14" s="417" t="s">
        <v>21</v>
      </c>
      <c r="Q14" s="418"/>
      <c r="R14" s="140">
        <v>810051</v>
      </c>
      <c r="S14" s="140">
        <v>50</v>
      </c>
      <c r="T14" s="140">
        <v>7317002</v>
      </c>
      <c r="U14" s="141">
        <f t="shared" si="1"/>
        <v>718349.64459716971</v>
      </c>
    </row>
    <row r="15" spans="1:23" ht="16" x14ac:dyDescent="0.35">
      <c r="A15" s="18"/>
      <c r="B15" s="19"/>
      <c r="C15" s="19"/>
      <c r="D15" s="380" t="s">
        <v>22</v>
      </c>
      <c r="E15" s="381"/>
      <c r="F15" s="20">
        <v>810080</v>
      </c>
      <c r="G15" s="20">
        <v>60</v>
      </c>
      <c r="H15" s="20">
        <v>7361002</v>
      </c>
      <c r="I15" s="21">
        <f t="shared" si="0"/>
        <v>604725.12</v>
      </c>
      <c r="M15" s="139"/>
      <c r="N15" s="134"/>
      <c r="O15" s="134"/>
      <c r="P15" s="417" t="s">
        <v>22</v>
      </c>
      <c r="Q15" s="418"/>
      <c r="R15" s="140">
        <v>810080</v>
      </c>
      <c r="S15" s="140">
        <v>60</v>
      </c>
      <c r="T15" s="140">
        <v>7361002</v>
      </c>
      <c r="U15" s="141">
        <f t="shared" si="1"/>
        <v>756042.76060640428</v>
      </c>
    </row>
    <row r="16" spans="1:23" ht="16" x14ac:dyDescent="0.35">
      <c r="A16" s="18"/>
      <c r="B16" s="19"/>
      <c r="C16" s="19"/>
      <c r="D16" s="380" t="s">
        <v>23</v>
      </c>
      <c r="E16" s="381"/>
      <c r="F16" s="20">
        <v>810082</v>
      </c>
      <c r="G16" s="20">
        <v>70</v>
      </c>
      <c r="H16" s="20">
        <v>7318000</v>
      </c>
      <c r="I16" s="21">
        <f t="shared" si="0"/>
        <v>0</v>
      </c>
      <c r="M16" s="139"/>
      <c r="N16" s="134"/>
      <c r="O16" s="134"/>
      <c r="P16" s="417" t="s">
        <v>23</v>
      </c>
      <c r="Q16" s="418"/>
      <c r="R16" s="140">
        <v>810082</v>
      </c>
      <c r="S16" s="140">
        <v>70</v>
      </c>
      <c r="T16" s="140">
        <v>7318000</v>
      </c>
      <c r="U16" s="141">
        <f t="shared" si="1"/>
        <v>0</v>
      </c>
    </row>
    <row r="17" spans="1:21" ht="16" x14ac:dyDescent="0.35">
      <c r="A17" s="18"/>
      <c r="B17" s="19"/>
      <c r="C17" s="19"/>
      <c r="D17" s="380" t="s">
        <v>24</v>
      </c>
      <c r="E17" s="381"/>
      <c r="F17" s="20">
        <v>810100</v>
      </c>
      <c r="G17" s="20">
        <v>80</v>
      </c>
      <c r="H17" s="20">
        <v>7317012</v>
      </c>
      <c r="I17" s="21">
        <f t="shared" si="0"/>
        <v>0</v>
      </c>
      <c r="M17" s="139"/>
      <c r="N17" s="134"/>
      <c r="O17" s="134"/>
      <c r="P17" s="417" t="s">
        <v>24</v>
      </c>
      <c r="Q17" s="418"/>
      <c r="R17" s="140">
        <v>810100</v>
      </c>
      <c r="S17" s="140">
        <v>80</v>
      </c>
      <c r="T17" s="140">
        <v>7317012</v>
      </c>
      <c r="U17" s="141">
        <f t="shared" si="1"/>
        <v>0</v>
      </c>
    </row>
    <row r="18" spans="1:21" ht="16" x14ac:dyDescent="0.35">
      <c r="A18" s="18"/>
      <c r="B18" s="19"/>
      <c r="C18" s="19"/>
      <c r="D18" s="380" t="s">
        <v>25</v>
      </c>
      <c r="E18" s="381"/>
      <c r="F18" s="20">
        <v>810162</v>
      </c>
      <c r="G18" s="20">
        <v>90</v>
      </c>
      <c r="H18" s="20">
        <v>7333060</v>
      </c>
      <c r="I18" s="21">
        <f t="shared" si="0"/>
        <v>0</v>
      </c>
      <c r="M18" s="139"/>
      <c r="N18" s="134"/>
      <c r="O18" s="134"/>
      <c r="P18" s="417" t="s">
        <v>25</v>
      </c>
      <c r="Q18" s="418"/>
      <c r="R18" s="140">
        <v>810162</v>
      </c>
      <c r="S18" s="140">
        <v>90</v>
      </c>
      <c r="T18" s="140">
        <v>7333060</v>
      </c>
      <c r="U18" s="141">
        <f t="shared" si="1"/>
        <v>0</v>
      </c>
    </row>
    <row r="19" spans="1:21" ht="16" x14ac:dyDescent="0.35">
      <c r="A19" s="18"/>
      <c r="B19" s="19"/>
      <c r="C19" s="19"/>
      <c r="D19" s="380" t="s">
        <v>26</v>
      </c>
      <c r="E19" s="381"/>
      <c r="F19" s="20">
        <v>810230</v>
      </c>
      <c r="G19" s="20">
        <v>100</v>
      </c>
      <c r="H19" s="20">
        <v>7317003</v>
      </c>
      <c r="I19" s="21">
        <f t="shared" si="0"/>
        <v>8500</v>
      </c>
      <c r="M19" s="139"/>
      <c r="N19" s="134"/>
      <c r="O19" s="134"/>
      <c r="P19" s="417" t="s">
        <v>26</v>
      </c>
      <c r="Q19" s="418"/>
      <c r="R19" s="140">
        <v>810230</v>
      </c>
      <c r="S19" s="140">
        <v>100</v>
      </c>
      <c r="T19" s="140">
        <v>7317003</v>
      </c>
      <c r="U19" s="141">
        <f t="shared" si="1"/>
        <v>41044.311295785723</v>
      </c>
    </row>
    <row r="20" spans="1:21" ht="16" x14ac:dyDescent="0.35">
      <c r="A20" s="18"/>
      <c r="B20" s="19"/>
      <c r="C20" s="19"/>
      <c r="D20" s="380" t="s">
        <v>27</v>
      </c>
      <c r="E20" s="381"/>
      <c r="F20" s="20">
        <v>810250</v>
      </c>
      <c r="G20" s="20">
        <v>110</v>
      </c>
      <c r="H20" s="20">
        <v>7317010</v>
      </c>
      <c r="I20" s="21">
        <f t="shared" si="0"/>
        <v>0</v>
      </c>
      <c r="M20" s="139"/>
      <c r="N20" s="134"/>
      <c r="O20" s="134"/>
      <c r="P20" s="417" t="s">
        <v>27</v>
      </c>
      <c r="Q20" s="418"/>
      <c r="R20" s="140">
        <v>810250</v>
      </c>
      <c r="S20" s="140">
        <v>110</v>
      </c>
      <c r="T20" s="140">
        <v>7317010</v>
      </c>
      <c r="U20" s="141">
        <f t="shared" si="1"/>
        <v>0</v>
      </c>
    </row>
    <row r="21" spans="1:21" ht="16" x14ac:dyDescent="0.35">
      <c r="A21" s="18"/>
      <c r="B21" s="19"/>
      <c r="C21" s="19"/>
      <c r="D21" s="380" t="s">
        <v>28</v>
      </c>
      <c r="E21" s="381"/>
      <c r="F21" s="20">
        <v>810260</v>
      </c>
      <c r="G21" s="20">
        <v>120</v>
      </c>
      <c r="H21" s="20">
        <v>7316012</v>
      </c>
      <c r="I21" s="21">
        <f t="shared" si="0"/>
        <v>447945.50000000006</v>
      </c>
      <c r="M21" s="139"/>
      <c r="N21" s="134"/>
      <c r="O21" s="134"/>
      <c r="P21" s="417" t="s">
        <v>28</v>
      </c>
      <c r="Q21" s="418"/>
      <c r="R21" s="140">
        <v>810260</v>
      </c>
      <c r="S21" s="140">
        <v>120</v>
      </c>
      <c r="T21" s="140">
        <v>7316012</v>
      </c>
      <c r="U21" s="141">
        <f t="shared" si="1"/>
        <v>195227.37950958023</v>
      </c>
    </row>
    <row r="22" spans="1:21" ht="16" x14ac:dyDescent="0.35">
      <c r="A22" s="18"/>
      <c r="B22" s="19"/>
      <c r="C22" s="19"/>
      <c r="D22" s="380" t="s">
        <v>29</v>
      </c>
      <c r="E22" s="381"/>
      <c r="F22" s="20">
        <v>810321</v>
      </c>
      <c r="G22" s="20">
        <v>130</v>
      </c>
      <c r="H22" s="20">
        <v>7312130</v>
      </c>
      <c r="I22" s="21">
        <f t="shared" si="0"/>
        <v>0</v>
      </c>
      <c r="M22" s="139"/>
      <c r="N22" s="134"/>
      <c r="O22" s="134"/>
      <c r="P22" s="417" t="s">
        <v>29</v>
      </c>
      <c r="Q22" s="418"/>
      <c r="R22" s="140">
        <v>810321</v>
      </c>
      <c r="S22" s="140">
        <v>130</v>
      </c>
      <c r="T22" s="140">
        <v>7312130</v>
      </c>
      <c r="U22" s="141">
        <f t="shared" si="1"/>
        <v>0</v>
      </c>
    </row>
    <row r="23" spans="1:21" ht="16" x14ac:dyDescent="0.35">
      <c r="A23" s="18"/>
      <c r="B23" s="19"/>
      <c r="C23" s="19"/>
      <c r="D23" s="380" t="s">
        <v>30</v>
      </c>
      <c r="E23" s="381"/>
      <c r="F23" s="20">
        <v>810210</v>
      </c>
      <c r="G23" s="20">
        <v>140</v>
      </c>
      <c r="H23" s="20">
        <v>7332021</v>
      </c>
      <c r="I23" s="21">
        <f t="shared" si="0"/>
        <v>40994</v>
      </c>
      <c r="M23" s="139"/>
      <c r="N23" s="134"/>
      <c r="O23" s="134"/>
      <c r="P23" s="417" t="s">
        <v>30</v>
      </c>
      <c r="Q23" s="418"/>
      <c r="R23" s="140">
        <v>810210</v>
      </c>
      <c r="S23" s="140">
        <v>140</v>
      </c>
      <c r="T23" s="140">
        <v>7332021</v>
      </c>
      <c r="U23" s="141">
        <f t="shared" si="1"/>
        <v>294813.13616341323</v>
      </c>
    </row>
    <row r="24" spans="1:21" ht="16" x14ac:dyDescent="0.35">
      <c r="A24" s="18"/>
      <c r="B24" s="19"/>
      <c r="C24" s="19"/>
      <c r="D24" s="380" t="s">
        <v>31</v>
      </c>
      <c r="E24" s="381"/>
      <c r="F24" s="20">
        <v>810213</v>
      </c>
      <c r="G24" s="20">
        <v>150</v>
      </c>
      <c r="H24" s="20">
        <v>7332023</v>
      </c>
      <c r="I24" s="21">
        <f t="shared" si="0"/>
        <v>562694.93999999994</v>
      </c>
      <c r="M24" s="139"/>
      <c r="N24" s="134"/>
      <c r="O24" s="134"/>
      <c r="P24" s="417" t="s">
        <v>31</v>
      </c>
      <c r="Q24" s="418"/>
      <c r="R24" s="140">
        <v>810213</v>
      </c>
      <c r="S24" s="140">
        <v>150</v>
      </c>
      <c r="T24" s="140">
        <v>7332023</v>
      </c>
      <c r="U24" s="141">
        <f t="shared" si="1"/>
        <v>636134.27085638302</v>
      </c>
    </row>
    <row r="25" spans="1:21" ht="16" x14ac:dyDescent="0.35">
      <c r="A25" s="18"/>
      <c r="B25" s="19"/>
      <c r="C25" s="19"/>
      <c r="D25" s="424"/>
      <c r="E25" s="425"/>
      <c r="F25" s="20" t="s">
        <v>32</v>
      </c>
      <c r="G25" s="20">
        <v>160</v>
      </c>
      <c r="H25" s="20"/>
      <c r="I25" s="21">
        <f t="shared" si="0"/>
        <v>78090.324999999997</v>
      </c>
      <c r="J25" s="121"/>
      <c r="M25" s="139"/>
      <c r="N25" s="134"/>
      <c r="O25" s="134"/>
      <c r="P25" s="426"/>
      <c r="Q25" s="427"/>
      <c r="R25" s="140" t="s">
        <v>32</v>
      </c>
      <c r="S25" s="140">
        <v>160</v>
      </c>
      <c r="T25" s="140"/>
      <c r="U25" s="141">
        <f t="shared" si="1"/>
        <v>217896.26818000409</v>
      </c>
    </row>
    <row r="26" spans="1:21" ht="18.5" x14ac:dyDescent="0.35">
      <c r="A26" s="18"/>
      <c r="B26" s="19"/>
      <c r="C26" s="19"/>
      <c r="D26" s="419" t="s">
        <v>33</v>
      </c>
      <c r="E26" s="419"/>
      <c r="F26" s="419"/>
      <c r="G26" s="419"/>
      <c r="H26" s="420"/>
      <c r="I26" s="22">
        <f>SUM(I10:I25)</f>
        <v>2876472.855</v>
      </c>
      <c r="M26" s="139"/>
      <c r="N26" s="134"/>
      <c r="O26" s="134"/>
      <c r="P26" s="447" t="s">
        <v>33</v>
      </c>
      <c r="Q26" s="448"/>
      <c r="R26" s="142"/>
      <c r="S26" s="142"/>
      <c r="T26" s="143"/>
      <c r="U26" s="144">
        <f>SUM(U10:U25)</f>
        <v>3619722.8500000006</v>
      </c>
    </row>
    <row r="27" spans="1:21" x14ac:dyDescent="0.35">
      <c r="A27" s="23"/>
      <c r="B27" s="24"/>
      <c r="C27" s="24"/>
      <c r="D27" s="25"/>
      <c r="E27" s="24"/>
      <c r="F27" s="26"/>
      <c r="G27" s="26"/>
      <c r="H27" s="27"/>
      <c r="I27" s="27"/>
      <c r="M27" s="145"/>
      <c r="N27" s="146"/>
      <c r="O27" s="146"/>
      <c r="P27" s="147"/>
      <c r="Q27" s="146"/>
      <c r="R27" s="148"/>
      <c r="S27" s="148"/>
      <c r="T27" s="149"/>
      <c r="U27" s="149"/>
    </row>
    <row r="28" spans="1:21" x14ac:dyDescent="0.35">
      <c r="A28" s="400" t="s">
        <v>13</v>
      </c>
      <c r="B28" s="28"/>
      <c r="C28" s="403" t="s">
        <v>14</v>
      </c>
      <c r="D28" s="405" t="s">
        <v>12</v>
      </c>
      <c r="E28" s="29"/>
      <c r="F28" s="30"/>
      <c r="G28" s="414" t="s">
        <v>34</v>
      </c>
      <c r="H28" s="414"/>
      <c r="I28" s="30"/>
      <c r="M28" s="449" t="s">
        <v>13</v>
      </c>
      <c r="N28" s="150"/>
      <c r="O28" s="431" t="s">
        <v>14</v>
      </c>
      <c r="P28" s="450" t="s">
        <v>12</v>
      </c>
      <c r="Q28" s="152"/>
      <c r="R28" s="153"/>
      <c r="S28" s="430" t="s">
        <v>34</v>
      </c>
      <c r="T28" s="427"/>
      <c r="U28" s="153"/>
    </row>
    <row r="29" spans="1:21" x14ac:dyDescent="0.35">
      <c r="A29" s="401"/>
      <c r="B29" s="31"/>
      <c r="C29" s="404"/>
      <c r="D29" s="406"/>
      <c r="E29" s="407" t="s">
        <v>35</v>
      </c>
      <c r="F29" s="412" t="s">
        <v>36</v>
      </c>
      <c r="G29" s="415" t="s">
        <v>37</v>
      </c>
      <c r="H29" s="415" t="s">
        <v>38</v>
      </c>
      <c r="I29" s="32" t="s">
        <v>33</v>
      </c>
      <c r="M29" s="429"/>
      <c r="N29" s="154"/>
      <c r="O29" s="432"/>
      <c r="P29" s="432"/>
      <c r="Q29" s="444" t="s">
        <v>35</v>
      </c>
      <c r="R29" s="428" t="s">
        <v>36</v>
      </c>
      <c r="S29" s="428" t="s">
        <v>37</v>
      </c>
      <c r="T29" s="428" t="s">
        <v>38</v>
      </c>
      <c r="U29" s="155" t="s">
        <v>33</v>
      </c>
    </row>
    <row r="30" spans="1:21" x14ac:dyDescent="0.35">
      <c r="A30" s="402"/>
      <c r="B30" s="33"/>
      <c r="C30" s="34" t="s">
        <v>39</v>
      </c>
      <c r="D30" s="35" t="s">
        <v>40</v>
      </c>
      <c r="E30" s="408"/>
      <c r="F30" s="413"/>
      <c r="G30" s="416"/>
      <c r="H30" s="416"/>
      <c r="I30" s="36">
        <f>SUM(I31:I44)</f>
        <v>569593</v>
      </c>
      <c r="M30" s="432"/>
      <c r="N30" s="156"/>
      <c r="O30" s="157" t="s">
        <v>39</v>
      </c>
      <c r="P30" s="158" t="s">
        <v>40</v>
      </c>
      <c r="Q30" s="429"/>
      <c r="R30" s="429"/>
      <c r="S30" s="429"/>
      <c r="T30" s="429"/>
      <c r="U30" s="159">
        <f>SUM(U31:U44)</f>
        <v>727140.70875711448</v>
      </c>
    </row>
    <row r="31" spans="1:21" x14ac:dyDescent="0.35">
      <c r="A31" s="37">
        <v>810080</v>
      </c>
      <c r="B31" s="409" t="s">
        <v>40</v>
      </c>
      <c r="C31" s="107" t="s">
        <v>41</v>
      </c>
      <c r="D31" s="39" t="s">
        <v>42</v>
      </c>
      <c r="E31" s="38" t="s">
        <v>43</v>
      </c>
      <c r="F31" s="110">
        <v>11</v>
      </c>
      <c r="G31" s="115">
        <v>800</v>
      </c>
      <c r="H31" s="42"/>
      <c r="I31" s="66">
        <f t="shared" ref="I31:I44" si="2">F31*G31+H31*F31</f>
        <v>8800</v>
      </c>
      <c r="M31" s="160">
        <v>810080</v>
      </c>
      <c r="N31" s="445" t="s">
        <v>40</v>
      </c>
      <c r="O31" s="161" t="s">
        <v>41</v>
      </c>
      <c r="P31" s="162" t="s">
        <v>42</v>
      </c>
      <c r="Q31" s="161" t="s">
        <v>43</v>
      </c>
      <c r="R31" s="163">
        <v>80</v>
      </c>
      <c r="S31" s="164">
        <v>306.78734034035858</v>
      </c>
      <c r="T31" s="164">
        <v>153.39367017017929</v>
      </c>
      <c r="U31" s="165">
        <f t="shared" ref="U31:U44" si="3">R31*S31+T31*R31</f>
        <v>36814.480840843033</v>
      </c>
    </row>
    <row r="32" spans="1:21" ht="26" x14ac:dyDescent="0.35">
      <c r="A32" s="37">
        <v>810080</v>
      </c>
      <c r="B32" s="410"/>
      <c r="C32" s="107" t="s">
        <v>44</v>
      </c>
      <c r="D32" s="39" t="s">
        <v>45</v>
      </c>
      <c r="E32" s="38" t="s">
        <v>46</v>
      </c>
      <c r="F32" s="40">
        <v>1</v>
      </c>
      <c r="G32" s="115">
        <v>15000</v>
      </c>
      <c r="H32" s="42"/>
      <c r="I32" s="66">
        <f t="shared" si="2"/>
        <v>15000</v>
      </c>
      <c r="M32" s="160">
        <v>810080</v>
      </c>
      <c r="N32" s="429"/>
      <c r="O32" s="161" t="s">
        <v>44</v>
      </c>
      <c r="P32" s="162" t="s">
        <v>45</v>
      </c>
      <c r="Q32" s="161" t="s">
        <v>46</v>
      </c>
      <c r="R32" s="163">
        <v>1</v>
      </c>
      <c r="S32" s="164">
        <v>24266.878620922362</v>
      </c>
      <c r="T32" s="164">
        <v>12133.439310461181</v>
      </c>
      <c r="U32" s="165">
        <f t="shared" si="3"/>
        <v>36400.317931383543</v>
      </c>
    </row>
    <row r="33" spans="1:22" x14ac:dyDescent="0.35">
      <c r="A33" s="37">
        <v>810080</v>
      </c>
      <c r="B33" s="410"/>
      <c r="C33" s="107" t="s">
        <v>47</v>
      </c>
      <c r="D33" s="39" t="s">
        <v>48</v>
      </c>
      <c r="E33" s="38" t="s">
        <v>46</v>
      </c>
      <c r="F33" s="110">
        <v>1</v>
      </c>
      <c r="G33" s="115">
        <v>52000</v>
      </c>
      <c r="H33" s="42"/>
      <c r="I33" s="66">
        <f t="shared" si="2"/>
        <v>52000</v>
      </c>
      <c r="M33" s="160">
        <v>810080</v>
      </c>
      <c r="N33" s="429"/>
      <c r="O33" s="161" t="s">
        <v>47</v>
      </c>
      <c r="P33" s="162" t="s">
        <v>48</v>
      </c>
      <c r="Q33" s="161" t="s">
        <v>46</v>
      </c>
      <c r="R33" s="163">
        <v>1</v>
      </c>
      <c r="S33" s="164">
        <v>0</v>
      </c>
      <c r="T33" s="164">
        <v>24301.438214811704</v>
      </c>
      <c r="U33" s="165">
        <f t="shared" si="3"/>
        <v>24301.438214811704</v>
      </c>
    </row>
    <row r="34" spans="1:22" x14ac:dyDescent="0.35">
      <c r="A34" s="37">
        <v>810080</v>
      </c>
      <c r="B34" s="410"/>
      <c r="C34" s="107" t="s">
        <v>49</v>
      </c>
      <c r="D34" s="39" t="s">
        <v>50</v>
      </c>
      <c r="E34" s="38" t="s">
        <v>46</v>
      </c>
      <c r="F34" s="110">
        <v>1</v>
      </c>
      <c r="G34" s="116">
        <v>24000</v>
      </c>
      <c r="H34" s="45"/>
      <c r="I34" s="66">
        <f t="shared" si="2"/>
        <v>24000</v>
      </c>
      <c r="M34" s="160">
        <v>810080</v>
      </c>
      <c r="N34" s="429"/>
      <c r="O34" s="161" t="s">
        <v>49</v>
      </c>
      <c r="P34" s="162" t="s">
        <v>50</v>
      </c>
      <c r="Q34" s="161" t="s">
        <v>46</v>
      </c>
      <c r="R34" s="163">
        <v>1</v>
      </c>
      <c r="S34" s="164">
        <v>0</v>
      </c>
      <c r="T34" s="164">
        <v>41474.503843777988</v>
      </c>
      <c r="U34" s="165">
        <f t="shared" si="3"/>
        <v>41474.503843777988</v>
      </c>
    </row>
    <row r="35" spans="1:22" x14ac:dyDescent="0.35">
      <c r="A35" s="37">
        <v>810080</v>
      </c>
      <c r="B35" s="410"/>
      <c r="C35" s="107" t="s">
        <v>51</v>
      </c>
      <c r="D35" s="39" t="s">
        <v>52</v>
      </c>
      <c r="E35" s="38" t="s">
        <v>46</v>
      </c>
      <c r="F35" s="110">
        <v>1</v>
      </c>
      <c r="G35" s="115">
        <v>8500</v>
      </c>
      <c r="H35" s="46"/>
      <c r="I35" s="66">
        <f t="shared" si="2"/>
        <v>8500</v>
      </c>
      <c r="M35" s="160">
        <v>810080</v>
      </c>
      <c r="N35" s="429"/>
      <c r="O35" s="161" t="s">
        <v>51</v>
      </c>
      <c r="P35" s="162" t="s">
        <v>52</v>
      </c>
      <c r="Q35" s="166" t="s">
        <v>71</v>
      </c>
      <c r="R35" s="163">
        <v>6</v>
      </c>
      <c r="S35" s="164">
        <v>0</v>
      </c>
      <c r="T35" s="164">
        <v>22655.985341355499</v>
      </c>
      <c r="U35" s="165">
        <f t="shared" si="3"/>
        <v>135935.912048133</v>
      </c>
    </row>
    <row r="36" spans="1:22" ht="23.25" customHeight="1" x14ac:dyDescent="0.35">
      <c r="A36" s="37">
        <v>810080</v>
      </c>
      <c r="B36" s="410"/>
      <c r="C36" s="107" t="s">
        <v>53</v>
      </c>
      <c r="D36" s="39" t="s">
        <v>54</v>
      </c>
      <c r="E36" s="38" t="s">
        <v>215</v>
      </c>
      <c r="F36" s="110">
        <v>6</v>
      </c>
      <c r="G36" s="115">
        <v>1000</v>
      </c>
      <c r="H36" s="46">
        <v>8500</v>
      </c>
      <c r="I36" s="66">
        <f t="shared" si="2"/>
        <v>57000</v>
      </c>
      <c r="M36" s="160">
        <v>810080</v>
      </c>
      <c r="N36" s="429"/>
      <c r="O36" s="161" t="s">
        <v>53</v>
      </c>
      <c r="P36" s="162" t="s">
        <v>54</v>
      </c>
      <c r="Q36" s="166" t="s">
        <v>71</v>
      </c>
      <c r="R36" s="163">
        <v>6</v>
      </c>
      <c r="S36" s="164">
        <v>0</v>
      </c>
      <c r="T36" s="164">
        <v>6770.5578095505189</v>
      </c>
      <c r="U36" s="165">
        <f t="shared" si="3"/>
        <v>40623.346857303113</v>
      </c>
    </row>
    <row r="37" spans="1:22" ht="43.5" x14ac:dyDescent="0.35">
      <c r="A37" s="37">
        <v>810080</v>
      </c>
      <c r="B37" s="410"/>
      <c r="C37" s="107" t="s">
        <v>56</v>
      </c>
      <c r="D37" s="39" t="s">
        <v>57</v>
      </c>
      <c r="E37" s="38" t="s">
        <v>55</v>
      </c>
      <c r="F37" s="110">
        <v>2</v>
      </c>
      <c r="G37" s="115">
        <v>150</v>
      </c>
      <c r="H37" s="42">
        <v>7500</v>
      </c>
      <c r="I37" s="66">
        <f t="shared" si="2"/>
        <v>15300</v>
      </c>
      <c r="J37" s="109" t="s">
        <v>263</v>
      </c>
      <c r="M37" s="160">
        <v>810080</v>
      </c>
      <c r="N37" s="429"/>
      <c r="O37" s="161" t="s">
        <v>56</v>
      </c>
      <c r="P37" s="162" t="s">
        <v>57</v>
      </c>
      <c r="Q37" s="161" t="s">
        <v>55</v>
      </c>
      <c r="R37" s="167">
        <v>7</v>
      </c>
      <c r="S37" s="164">
        <v>7799.6736872874653</v>
      </c>
      <c r="T37" s="164">
        <v>3466.5216387944288</v>
      </c>
      <c r="U37" s="165">
        <f t="shared" si="3"/>
        <v>78863.36728257325</v>
      </c>
      <c r="V37" s="168"/>
    </row>
    <row r="38" spans="1:22" ht="43.5" x14ac:dyDescent="0.35">
      <c r="A38" s="37">
        <v>810080</v>
      </c>
      <c r="B38" s="410"/>
      <c r="C38" s="107" t="s">
        <v>58</v>
      </c>
      <c r="D38" s="39" t="s">
        <v>59</v>
      </c>
      <c r="E38" s="38" t="s">
        <v>215</v>
      </c>
      <c r="F38" s="110">
        <v>6</v>
      </c>
      <c r="G38" s="102">
        <f>(112000/6)*1.5</f>
        <v>28000</v>
      </c>
      <c r="H38" s="46">
        <f>3500*2*1.3</f>
        <v>9100</v>
      </c>
      <c r="I38" s="66">
        <f t="shared" si="2"/>
        <v>222600</v>
      </c>
      <c r="J38" s="112" t="s">
        <v>242</v>
      </c>
      <c r="M38" s="160">
        <v>810080</v>
      </c>
      <c r="N38" s="429"/>
      <c r="O38" s="161" t="s">
        <v>58</v>
      </c>
      <c r="P38" s="162" t="s">
        <v>59</v>
      </c>
      <c r="Q38" s="161" t="s">
        <v>46</v>
      </c>
      <c r="R38" s="163">
        <v>1</v>
      </c>
      <c r="S38" s="164">
        <v>36558.824723892729</v>
      </c>
      <c r="T38" s="164">
        <v>12802.509312604616</v>
      </c>
      <c r="U38" s="165">
        <f t="shared" si="3"/>
        <v>49361.334036497341</v>
      </c>
    </row>
    <row r="39" spans="1:22" ht="26" x14ac:dyDescent="0.35">
      <c r="A39" s="37">
        <v>810080</v>
      </c>
      <c r="B39" s="410"/>
      <c r="C39" s="107" t="s">
        <v>60</v>
      </c>
      <c r="D39" s="39" t="s">
        <v>61</v>
      </c>
      <c r="E39" s="38" t="s">
        <v>46</v>
      </c>
      <c r="F39" s="40">
        <v>1</v>
      </c>
      <c r="G39" s="41">
        <v>15000</v>
      </c>
      <c r="H39" s="42"/>
      <c r="I39" s="66">
        <f t="shared" si="2"/>
        <v>15000</v>
      </c>
      <c r="M39" s="160">
        <v>810080</v>
      </c>
      <c r="N39" s="429"/>
      <c r="O39" s="161" t="s">
        <v>60</v>
      </c>
      <c r="P39" s="162" t="s">
        <v>61</v>
      </c>
      <c r="Q39" s="161" t="s">
        <v>46</v>
      </c>
      <c r="R39" s="163">
        <v>1</v>
      </c>
      <c r="S39" s="164">
        <v>4113.6347497887828</v>
      </c>
      <c r="T39" s="164">
        <v>0</v>
      </c>
      <c r="U39" s="165">
        <f t="shared" si="3"/>
        <v>4113.6347497887828</v>
      </c>
    </row>
    <row r="40" spans="1:22" ht="39" x14ac:dyDescent="0.35">
      <c r="A40" s="37">
        <v>810080</v>
      </c>
      <c r="B40" s="410"/>
      <c r="C40" s="107" t="s">
        <v>62</v>
      </c>
      <c r="D40" s="39" t="s">
        <v>63</v>
      </c>
      <c r="E40" s="38" t="s">
        <v>46</v>
      </c>
      <c r="F40" s="110">
        <v>1</v>
      </c>
      <c r="G40" s="41">
        <v>1500</v>
      </c>
      <c r="H40" s="42"/>
      <c r="I40" s="66">
        <f t="shared" si="2"/>
        <v>1500</v>
      </c>
      <c r="M40" s="160">
        <v>810080</v>
      </c>
      <c r="N40" s="429"/>
      <c r="O40" s="161" t="s">
        <v>62</v>
      </c>
      <c r="P40" s="162" t="s">
        <v>63</v>
      </c>
      <c r="Q40" s="161" t="s">
        <v>46</v>
      </c>
      <c r="R40" s="163">
        <v>1</v>
      </c>
      <c r="S40" s="164">
        <v>0</v>
      </c>
      <c r="T40" s="164">
        <v>703.05432161332169</v>
      </c>
      <c r="U40" s="165">
        <f t="shared" si="3"/>
        <v>703.05432161332169</v>
      </c>
    </row>
    <row r="41" spans="1:22" x14ac:dyDescent="0.35">
      <c r="A41" s="37">
        <v>810080</v>
      </c>
      <c r="B41" s="410"/>
      <c r="C41" s="107" t="s">
        <v>64</v>
      </c>
      <c r="D41" s="39" t="s">
        <v>65</v>
      </c>
      <c r="E41" s="38" t="s">
        <v>46</v>
      </c>
      <c r="F41" s="110">
        <v>1</v>
      </c>
      <c r="G41" s="41">
        <v>11500</v>
      </c>
      <c r="H41" s="42"/>
      <c r="I41" s="66">
        <f t="shared" si="2"/>
        <v>11500</v>
      </c>
      <c r="M41" s="160">
        <v>810080</v>
      </c>
      <c r="N41" s="429"/>
      <c r="O41" s="161" t="s">
        <v>64</v>
      </c>
      <c r="P41" s="162" t="s">
        <v>65</v>
      </c>
      <c r="Q41" s="161" t="s">
        <v>46</v>
      </c>
      <c r="R41" s="163">
        <v>1</v>
      </c>
      <c r="S41" s="164">
        <v>0</v>
      </c>
      <c r="T41" s="164">
        <v>6136.5137751580214</v>
      </c>
      <c r="U41" s="165">
        <f t="shared" si="3"/>
        <v>6136.5137751580214</v>
      </c>
    </row>
    <row r="42" spans="1:22" ht="29" x14ac:dyDescent="0.35">
      <c r="A42" s="37">
        <v>810080</v>
      </c>
      <c r="B42" s="410"/>
      <c r="C42" s="107" t="s">
        <v>66</v>
      </c>
      <c r="D42" s="39" t="s">
        <v>67</v>
      </c>
      <c r="E42" s="38" t="s">
        <v>206</v>
      </c>
      <c r="F42" s="110">
        <f>44*3</f>
        <v>132</v>
      </c>
      <c r="G42" s="41">
        <f>(75+65+20)*1.4</f>
        <v>224</v>
      </c>
      <c r="H42" s="42"/>
      <c r="I42" s="66">
        <f t="shared" si="2"/>
        <v>29568</v>
      </c>
      <c r="J42" s="109" t="s">
        <v>296</v>
      </c>
      <c r="M42" s="160">
        <v>810080</v>
      </c>
      <c r="N42" s="429"/>
      <c r="O42" s="161" t="s">
        <v>66</v>
      </c>
      <c r="P42" s="162" t="s">
        <v>67</v>
      </c>
      <c r="Q42" s="169" t="s">
        <v>79</v>
      </c>
      <c r="R42" s="163">
        <v>931.76</v>
      </c>
      <c r="S42" s="164">
        <v>120.38758558875986</v>
      </c>
      <c r="T42" s="164">
        <v>36.103244390465868</v>
      </c>
      <c r="U42" s="165">
        <f t="shared" si="3"/>
        <v>145811.89574144338</v>
      </c>
    </row>
    <row r="43" spans="1:22" x14ac:dyDescent="0.35">
      <c r="A43" s="37">
        <v>810080</v>
      </c>
      <c r="B43" s="410"/>
      <c r="C43" s="107" t="s">
        <v>69</v>
      </c>
      <c r="D43" s="39" t="s">
        <v>70</v>
      </c>
      <c r="E43" s="38" t="s">
        <v>71</v>
      </c>
      <c r="F43" s="110">
        <v>6</v>
      </c>
      <c r="G43" s="41"/>
      <c r="H43" s="42">
        <v>17000</v>
      </c>
      <c r="I43" s="66">
        <f t="shared" si="2"/>
        <v>102000</v>
      </c>
      <c r="M43" s="160">
        <v>810080</v>
      </c>
      <c r="N43" s="429"/>
      <c r="O43" s="161" t="s">
        <v>69</v>
      </c>
      <c r="P43" s="162" t="s">
        <v>70</v>
      </c>
      <c r="Q43" s="161" t="s">
        <v>71</v>
      </c>
      <c r="R43" s="163">
        <v>6</v>
      </c>
      <c r="S43" s="164">
        <v>0</v>
      </c>
      <c r="T43" s="164">
        <v>15339.367017017928</v>
      </c>
      <c r="U43" s="165">
        <f t="shared" si="3"/>
        <v>92036.202102107578</v>
      </c>
    </row>
    <row r="44" spans="1:22" x14ac:dyDescent="0.35">
      <c r="A44" s="37">
        <v>810080</v>
      </c>
      <c r="B44" s="411"/>
      <c r="C44" s="107" t="s">
        <v>72</v>
      </c>
      <c r="D44" s="39" t="s">
        <v>73</v>
      </c>
      <c r="E44" s="38" t="s">
        <v>71</v>
      </c>
      <c r="F44" s="110">
        <v>1.5</v>
      </c>
      <c r="G44" s="41"/>
      <c r="H44" s="42">
        <f>3500*1.3</f>
        <v>4550</v>
      </c>
      <c r="I44" s="66">
        <f t="shared" si="2"/>
        <v>6825</v>
      </c>
      <c r="M44" s="160">
        <v>810080</v>
      </c>
      <c r="N44" s="432"/>
      <c r="O44" s="161" t="s">
        <v>72</v>
      </c>
      <c r="P44" s="162" t="s">
        <v>73</v>
      </c>
      <c r="Q44" s="161" t="s">
        <v>55</v>
      </c>
      <c r="R44" s="163">
        <v>52</v>
      </c>
      <c r="S44" s="164">
        <v>0</v>
      </c>
      <c r="T44" s="164">
        <v>664.70590407077691</v>
      </c>
      <c r="U44" s="165">
        <f t="shared" si="3"/>
        <v>34564.707011680403</v>
      </c>
    </row>
    <row r="45" spans="1:22" x14ac:dyDescent="0.35">
      <c r="A45" s="47"/>
      <c r="B45" s="47"/>
      <c r="C45" s="47" t="s">
        <v>74</v>
      </c>
      <c r="D45" s="48" t="s">
        <v>75</v>
      </c>
      <c r="E45" s="47"/>
      <c r="F45" s="49"/>
      <c r="G45" s="50"/>
      <c r="H45" s="51"/>
      <c r="I45" s="52">
        <f>SUM(I47:I75)</f>
        <v>1187336.0900000001</v>
      </c>
      <c r="M45" s="170"/>
      <c r="N45" s="170"/>
      <c r="O45" s="170" t="s">
        <v>74</v>
      </c>
      <c r="P45" s="171" t="s">
        <v>75</v>
      </c>
      <c r="Q45" s="170"/>
      <c r="R45" s="172"/>
      <c r="S45" s="173"/>
      <c r="T45" s="174"/>
      <c r="U45" s="175">
        <f>SUM(U47:U75)</f>
        <v>1833737.118311282</v>
      </c>
    </row>
    <row r="46" spans="1:22" x14ac:dyDescent="0.35">
      <c r="A46" s="53"/>
      <c r="B46" s="54"/>
      <c r="C46" s="53"/>
      <c r="D46" s="55" t="s">
        <v>76</v>
      </c>
      <c r="E46" s="56"/>
      <c r="F46" s="57"/>
      <c r="G46" s="58"/>
      <c r="H46" s="59"/>
      <c r="I46" s="60"/>
      <c r="M46" s="176"/>
      <c r="N46" s="177"/>
      <c r="O46" s="176"/>
      <c r="P46" s="178" t="s">
        <v>76</v>
      </c>
      <c r="Q46" s="179"/>
      <c r="R46" s="180"/>
      <c r="S46" s="181"/>
      <c r="T46" s="182"/>
      <c r="U46" s="183"/>
    </row>
    <row r="47" spans="1:22" x14ac:dyDescent="0.35">
      <c r="A47" s="61">
        <v>810080</v>
      </c>
      <c r="B47" s="410" t="s">
        <v>75</v>
      </c>
      <c r="C47" s="38" t="s">
        <v>77</v>
      </c>
      <c r="D47" s="39" t="s">
        <v>78</v>
      </c>
      <c r="E47" s="62" t="s">
        <v>79</v>
      </c>
      <c r="F47" s="255">
        <v>1507.34</v>
      </c>
      <c r="G47" s="41">
        <v>18</v>
      </c>
      <c r="H47" s="42"/>
      <c r="I47" s="66">
        <f t="shared" ref="I47:I52" si="4">F47*G47+H47*F47</f>
        <v>27132.12</v>
      </c>
      <c r="M47" s="184">
        <v>810080</v>
      </c>
      <c r="N47" s="451" t="s">
        <v>75</v>
      </c>
      <c r="O47" s="161" t="s">
        <v>77</v>
      </c>
      <c r="P47" s="162" t="s">
        <v>78</v>
      </c>
      <c r="Q47" s="169" t="s">
        <v>79</v>
      </c>
      <c r="R47" s="163">
        <v>1507.3400000000001</v>
      </c>
      <c r="S47" s="164">
        <v>0</v>
      </c>
      <c r="T47" s="164">
        <v>19.174208771272411</v>
      </c>
      <c r="U47" s="165">
        <f t="shared" ref="U47:U52" si="5">R47*S47+T47*R47</f>
        <v>28902.051849289761</v>
      </c>
    </row>
    <row r="48" spans="1:22" ht="43.5" x14ac:dyDescent="0.35">
      <c r="A48" s="61">
        <v>810030</v>
      </c>
      <c r="B48" s="410"/>
      <c r="C48" s="38" t="s">
        <v>80</v>
      </c>
      <c r="D48" s="63" t="s">
        <v>81</v>
      </c>
      <c r="E48" s="62" t="s">
        <v>79</v>
      </c>
      <c r="F48" s="44">
        <f>92.76+294.62</f>
        <v>387.38</v>
      </c>
      <c r="G48" s="115">
        <v>80</v>
      </c>
      <c r="H48" s="105">
        <f>35*1.35</f>
        <v>47.25</v>
      </c>
      <c r="I48" s="66">
        <f t="shared" si="4"/>
        <v>49294.104999999996</v>
      </c>
      <c r="J48" s="109" t="s">
        <v>234</v>
      </c>
      <c r="M48" s="184">
        <v>810030</v>
      </c>
      <c r="N48" s="429"/>
      <c r="O48" s="161" t="s">
        <v>80</v>
      </c>
      <c r="P48" s="185" t="s">
        <v>81</v>
      </c>
      <c r="Q48" s="169" t="s">
        <v>79</v>
      </c>
      <c r="R48" s="163">
        <v>400.18400000000003</v>
      </c>
      <c r="S48" s="164">
        <v>131.38523212078417</v>
      </c>
      <c r="T48" s="164">
        <v>51.131223390059759</v>
      </c>
      <c r="U48" s="165">
        <f t="shared" si="5"/>
        <v>73040.165232151572</v>
      </c>
    </row>
    <row r="49" spans="1:25" ht="32.25" customHeight="1" x14ac:dyDescent="0.35">
      <c r="A49" s="61">
        <v>810041</v>
      </c>
      <c r="B49" s="410"/>
      <c r="C49" s="38" t="s">
        <v>82</v>
      </c>
      <c r="D49" s="39" t="s">
        <v>83</v>
      </c>
      <c r="E49" s="62" t="s">
        <v>79</v>
      </c>
      <c r="F49" s="40">
        <v>151.91</v>
      </c>
      <c r="G49" s="115">
        <v>19</v>
      </c>
      <c r="H49" s="42">
        <v>32.5</v>
      </c>
      <c r="I49" s="66">
        <f t="shared" si="4"/>
        <v>7823.3649999999998</v>
      </c>
      <c r="M49" s="184">
        <v>810041</v>
      </c>
      <c r="N49" s="429"/>
      <c r="O49" s="161" t="s">
        <v>82</v>
      </c>
      <c r="P49" s="162" t="s">
        <v>83</v>
      </c>
      <c r="Q49" s="169" t="s">
        <v>79</v>
      </c>
      <c r="R49" s="163">
        <v>159</v>
      </c>
      <c r="S49" s="164">
        <v>31.957014618787348</v>
      </c>
      <c r="T49" s="164">
        <v>23.009050525526892</v>
      </c>
      <c r="U49" s="165">
        <f t="shared" si="5"/>
        <v>8739.6043579459638</v>
      </c>
      <c r="V49" s="186"/>
    </row>
    <row r="50" spans="1:25" x14ac:dyDescent="0.35">
      <c r="A50" s="61">
        <v>810041</v>
      </c>
      <c r="B50" s="410"/>
      <c r="C50" s="38" t="s">
        <v>84</v>
      </c>
      <c r="D50" s="39" t="s">
        <v>85</v>
      </c>
      <c r="E50" s="62" t="str">
        <f>E49</f>
        <v>m²</v>
      </c>
      <c r="F50" s="44">
        <v>2602.9499999999998</v>
      </c>
      <c r="G50" s="115">
        <v>21</v>
      </c>
      <c r="H50" s="42">
        <v>35</v>
      </c>
      <c r="I50" s="66">
        <f t="shared" si="4"/>
        <v>145765.20000000001</v>
      </c>
      <c r="M50" s="184">
        <v>810041</v>
      </c>
      <c r="N50" s="429"/>
      <c r="O50" s="161" t="s">
        <v>84</v>
      </c>
      <c r="P50" s="162" t="s">
        <v>85</v>
      </c>
      <c r="Q50" s="169" t="str">
        <f>Q49</f>
        <v>m²</v>
      </c>
      <c r="R50" s="187">
        <v>480.2208</v>
      </c>
      <c r="S50" s="164">
        <v>19.174208771272411</v>
      </c>
      <c r="T50" s="164">
        <v>23.009050525526892</v>
      </c>
      <c r="U50" s="165">
        <f t="shared" si="5"/>
        <v>20257.278526116399</v>
      </c>
    </row>
    <row r="51" spans="1:25" x14ac:dyDescent="0.35">
      <c r="A51" s="61">
        <v>810041</v>
      </c>
      <c r="B51" s="410"/>
      <c r="C51" s="38" t="s">
        <v>86</v>
      </c>
      <c r="D51" s="39" t="s">
        <v>87</v>
      </c>
      <c r="E51" s="62" t="str">
        <f>E50</f>
        <v>m²</v>
      </c>
      <c r="F51" s="40">
        <v>101.33</v>
      </c>
      <c r="G51" s="115">
        <v>9</v>
      </c>
      <c r="H51" s="42">
        <v>35</v>
      </c>
      <c r="I51" s="66">
        <f t="shared" si="4"/>
        <v>4458.5199999999995</v>
      </c>
      <c r="M51" s="184">
        <v>810041</v>
      </c>
      <c r="N51" s="429"/>
      <c r="O51" s="161" t="s">
        <v>86</v>
      </c>
      <c r="P51" s="162" t="s">
        <v>87</v>
      </c>
      <c r="Q51" s="169" t="str">
        <f>Q50</f>
        <v>m²</v>
      </c>
      <c r="R51" s="187">
        <v>320.14720000000005</v>
      </c>
      <c r="S51" s="164">
        <v>31.957014618787348</v>
      </c>
      <c r="T51" s="164">
        <v>23.009050525526892</v>
      </c>
      <c r="U51" s="165">
        <f t="shared" si="5"/>
        <v>17597.231850969802</v>
      </c>
      <c r="V51" s="186"/>
    </row>
    <row r="52" spans="1:25" ht="26.25" customHeight="1" x14ac:dyDescent="0.35">
      <c r="A52" s="61">
        <v>810031</v>
      </c>
      <c r="B52" s="410"/>
      <c r="C52" s="64" t="s">
        <v>88</v>
      </c>
      <c r="D52" s="39" t="s">
        <v>89</v>
      </c>
      <c r="E52" s="62" t="s">
        <v>90</v>
      </c>
      <c r="F52" s="40">
        <v>48</v>
      </c>
      <c r="G52" s="41">
        <v>580</v>
      </c>
      <c r="H52" s="42"/>
      <c r="I52" s="66">
        <f t="shared" si="4"/>
        <v>27840</v>
      </c>
      <c r="J52" s="109" t="s">
        <v>278</v>
      </c>
      <c r="M52" s="184">
        <v>810031</v>
      </c>
      <c r="N52" s="429"/>
      <c r="O52" s="188" t="s">
        <v>88</v>
      </c>
      <c r="P52" s="162" t="s">
        <v>89</v>
      </c>
      <c r="Q52" s="169" t="s">
        <v>90</v>
      </c>
      <c r="R52" s="163">
        <v>10</v>
      </c>
      <c r="S52" s="164">
        <v>958.71043856362053</v>
      </c>
      <c r="T52" s="164">
        <v>0</v>
      </c>
      <c r="U52" s="165">
        <f t="shared" si="5"/>
        <v>9587.1043856362048</v>
      </c>
    </row>
    <row r="53" spans="1:25" x14ac:dyDescent="0.35">
      <c r="A53" s="61"/>
      <c r="B53" s="410"/>
      <c r="C53" s="53"/>
      <c r="D53" s="55" t="s">
        <v>91</v>
      </c>
      <c r="E53" s="56"/>
      <c r="F53" s="57"/>
      <c r="G53" s="58"/>
      <c r="H53" s="59"/>
      <c r="I53" s="60"/>
      <c r="M53" s="184"/>
      <c r="N53" s="429"/>
      <c r="O53" s="176"/>
      <c r="P53" s="178" t="s">
        <v>91</v>
      </c>
      <c r="Q53" s="179"/>
      <c r="R53" s="180"/>
      <c r="S53" s="181"/>
      <c r="T53" s="182"/>
      <c r="U53" s="183"/>
    </row>
    <row r="54" spans="1:25" x14ac:dyDescent="0.35">
      <c r="A54" s="61">
        <v>810041</v>
      </c>
      <c r="B54" s="410"/>
      <c r="C54" s="38" t="s">
        <v>92</v>
      </c>
      <c r="D54" s="39" t="s">
        <v>93</v>
      </c>
      <c r="E54" s="62" t="s">
        <v>79</v>
      </c>
      <c r="F54" s="255">
        <f>1838.68+1745.45</f>
        <v>3584.13</v>
      </c>
      <c r="G54" s="41">
        <v>18</v>
      </c>
      <c r="H54" s="42"/>
      <c r="I54" s="66">
        <f t="shared" ref="I54:I62" si="6">F54*G54+H54*F54</f>
        <v>64514.340000000004</v>
      </c>
      <c r="M54" s="184">
        <v>810041</v>
      </c>
      <c r="N54" s="429"/>
      <c r="O54" s="161" t="s">
        <v>92</v>
      </c>
      <c r="P54" s="162" t="s">
        <v>93</v>
      </c>
      <c r="Q54" s="169" t="s">
        <v>79</v>
      </c>
      <c r="R54" s="163">
        <v>4362.3799999999992</v>
      </c>
      <c r="S54" s="164">
        <v>0</v>
      </c>
      <c r="T54" s="164">
        <v>12.78280584751494</v>
      </c>
      <c r="U54" s="165">
        <f t="shared" ref="U54:U63" si="7">R54*S54+T54*R54</f>
        <v>55763.456573082214</v>
      </c>
    </row>
    <row r="55" spans="1:25" ht="39.75" customHeight="1" x14ac:dyDescent="0.35">
      <c r="A55" s="61">
        <v>810041</v>
      </c>
      <c r="B55" s="410"/>
      <c r="C55" s="38" t="s">
        <v>94</v>
      </c>
      <c r="D55" s="63" t="s">
        <v>95</v>
      </c>
      <c r="E55" s="62" t="s">
        <v>79</v>
      </c>
      <c r="F55" s="110">
        <f>2163.15-83.8</f>
        <v>2079.35</v>
      </c>
      <c r="G55" s="115"/>
      <c r="H55" s="118">
        <f>35*1.4</f>
        <v>49</v>
      </c>
      <c r="I55" s="66">
        <f t="shared" si="6"/>
        <v>101888.15</v>
      </c>
      <c r="J55" s="117" t="s">
        <v>284</v>
      </c>
      <c r="M55" s="184">
        <v>810041</v>
      </c>
      <c r="N55" s="429"/>
      <c r="O55" s="161" t="s">
        <v>94</v>
      </c>
      <c r="P55" s="185" t="s">
        <v>95</v>
      </c>
      <c r="Q55" s="169" t="s">
        <v>79</v>
      </c>
      <c r="R55" s="187">
        <v>1375.4499999999998</v>
      </c>
      <c r="S55" s="164">
        <v>132.1410807088283</v>
      </c>
      <c r="T55" s="164">
        <v>56.160266772297014</v>
      </c>
      <c r="U55" s="165">
        <f t="shared" si="7"/>
        <v>258999.08839291381</v>
      </c>
    </row>
    <row r="56" spans="1:25" x14ac:dyDescent="0.35">
      <c r="A56" s="61"/>
      <c r="B56" s="410"/>
      <c r="C56" s="38" t="s">
        <v>96</v>
      </c>
      <c r="D56" s="63" t="s">
        <v>344</v>
      </c>
      <c r="E56" s="62" t="s">
        <v>79</v>
      </c>
      <c r="F56" s="40">
        <v>63</v>
      </c>
      <c r="G56" s="224"/>
      <c r="H56" s="225"/>
      <c r="I56" s="66"/>
      <c r="M56" s="184"/>
      <c r="N56" s="429"/>
      <c r="O56" s="161" t="s">
        <v>96</v>
      </c>
      <c r="P56" s="185"/>
      <c r="Q56" s="169"/>
      <c r="R56" s="163"/>
      <c r="S56" s="164">
        <v>0</v>
      </c>
      <c r="T56" s="164">
        <v>0</v>
      </c>
      <c r="U56" s="165">
        <f t="shared" si="7"/>
        <v>0</v>
      </c>
    </row>
    <row r="57" spans="1:25" s="108" customFormat="1" ht="101.5" x14ac:dyDescent="0.35">
      <c r="A57" s="61">
        <v>810041</v>
      </c>
      <c r="B57" s="410"/>
      <c r="C57" s="38" t="s">
        <v>97</v>
      </c>
      <c r="D57" s="63" t="s">
        <v>98</v>
      </c>
      <c r="E57" s="62" t="s">
        <v>79</v>
      </c>
      <c r="F57" s="44">
        <v>3186.02</v>
      </c>
      <c r="G57" s="115">
        <v>16</v>
      </c>
      <c r="H57" s="42">
        <v>28</v>
      </c>
      <c r="I57" s="66">
        <f t="shared" si="6"/>
        <v>140184.88</v>
      </c>
      <c r="J57" s="109" t="s">
        <v>279</v>
      </c>
      <c r="M57" s="184">
        <v>810041</v>
      </c>
      <c r="N57" s="429"/>
      <c r="O57" s="161" t="s">
        <v>97</v>
      </c>
      <c r="P57" s="185" t="s">
        <v>98</v>
      </c>
      <c r="Q57" s="169" t="s">
        <v>79</v>
      </c>
      <c r="R57" s="187">
        <v>1375.4499999999998</v>
      </c>
      <c r="S57" s="164">
        <v>31.957014618787348</v>
      </c>
      <c r="T57" s="164">
        <v>23.009050525526892</v>
      </c>
      <c r="U57" s="165">
        <f t="shared" si="7"/>
        <v>75603.074302747002</v>
      </c>
      <c r="V57"/>
      <c r="W57" s="122"/>
      <c r="X57"/>
      <c r="Y57"/>
    </row>
    <row r="58" spans="1:25" s="108" customFormat="1" ht="101.5" x14ac:dyDescent="0.35">
      <c r="A58" s="61">
        <v>810041</v>
      </c>
      <c r="B58" s="410"/>
      <c r="C58" s="38" t="s">
        <v>99</v>
      </c>
      <c r="D58" s="63" t="s">
        <v>100</v>
      </c>
      <c r="E58" s="62" t="s">
        <v>79</v>
      </c>
      <c r="F58" s="44">
        <v>101.33</v>
      </c>
      <c r="G58" s="115">
        <v>16</v>
      </c>
      <c r="H58" s="42">
        <v>28</v>
      </c>
      <c r="I58" s="66">
        <f t="shared" si="6"/>
        <v>4458.5199999999995</v>
      </c>
      <c r="J58" s="109" t="s">
        <v>279</v>
      </c>
      <c r="M58" s="184">
        <v>810041</v>
      </c>
      <c r="N58" s="429"/>
      <c r="O58" s="161" t="s">
        <v>99</v>
      </c>
      <c r="P58" s="185" t="s">
        <v>100</v>
      </c>
      <c r="Q58" s="169" t="s">
        <v>79</v>
      </c>
      <c r="R58" s="187">
        <v>1945.4000000000003</v>
      </c>
      <c r="S58" s="164">
        <v>31.957014618787348</v>
      </c>
      <c r="T58" s="164">
        <v>23.009050525526892</v>
      </c>
      <c r="U58" s="165">
        <f t="shared" si="7"/>
        <v>106930.98313174894</v>
      </c>
      <c r="V58"/>
      <c r="W58" s="122"/>
      <c r="X58"/>
      <c r="Y58"/>
    </row>
    <row r="59" spans="1:25" s="108" customFormat="1" x14ac:dyDescent="0.35">
      <c r="A59" s="61">
        <v>810230</v>
      </c>
      <c r="B59" s="410"/>
      <c r="C59" s="38" t="s">
        <v>101</v>
      </c>
      <c r="D59" s="63" t="s">
        <v>102</v>
      </c>
      <c r="E59" s="62" t="s">
        <v>103</v>
      </c>
      <c r="F59" s="110">
        <f>425</f>
        <v>425</v>
      </c>
      <c r="G59" s="41">
        <v>5</v>
      </c>
      <c r="H59" s="42">
        <v>15</v>
      </c>
      <c r="I59" s="66">
        <f t="shared" si="6"/>
        <v>8500</v>
      </c>
      <c r="J59" s="109"/>
      <c r="M59" s="184">
        <v>810230</v>
      </c>
      <c r="N59" s="429"/>
      <c r="O59" s="161" t="s">
        <v>101</v>
      </c>
      <c r="P59" s="185" t="s">
        <v>300</v>
      </c>
      <c r="Q59" s="169" t="s">
        <v>103</v>
      </c>
      <c r="R59" s="163">
        <v>2919</v>
      </c>
      <c r="S59" s="164">
        <v>5.1131223390059759</v>
      </c>
      <c r="T59" s="164">
        <v>8.9479640932604578</v>
      </c>
      <c r="U59" s="165">
        <f t="shared" si="7"/>
        <v>41044.311295785723</v>
      </c>
      <c r="V59"/>
      <c r="W59" s="122"/>
      <c r="X59"/>
      <c r="Y59"/>
    </row>
    <row r="60" spans="1:25" s="108" customFormat="1" ht="29" x14ac:dyDescent="0.35">
      <c r="A60" s="61">
        <v>810041</v>
      </c>
      <c r="B60" s="410"/>
      <c r="C60" s="38" t="s">
        <v>104</v>
      </c>
      <c r="D60" s="63" t="s">
        <v>105</v>
      </c>
      <c r="E60" s="62" t="s">
        <v>103</v>
      </c>
      <c r="F60" s="40"/>
      <c r="G60" s="41"/>
      <c r="H60" s="42"/>
      <c r="I60" s="66">
        <f t="shared" si="6"/>
        <v>0</v>
      </c>
      <c r="J60" s="109" t="s">
        <v>280</v>
      </c>
      <c r="M60" s="184">
        <v>810041</v>
      </c>
      <c r="N60" s="429"/>
      <c r="O60" s="161" t="s">
        <v>104</v>
      </c>
      <c r="P60" s="185" t="s">
        <v>301</v>
      </c>
      <c r="Q60" s="169" t="s">
        <v>103</v>
      </c>
      <c r="R60" s="163">
        <v>2919</v>
      </c>
      <c r="S60" s="164">
        <v>7.6696835085089639</v>
      </c>
      <c r="T60" s="164">
        <v>8.9479640932604578</v>
      </c>
      <c r="U60" s="165">
        <f t="shared" si="7"/>
        <v>48506.913349564944</v>
      </c>
      <c r="V60"/>
      <c r="W60" s="122"/>
      <c r="X60"/>
      <c r="Y60"/>
    </row>
    <row r="61" spans="1:25" x14ac:dyDescent="0.35">
      <c r="A61" s="61">
        <v>810210</v>
      </c>
      <c r="B61" s="410"/>
      <c r="C61" s="38" t="s">
        <v>106</v>
      </c>
      <c r="D61" s="63" t="s">
        <v>107</v>
      </c>
      <c r="E61" s="111" t="s">
        <v>228</v>
      </c>
      <c r="F61" s="110">
        <f>32.91+50.89</f>
        <v>83.8</v>
      </c>
      <c r="G61" s="41">
        <v>250</v>
      </c>
      <c r="H61" s="42">
        <v>30</v>
      </c>
      <c r="I61" s="66">
        <f t="shared" si="6"/>
        <v>23464</v>
      </c>
      <c r="M61" s="184">
        <v>810210</v>
      </c>
      <c r="N61" s="429"/>
      <c r="O61" s="161" t="s">
        <v>106</v>
      </c>
      <c r="P61" s="185" t="s">
        <v>107</v>
      </c>
      <c r="Q61" s="169" t="s">
        <v>46</v>
      </c>
      <c r="R61" s="163">
        <v>1</v>
      </c>
      <c r="S61" s="164">
        <v>130212.81873406182</v>
      </c>
      <c r="T61" s="164">
        <v>86808.545822707863</v>
      </c>
      <c r="U61" s="165">
        <f t="shared" si="7"/>
        <v>217021.36455676967</v>
      </c>
      <c r="X61" s="189"/>
    </row>
    <row r="62" spans="1:25" x14ac:dyDescent="0.35">
      <c r="A62" s="61">
        <v>810210</v>
      </c>
      <c r="B62" s="410"/>
      <c r="C62" s="38" t="s">
        <v>108</v>
      </c>
      <c r="D62" s="63" t="s">
        <v>109</v>
      </c>
      <c r="E62" s="62" t="s">
        <v>228</v>
      </c>
      <c r="F62" s="110">
        <f>F61</f>
        <v>83.8</v>
      </c>
      <c r="G62" s="41">
        <v>120</v>
      </c>
      <c r="H62" s="42">
        <v>30</v>
      </c>
      <c r="I62" s="66">
        <f t="shared" si="6"/>
        <v>12570</v>
      </c>
      <c r="M62" s="184">
        <v>810210</v>
      </c>
      <c r="N62" s="429"/>
      <c r="O62" s="161" t="s">
        <v>108</v>
      </c>
      <c r="P62" s="185" t="s">
        <v>109</v>
      </c>
      <c r="Q62" s="169" t="s">
        <v>46</v>
      </c>
      <c r="R62" s="163">
        <v>1</v>
      </c>
      <c r="S62" s="164">
        <v>10851.068227838483</v>
      </c>
      <c r="T62" s="164">
        <v>4018.9141584586978</v>
      </c>
      <c r="U62" s="165">
        <f t="shared" si="7"/>
        <v>14869.982386297181</v>
      </c>
      <c r="X62" s="168"/>
    </row>
    <row r="63" spans="1:25" ht="26" x14ac:dyDescent="0.35">
      <c r="A63" s="61">
        <v>810041</v>
      </c>
      <c r="B63" s="410"/>
      <c r="C63" s="38" t="s">
        <v>110</v>
      </c>
      <c r="D63" s="63" t="s">
        <v>111</v>
      </c>
      <c r="E63" s="65" t="s">
        <v>79</v>
      </c>
      <c r="F63" s="44">
        <v>50</v>
      </c>
      <c r="G63" s="41">
        <v>19</v>
      </c>
      <c r="H63" s="42">
        <v>32.5</v>
      </c>
      <c r="I63" s="66">
        <f>F63*G63+H63*F63</f>
        <v>2575</v>
      </c>
      <c r="M63" s="184">
        <v>810041</v>
      </c>
      <c r="N63" s="429"/>
      <c r="O63" s="161" t="s">
        <v>110</v>
      </c>
      <c r="P63" s="185" t="s">
        <v>111</v>
      </c>
      <c r="Q63" s="190" t="s">
        <v>79</v>
      </c>
      <c r="R63" s="187">
        <v>1375.4499999999998</v>
      </c>
      <c r="S63" s="164">
        <v>31.957014618787348</v>
      </c>
      <c r="T63" s="164">
        <v>23.009050525526892</v>
      </c>
      <c r="U63" s="165">
        <f t="shared" si="7"/>
        <v>75603.074302747002</v>
      </c>
    </row>
    <row r="64" spans="1:25" x14ac:dyDescent="0.35">
      <c r="A64" s="61">
        <v>810051</v>
      </c>
      <c r="B64" s="410"/>
      <c r="C64" s="53"/>
      <c r="D64" s="55" t="s">
        <v>112</v>
      </c>
      <c r="E64" s="56"/>
      <c r="F64" s="57"/>
      <c r="G64" s="58"/>
      <c r="H64" s="59"/>
      <c r="I64" s="60"/>
      <c r="M64" s="184">
        <v>810051</v>
      </c>
      <c r="N64" s="429"/>
      <c r="O64" s="176"/>
      <c r="P64" s="178" t="s">
        <v>112</v>
      </c>
      <c r="Q64" s="179"/>
      <c r="R64" s="180"/>
      <c r="S64" s="181"/>
      <c r="T64" s="182"/>
      <c r="U64" s="183"/>
    </row>
    <row r="65" spans="1:22" x14ac:dyDescent="0.35">
      <c r="A65" s="61">
        <v>810051</v>
      </c>
      <c r="B65" s="410"/>
      <c r="C65" s="38" t="s">
        <v>113</v>
      </c>
      <c r="D65" s="39" t="s">
        <v>114</v>
      </c>
      <c r="E65" s="62" t="s">
        <v>79</v>
      </c>
      <c r="F65" s="44">
        <f>2723.23+146+67.73</f>
        <v>2936.96</v>
      </c>
      <c r="G65" s="41">
        <v>0</v>
      </c>
      <c r="H65" s="42">
        <v>25</v>
      </c>
      <c r="I65" s="66">
        <f>F65*G65+H65*F65</f>
        <v>73424</v>
      </c>
      <c r="J65" s="109" t="s">
        <v>241</v>
      </c>
      <c r="M65" s="184">
        <v>810051</v>
      </c>
      <c r="N65" s="429"/>
      <c r="O65" s="161" t="s">
        <v>113</v>
      </c>
      <c r="P65" s="162" t="s">
        <v>114</v>
      </c>
      <c r="Q65" s="169" t="s">
        <v>79</v>
      </c>
      <c r="R65" s="163">
        <v>4362.3799999999992</v>
      </c>
      <c r="S65" s="164">
        <v>0</v>
      </c>
      <c r="T65" s="164">
        <v>12.78280584751494</v>
      </c>
      <c r="U65" s="165">
        <f t="shared" ref="U65:U70" si="8">R65*S65+T65*R65</f>
        <v>55763.456573082214</v>
      </c>
    </row>
    <row r="66" spans="1:22" x14ac:dyDescent="0.35">
      <c r="A66" s="61">
        <v>810051</v>
      </c>
      <c r="B66" s="410"/>
      <c r="C66" s="38" t="s">
        <v>115</v>
      </c>
      <c r="D66" s="39" t="s">
        <v>272</v>
      </c>
      <c r="E66" s="62" t="s">
        <v>79</v>
      </c>
      <c r="F66" s="44">
        <f>F65</f>
        <v>2936.96</v>
      </c>
      <c r="G66" s="41">
        <v>20</v>
      </c>
      <c r="H66" s="42">
        <v>19</v>
      </c>
      <c r="I66" s="66">
        <f t="shared" ref="I66:I70" si="9">F66*G66+H66*F66</f>
        <v>114541.44</v>
      </c>
      <c r="M66" s="184">
        <v>810051</v>
      </c>
      <c r="N66" s="429"/>
      <c r="O66" s="161" t="s">
        <v>115</v>
      </c>
      <c r="P66" s="162" t="s">
        <v>302</v>
      </c>
      <c r="Q66" s="169" t="s">
        <v>79</v>
      </c>
      <c r="R66" s="163">
        <v>4362.3799999999992</v>
      </c>
      <c r="S66" s="164">
        <v>40.904978712047807</v>
      </c>
      <c r="T66" s="164">
        <v>25.56561169502988</v>
      </c>
      <c r="U66" s="165">
        <f t="shared" si="8"/>
        <v>289969.97418002749</v>
      </c>
    </row>
    <row r="67" spans="1:22" ht="26" x14ac:dyDescent="0.35">
      <c r="A67" s="61">
        <v>810051</v>
      </c>
      <c r="B67" s="410"/>
      <c r="C67" s="113" t="s">
        <v>116</v>
      </c>
      <c r="D67" s="63" t="s">
        <v>117</v>
      </c>
      <c r="E67" s="62" t="s">
        <v>79</v>
      </c>
      <c r="F67" s="40">
        <v>3647.53</v>
      </c>
      <c r="G67" s="41">
        <v>5</v>
      </c>
      <c r="H67" s="42">
        <v>80</v>
      </c>
      <c r="I67" s="66">
        <f t="shared" si="9"/>
        <v>310040.05000000005</v>
      </c>
      <c r="M67" s="184">
        <v>810051</v>
      </c>
      <c r="N67" s="429"/>
      <c r="O67" s="161" t="s">
        <v>116</v>
      </c>
      <c r="P67" s="185" t="s">
        <v>117</v>
      </c>
      <c r="Q67" s="169" t="s">
        <v>79</v>
      </c>
      <c r="R67" s="163">
        <v>3171.76</v>
      </c>
      <c r="S67" s="164">
        <v>0</v>
      </c>
      <c r="T67" s="164">
        <v>51.131223390059759</v>
      </c>
      <c r="U67" s="165">
        <f t="shared" si="8"/>
        <v>162175.96909965595</v>
      </c>
    </row>
    <row r="68" spans="1:22" ht="29" x14ac:dyDescent="0.35">
      <c r="A68" s="61">
        <v>810051</v>
      </c>
      <c r="B68" s="410"/>
      <c r="C68" s="113" t="s">
        <v>118</v>
      </c>
      <c r="D68" s="39" t="s">
        <v>119</v>
      </c>
      <c r="E68" s="62" t="s">
        <v>68</v>
      </c>
      <c r="F68" s="40">
        <v>503</v>
      </c>
      <c r="G68" s="41">
        <v>35</v>
      </c>
      <c r="H68" s="42">
        <v>10</v>
      </c>
      <c r="I68" s="66">
        <f t="shared" si="9"/>
        <v>22635</v>
      </c>
      <c r="J68" s="109" t="s">
        <v>255</v>
      </c>
      <c r="M68" s="184">
        <v>810051</v>
      </c>
      <c r="N68" s="429"/>
      <c r="O68" s="161" t="s">
        <v>118</v>
      </c>
      <c r="P68" s="162" t="s">
        <v>119</v>
      </c>
      <c r="Q68" s="169" t="s">
        <v>68</v>
      </c>
      <c r="R68" s="191">
        <v>333.76</v>
      </c>
      <c r="S68" s="164">
        <v>201.96833239073604</v>
      </c>
      <c r="T68" s="164">
        <v>38.348417542544823</v>
      </c>
      <c r="U68" s="165">
        <f t="shared" si="8"/>
        <v>80208.118457731805</v>
      </c>
    </row>
    <row r="69" spans="1:22" x14ac:dyDescent="0.35">
      <c r="A69" s="61">
        <v>810051</v>
      </c>
      <c r="B69" s="410"/>
      <c r="C69" s="38" t="s">
        <v>120</v>
      </c>
      <c r="D69" s="39" t="s">
        <v>121</v>
      </c>
      <c r="E69" s="62" t="s">
        <v>68</v>
      </c>
      <c r="F69" s="40">
        <v>666.76</v>
      </c>
      <c r="G69" s="41">
        <v>35</v>
      </c>
      <c r="H69" s="42">
        <v>10</v>
      </c>
      <c r="I69" s="66">
        <f t="shared" si="9"/>
        <v>30004.199999999997</v>
      </c>
      <c r="M69" s="184">
        <v>810051</v>
      </c>
      <c r="N69" s="429"/>
      <c r="O69" s="161" t="s">
        <v>120</v>
      </c>
      <c r="P69" s="162" t="s">
        <v>121</v>
      </c>
      <c r="Q69" s="169" t="s">
        <v>68</v>
      </c>
      <c r="R69" s="163">
        <v>503.29</v>
      </c>
      <c r="S69" s="164">
        <v>201.96833239073604</v>
      </c>
      <c r="T69" s="164">
        <v>38.348417542544823</v>
      </c>
      <c r="U69" s="165">
        <f t="shared" si="8"/>
        <v>120949.01707392093</v>
      </c>
    </row>
    <row r="70" spans="1:22" ht="39" x14ac:dyDescent="0.35">
      <c r="A70" s="61">
        <v>810051</v>
      </c>
      <c r="B70" s="410"/>
      <c r="C70" s="38" t="s">
        <v>122</v>
      </c>
      <c r="D70" s="39" t="s">
        <v>123</v>
      </c>
      <c r="E70" s="62" t="s">
        <v>79</v>
      </c>
      <c r="F70" s="40">
        <v>187.72</v>
      </c>
      <c r="G70" s="41">
        <v>30</v>
      </c>
      <c r="H70" s="42">
        <v>30</v>
      </c>
      <c r="I70" s="66">
        <f t="shared" si="9"/>
        <v>11263.2</v>
      </c>
      <c r="M70" s="184">
        <v>810051</v>
      </c>
      <c r="N70" s="429"/>
      <c r="O70" s="161" t="s">
        <v>122</v>
      </c>
      <c r="P70" s="162" t="s">
        <v>123</v>
      </c>
      <c r="Q70" s="169" t="s">
        <v>79</v>
      </c>
      <c r="R70" s="191">
        <v>163.22999999999999</v>
      </c>
      <c r="S70" s="164">
        <v>12.131521889584054</v>
      </c>
      <c r="T70" s="164">
        <v>44.739820466302291</v>
      </c>
      <c r="U70" s="165">
        <f t="shared" si="8"/>
        <v>9283.1092127513275</v>
      </c>
    </row>
    <row r="71" spans="1:22" x14ac:dyDescent="0.35">
      <c r="A71" s="61">
        <v>810210</v>
      </c>
      <c r="B71" s="410"/>
      <c r="C71" s="53"/>
      <c r="D71" s="55" t="s">
        <v>124</v>
      </c>
      <c r="E71" s="56"/>
      <c r="F71" s="57"/>
      <c r="G71" s="58"/>
      <c r="H71" s="59"/>
      <c r="I71" s="60"/>
      <c r="M71" s="184">
        <v>810210</v>
      </c>
      <c r="N71" s="429"/>
      <c r="O71" s="176"/>
      <c r="P71" s="178" t="s">
        <v>124</v>
      </c>
      <c r="Q71" s="179"/>
      <c r="R71" s="180"/>
      <c r="S71" s="181"/>
      <c r="T71" s="182"/>
      <c r="U71" s="183"/>
    </row>
    <row r="72" spans="1:22" x14ac:dyDescent="0.35">
      <c r="A72" s="61">
        <v>810210</v>
      </c>
      <c r="B72" s="410"/>
      <c r="C72" s="38" t="s">
        <v>125</v>
      </c>
      <c r="D72" s="39" t="s">
        <v>126</v>
      </c>
      <c r="E72" s="38" t="s">
        <v>79</v>
      </c>
      <c r="F72" s="40"/>
      <c r="G72" s="41"/>
      <c r="H72" s="42"/>
      <c r="I72" s="66">
        <f>F72*G72+H72*F72</f>
        <v>0</v>
      </c>
      <c r="M72" s="184">
        <v>810210</v>
      </c>
      <c r="N72" s="429"/>
      <c r="O72" s="161" t="s">
        <v>125</v>
      </c>
      <c r="P72" s="162" t="s">
        <v>126</v>
      </c>
      <c r="Q72" s="161" t="s">
        <v>79</v>
      </c>
      <c r="R72" s="163">
        <v>190</v>
      </c>
      <c r="S72" s="164">
        <v>44.739820466302291</v>
      </c>
      <c r="T72" s="164">
        <v>31.957014618787348</v>
      </c>
      <c r="U72" s="165">
        <f>R72*S72+T72*R72</f>
        <v>14572.398666167031</v>
      </c>
    </row>
    <row r="73" spans="1:22" x14ac:dyDescent="0.35">
      <c r="A73" s="61">
        <v>810210</v>
      </c>
      <c r="B73" s="410"/>
      <c r="C73" s="38" t="s">
        <v>127</v>
      </c>
      <c r="D73" s="39" t="s">
        <v>128</v>
      </c>
      <c r="E73" s="38" t="s">
        <v>103</v>
      </c>
      <c r="F73" s="40"/>
      <c r="G73" s="41"/>
      <c r="H73" s="42"/>
      <c r="I73" s="66">
        <f>F73*G73+H73*F73</f>
        <v>0</v>
      </c>
      <c r="M73" s="184">
        <v>810210</v>
      </c>
      <c r="N73" s="429"/>
      <c r="O73" s="161" t="s">
        <v>127</v>
      </c>
      <c r="P73" s="162" t="s">
        <v>128</v>
      </c>
      <c r="Q73" s="161" t="s">
        <v>103</v>
      </c>
      <c r="R73" s="163">
        <v>45</v>
      </c>
      <c r="S73" s="164">
        <v>133.54945686686921</v>
      </c>
      <c r="T73" s="164">
        <v>79.427137659024922</v>
      </c>
      <c r="U73" s="165">
        <f>R73*S73+T73*R73</f>
        <v>9583.9467536652355</v>
      </c>
    </row>
    <row r="74" spans="1:22" x14ac:dyDescent="0.35">
      <c r="A74" s="61">
        <v>810210</v>
      </c>
      <c r="B74" s="410"/>
      <c r="C74" s="38" t="s">
        <v>129</v>
      </c>
      <c r="D74" s="39" t="s">
        <v>130</v>
      </c>
      <c r="E74" s="38" t="s">
        <v>103</v>
      </c>
      <c r="F74" s="40">
        <v>2</v>
      </c>
      <c r="G74" s="41">
        <v>530</v>
      </c>
      <c r="H74" s="42"/>
      <c r="I74" s="66">
        <f>F74*G74+H74*F74</f>
        <v>1060</v>
      </c>
      <c r="M74" s="184">
        <v>810210</v>
      </c>
      <c r="N74" s="429"/>
      <c r="O74" s="161" t="s">
        <v>129</v>
      </c>
      <c r="P74" s="162" t="s">
        <v>130</v>
      </c>
      <c r="Q74" s="161" t="s">
        <v>103</v>
      </c>
      <c r="R74" s="163">
        <v>15</v>
      </c>
      <c r="S74" s="164">
        <v>51.540273177180239</v>
      </c>
      <c r="T74" s="164">
        <v>15.462081953154071</v>
      </c>
      <c r="U74" s="165">
        <f>R74*S74+T74*R74</f>
        <v>1005.0353269550146</v>
      </c>
    </row>
    <row r="75" spans="1:22" x14ac:dyDescent="0.35">
      <c r="A75" s="61">
        <v>810210</v>
      </c>
      <c r="B75" s="67"/>
      <c r="C75" s="38" t="s">
        <v>131</v>
      </c>
      <c r="D75" s="39" t="s">
        <v>132</v>
      </c>
      <c r="E75" s="38" t="s">
        <v>103</v>
      </c>
      <c r="F75" s="40">
        <v>6</v>
      </c>
      <c r="G75" s="41">
        <v>650</v>
      </c>
      <c r="H75" s="42"/>
      <c r="I75" s="66">
        <f>F75*G75+H75*F75</f>
        <v>3900</v>
      </c>
      <c r="M75" s="184">
        <v>810210</v>
      </c>
      <c r="N75" s="192"/>
      <c r="O75" s="161" t="s">
        <v>131</v>
      </c>
      <c r="P75" s="162" t="s">
        <v>132</v>
      </c>
      <c r="Q75" s="161" t="s">
        <v>103</v>
      </c>
      <c r="R75" s="163">
        <v>10</v>
      </c>
      <c r="S75" s="164">
        <v>2265.6245084135476</v>
      </c>
      <c r="T75" s="164">
        <v>1510.4163389423654</v>
      </c>
      <c r="U75" s="165">
        <f>R75*S75+T75*R75</f>
        <v>37760.408473559131</v>
      </c>
    </row>
    <row r="76" spans="1:22" x14ac:dyDescent="0.35">
      <c r="A76" s="68"/>
      <c r="B76" s="68"/>
      <c r="C76" s="47" t="s">
        <v>133</v>
      </c>
      <c r="D76" s="48" t="s">
        <v>134</v>
      </c>
      <c r="E76" s="47"/>
      <c r="F76" s="49"/>
      <c r="G76" s="50"/>
      <c r="H76" s="51"/>
      <c r="I76" s="52">
        <f>SUM(I77:I97)</f>
        <v>550994.93999999994</v>
      </c>
      <c r="M76" s="151"/>
      <c r="N76" s="151"/>
      <c r="O76" s="170" t="s">
        <v>133</v>
      </c>
      <c r="P76" s="171" t="s">
        <v>134</v>
      </c>
      <c r="Q76" s="170"/>
      <c r="R76" s="172"/>
      <c r="S76" s="173"/>
      <c r="T76" s="174"/>
      <c r="U76" s="175">
        <f>SUM(U77:U97)</f>
        <v>632069.33859687333</v>
      </c>
    </row>
    <row r="77" spans="1:22" ht="72.5" x14ac:dyDescent="0.35">
      <c r="A77" s="61">
        <v>810213</v>
      </c>
      <c r="B77" s="409" t="s">
        <v>134</v>
      </c>
      <c r="C77" s="38" t="s">
        <v>135</v>
      </c>
      <c r="D77" s="39" t="s">
        <v>136</v>
      </c>
      <c r="E77" s="62" t="s">
        <v>79</v>
      </c>
      <c r="F77" s="40">
        <v>272.51</v>
      </c>
      <c r="G77" s="69">
        <v>10</v>
      </c>
      <c r="H77" s="70">
        <f>H55</f>
        <v>49</v>
      </c>
      <c r="I77" s="66">
        <f t="shared" ref="I77:I97" si="10">F77*G77+H77*F77</f>
        <v>16078.09</v>
      </c>
      <c r="J77" s="117" t="s">
        <v>286</v>
      </c>
      <c r="M77" s="184">
        <v>810213</v>
      </c>
      <c r="N77" s="445" t="s">
        <v>134</v>
      </c>
      <c r="O77" s="161" t="s">
        <v>135</v>
      </c>
      <c r="P77" s="162" t="s">
        <v>136</v>
      </c>
      <c r="Q77" s="169" t="s">
        <v>79</v>
      </c>
      <c r="R77" s="163">
        <v>179.55</v>
      </c>
      <c r="S77" s="164">
        <v>151.53668767737966</v>
      </c>
      <c r="T77" s="164">
        <v>56.160266772297014</v>
      </c>
      <c r="U77" s="165">
        <f t="shared" ref="U77:U97" si="11">R77*S77+T77*R77</f>
        <v>37291.988171439451</v>
      </c>
    </row>
    <row r="78" spans="1:22" x14ac:dyDescent="0.35">
      <c r="A78" s="61">
        <v>810213</v>
      </c>
      <c r="B78" s="410"/>
      <c r="C78" s="38" t="s">
        <v>137</v>
      </c>
      <c r="D78" s="39" t="s">
        <v>138</v>
      </c>
      <c r="E78" s="62" t="s">
        <v>79</v>
      </c>
      <c r="F78" s="40">
        <f>1614-30.5-10.4</f>
        <v>1573.1</v>
      </c>
      <c r="G78" s="115">
        <v>80</v>
      </c>
      <c r="H78" s="119">
        <f>(35*1.35)+20</f>
        <v>67.25</v>
      </c>
      <c r="I78" s="66">
        <f t="shared" si="10"/>
        <v>231638.97499999998</v>
      </c>
      <c r="M78" s="184">
        <v>810213</v>
      </c>
      <c r="N78" s="429"/>
      <c r="O78" s="161" t="s">
        <v>137</v>
      </c>
      <c r="P78" s="162" t="s">
        <v>138</v>
      </c>
      <c r="Q78" s="169" t="s">
        <v>79</v>
      </c>
      <c r="R78" s="163">
        <v>400.18400000000003</v>
      </c>
      <c r="S78" s="164">
        <v>173.1851896101881</v>
      </c>
      <c r="T78" s="164">
        <v>63.911013280468147</v>
      </c>
      <c r="U78" s="165">
        <f t="shared" si="11"/>
        <v>94882.106857594394</v>
      </c>
    </row>
    <row r="79" spans="1:22" ht="26" x14ac:dyDescent="0.35">
      <c r="A79" s="61">
        <v>810213</v>
      </c>
      <c r="B79" s="410"/>
      <c r="C79" s="38" t="s">
        <v>139</v>
      </c>
      <c r="D79" s="39" t="s">
        <v>140</v>
      </c>
      <c r="E79" s="62" t="s">
        <v>79</v>
      </c>
      <c r="F79" s="40">
        <f>30.5+10.4</f>
        <v>40.9</v>
      </c>
      <c r="G79" s="115">
        <v>80</v>
      </c>
      <c r="H79" s="119">
        <f>35*1.35</f>
        <v>47.25</v>
      </c>
      <c r="I79" s="66">
        <f t="shared" si="10"/>
        <v>5204.5249999999996</v>
      </c>
      <c r="M79" s="184">
        <v>810213</v>
      </c>
      <c r="N79" s="429"/>
      <c r="O79" s="161" t="s">
        <v>139</v>
      </c>
      <c r="P79" s="162" t="s">
        <v>140</v>
      </c>
      <c r="Q79" s="169" t="s">
        <v>79</v>
      </c>
      <c r="R79" s="163">
        <v>200.09200000000001</v>
      </c>
      <c r="S79" s="164">
        <v>236.77165944792023</v>
      </c>
      <c r="T79" s="164">
        <v>70.30211460851497</v>
      </c>
      <c r="U79" s="165">
        <f t="shared" si="11"/>
        <v>61443.005598500233</v>
      </c>
    </row>
    <row r="80" spans="1:22" ht="29" x14ac:dyDescent="0.35">
      <c r="A80" s="61">
        <v>810213</v>
      </c>
      <c r="B80" s="410"/>
      <c r="C80" s="38" t="s">
        <v>141</v>
      </c>
      <c r="D80" s="39" t="s">
        <v>142</v>
      </c>
      <c r="E80" s="38" t="s">
        <v>103</v>
      </c>
      <c r="F80" s="40">
        <f>124-61</f>
        <v>63</v>
      </c>
      <c r="G80" s="69">
        <v>180</v>
      </c>
      <c r="H80" s="70"/>
      <c r="I80" s="66">
        <f t="shared" si="10"/>
        <v>11340</v>
      </c>
      <c r="J80" s="109" t="s">
        <v>285</v>
      </c>
      <c r="M80" s="184">
        <v>810213</v>
      </c>
      <c r="N80" s="429"/>
      <c r="O80" s="161" t="s">
        <v>141</v>
      </c>
      <c r="P80" s="162" t="s">
        <v>142</v>
      </c>
      <c r="Q80" s="161" t="s">
        <v>103</v>
      </c>
      <c r="R80" s="163">
        <v>179</v>
      </c>
      <c r="S80" s="164">
        <v>70.305432161332163</v>
      </c>
      <c r="T80" s="164">
        <v>31.957014618787348</v>
      </c>
      <c r="U80" s="165">
        <f t="shared" si="11"/>
        <v>18304.977973641391</v>
      </c>
      <c r="V80" s="186"/>
    </row>
    <row r="81" spans="1:22" ht="39" x14ac:dyDescent="0.35">
      <c r="A81" s="61">
        <v>810213</v>
      </c>
      <c r="B81" s="410"/>
      <c r="C81" s="38" t="s">
        <v>143</v>
      </c>
      <c r="D81" s="39" t="s">
        <v>144</v>
      </c>
      <c r="E81" s="62" t="s">
        <v>79</v>
      </c>
      <c r="F81" s="40">
        <f>272.51</f>
        <v>272.51</v>
      </c>
      <c r="G81" s="69">
        <v>30</v>
      </c>
      <c r="H81" s="70">
        <v>55</v>
      </c>
      <c r="I81" s="66">
        <f t="shared" si="10"/>
        <v>23163.35</v>
      </c>
      <c r="M81" s="184">
        <v>810213</v>
      </c>
      <c r="N81" s="429"/>
      <c r="O81" s="161" t="s">
        <v>143</v>
      </c>
      <c r="P81" s="162" t="s">
        <v>303</v>
      </c>
      <c r="Q81" s="169" t="s">
        <v>79</v>
      </c>
      <c r="R81" s="163">
        <v>272.51</v>
      </c>
      <c r="S81" s="164">
        <v>0</v>
      </c>
      <c r="T81" s="164">
        <v>51.131223390059759</v>
      </c>
      <c r="U81" s="165">
        <f t="shared" si="11"/>
        <v>13933.769686025185</v>
      </c>
    </row>
    <row r="82" spans="1:22" x14ac:dyDescent="0.35">
      <c r="A82" s="61">
        <v>810213</v>
      </c>
      <c r="B82" s="410"/>
      <c r="C82" s="113" t="s">
        <v>145</v>
      </c>
      <c r="D82" s="39" t="s">
        <v>121</v>
      </c>
      <c r="E82" s="62" t="s">
        <v>68</v>
      </c>
      <c r="F82" s="40">
        <v>503.29</v>
      </c>
      <c r="G82" s="227"/>
      <c r="H82" s="70"/>
      <c r="I82" s="66">
        <f t="shared" si="10"/>
        <v>0</v>
      </c>
      <c r="M82" s="184">
        <v>810213</v>
      </c>
      <c r="N82" s="429"/>
      <c r="O82" s="161" t="s">
        <v>145</v>
      </c>
      <c r="P82" s="162" t="s">
        <v>121</v>
      </c>
      <c r="Q82" s="169" t="s">
        <v>68</v>
      </c>
      <c r="R82" s="163">
        <v>179.11</v>
      </c>
      <c r="S82" s="164">
        <v>201.96833239073604</v>
      </c>
      <c r="T82" s="164">
        <v>38.348417542544823</v>
      </c>
      <c r="U82" s="165">
        <f t="shared" si="11"/>
        <v>43043.133080549938</v>
      </c>
    </row>
    <row r="83" spans="1:22" ht="26" x14ac:dyDescent="0.35">
      <c r="A83" s="61">
        <v>810213</v>
      </c>
      <c r="B83" s="410"/>
      <c r="C83" s="38" t="s">
        <v>146</v>
      </c>
      <c r="D83" s="39" t="s">
        <v>147</v>
      </c>
      <c r="E83" s="62" t="s">
        <v>103</v>
      </c>
      <c r="F83" s="44">
        <v>61</v>
      </c>
      <c r="G83" s="69">
        <v>250</v>
      </c>
      <c r="H83" s="71">
        <v>15</v>
      </c>
      <c r="I83" s="66">
        <f t="shared" si="10"/>
        <v>16165</v>
      </c>
      <c r="M83" s="184">
        <v>810213</v>
      </c>
      <c r="N83" s="429"/>
      <c r="O83" s="161" t="s">
        <v>146</v>
      </c>
      <c r="P83" s="162" t="s">
        <v>147</v>
      </c>
      <c r="Q83" s="169" t="s">
        <v>103</v>
      </c>
      <c r="R83" s="163">
        <v>63</v>
      </c>
      <c r="S83" s="164">
        <v>190.46380712797261</v>
      </c>
      <c r="T83" s="164">
        <v>31.957014618787348</v>
      </c>
      <c r="U83" s="165">
        <f t="shared" si="11"/>
        <v>14012.511770045878</v>
      </c>
      <c r="V83" s="186"/>
    </row>
    <row r="84" spans="1:22" ht="26" x14ac:dyDescent="0.35">
      <c r="A84" s="61">
        <v>810213</v>
      </c>
      <c r="B84" s="410"/>
      <c r="C84" s="38" t="s">
        <v>148</v>
      </c>
      <c r="D84" s="39" t="s">
        <v>149</v>
      </c>
      <c r="E84" s="62" t="s">
        <v>103</v>
      </c>
      <c r="F84" s="44">
        <v>61</v>
      </c>
      <c r="G84" s="69">
        <v>840</v>
      </c>
      <c r="H84" s="70">
        <v>25</v>
      </c>
      <c r="I84" s="66">
        <f t="shared" si="10"/>
        <v>52765</v>
      </c>
      <c r="J84" s="109" t="s">
        <v>294</v>
      </c>
      <c r="M84" s="184">
        <v>810213</v>
      </c>
      <c r="N84" s="429"/>
      <c r="O84" s="161" t="s">
        <v>148</v>
      </c>
      <c r="P84" s="162" t="s">
        <v>304</v>
      </c>
      <c r="Q84" s="169" t="s">
        <v>103</v>
      </c>
      <c r="R84" s="163">
        <v>63</v>
      </c>
      <c r="S84" s="164">
        <v>850.05658885974344</v>
      </c>
      <c r="T84" s="164">
        <v>0</v>
      </c>
      <c r="U84" s="165">
        <f t="shared" si="11"/>
        <v>53553.565098163839</v>
      </c>
    </row>
    <row r="85" spans="1:22" x14ac:dyDescent="0.35">
      <c r="A85" s="61">
        <v>810213</v>
      </c>
      <c r="B85" s="410"/>
      <c r="C85" s="38" t="s">
        <v>150</v>
      </c>
      <c r="D85" s="39" t="s">
        <v>151</v>
      </c>
      <c r="E85" s="62" t="s">
        <v>103</v>
      </c>
      <c r="F85" s="44">
        <v>61</v>
      </c>
      <c r="G85" s="69">
        <v>150</v>
      </c>
      <c r="H85" s="70">
        <v>30</v>
      </c>
      <c r="I85" s="66">
        <f t="shared" si="10"/>
        <v>10980</v>
      </c>
      <c r="M85" s="184">
        <v>810213</v>
      </c>
      <c r="N85" s="429"/>
      <c r="O85" s="161" t="s">
        <v>150</v>
      </c>
      <c r="P85" s="162" t="s">
        <v>151</v>
      </c>
      <c r="Q85" s="169" t="s">
        <v>103</v>
      </c>
      <c r="R85" s="163">
        <v>63</v>
      </c>
      <c r="S85" s="164">
        <v>70.305432161332163</v>
      </c>
      <c r="T85" s="164">
        <v>31.957014618787348</v>
      </c>
      <c r="U85" s="165">
        <f t="shared" si="11"/>
        <v>6442.5341471475294</v>
      </c>
    </row>
    <row r="86" spans="1:22" ht="21.75" customHeight="1" x14ac:dyDescent="0.35">
      <c r="A86" s="61">
        <v>810213</v>
      </c>
      <c r="B86" s="410"/>
      <c r="C86" s="38" t="s">
        <v>152</v>
      </c>
      <c r="D86" s="39" t="s">
        <v>153</v>
      </c>
      <c r="E86" s="62" t="s">
        <v>79</v>
      </c>
      <c r="F86" s="40">
        <f>6*1.3*2.5</f>
        <v>19.5</v>
      </c>
      <c r="G86" s="69">
        <v>550</v>
      </c>
      <c r="H86" s="70">
        <v>100</v>
      </c>
      <c r="I86" s="66">
        <f t="shared" si="10"/>
        <v>12675</v>
      </c>
      <c r="M86" s="184">
        <v>810213</v>
      </c>
      <c r="N86" s="429"/>
      <c r="O86" s="161" t="s">
        <v>152</v>
      </c>
      <c r="P86" s="162" t="s">
        <v>153</v>
      </c>
      <c r="Q86" s="169" t="s">
        <v>79</v>
      </c>
      <c r="R86" s="163">
        <v>18</v>
      </c>
      <c r="S86" s="164">
        <v>530.37139741924238</v>
      </c>
      <c r="T86" s="164">
        <v>0</v>
      </c>
      <c r="U86" s="165">
        <f t="shared" si="11"/>
        <v>9546.6851535463629</v>
      </c>
    </row>
    <row r="87" spans="1:22" ht="26" x14ac:dyDescent="0.35">
      <c r="A87" s="61">
        <v>810213</v>
      </c>
      <c r="B87" s="410"/>
      <c r="C87" s="38" t="s">
        <v>154</v>
      </c>
      <c r="D87" s="39" t="s">
        <v>155</v>
      </c>
      <c r="E87" s="38" t="s">
        <v>103</v>
      </c>
      <c r="F87" s="40">
        <v>4</v>
      </c>
      <c r="G87" s="69">
        <v>2100</v>
      </c>
      <c r="H87" s="70">
        <v>300</v>
      </c>
      <c r="I87" s="66">
        <f t="shared" si="10"/>
        <v>9600</v>
      </c>
      <c r="M87" s="184">
        <v>810213</v>
      </c>
      <c r="N87" s="429"/>
      <c r="O87" s="161" t="s">
        <v>154</v>
      </c>
      <c r="P87" s="162" t="s">
        <v>155</v>
      </c>
      <c r="Q87" s="161" t="s">
        <v>103</v>
      </c>
      <c r="R87" s="163">
        <v>2</v>
      </c>
      <c r="S87" s="164">
        <v>2155.5645500664441</v>
      </c>
      <c r="T87" s="164">
        <v>0</v>
      </c>
      <c r="U87" s="165">
        <f t="shared" si="11"/>
        <v>4311.1291001328882</v>
      </c>
    </row>
    <row r="88" spans="1:22" x14ac:dyDescent="0.35">
      <c r="A88" s="61">
        <v>810213</v>
      </c>
      <c r="B88" s="410"/>
      <c r="C88" s="114" t="s">
        <v>156</v>
      </c>
      <c r="D88" s="39" t="s">
        <v>157</v>
      </c>
      <c r="E88" s="38" t="s">
        <v>46</v>
      </c>
      <c r="F88" s="40">
        <v>2</v>
      </c>
      <c r="G88" s="69">
        <v>9800</v>
      </c>
      <c r="H88" s="70"/>
      <c r="I88" s="66">
        <f t="shared" si="10"/>
        <v>19600</v>
      </c>
      <c r="M88" s="184">
        <v>810213</v>
      </c>
      <c r="N88" s="429"/>
      <c r="O88" s="161" t="s">
        <v>156</v>
      </c>
      <c r="P88" s="162" t="s">
        <v>157</v>
      </c>
      <c r="Q88" s="161" t="s">
        <v>46</v>
      </c>
      <c r="R88" s="163">
        <v>1</v>
      </c>
      <c r="S88" s="164">
        <v>5517.0590037874481</v>
      </c>
      <c r="T88" s="164">
        <v>1322.8670115476261</v>
      </c>
      <c r="U88" s="165">
        <f t="shared" si="11"/>
        <v>6839.9260153350742</v>
      </c>
    </row>
    <row r="89" spans="1:22" x14ac:dyDescent="0.35">
      <c r="A89" s="61">
        <v>810213</v>
      </c>
      <c r="B89" s="410"/>
      <c r="C89" s="114" t="s">
        <v>158</v>
      </c>
      <c r="D89" s="39" t="s">
        <v>159</v>
      </c>
      <c r="E89" s="38" t="s">
        <v>103</v>
      </c>
      <c r="F89" s="40">
        <v>61</v>
      </c>
      <c r="G89" s="69">
        <v>950</v>
      </c>
      <c r="H89" s="70">
        <v>250</v>
      </c>
      <c r="I89" s="66">
        <f t="shared" si="10"/>
        <v>73200</v>
      </c>
      <c r="M89" s="184">
        <v>810213</v>
      </c>
      <c r="N89" s="429"/>
      <c r="O89" s="161" t="s">
        <v>158</v>
      </c>
      <c r="P89" s="162" t="s">
        <v>159</v>
      </c>
      <c r="Q89" s="161" t="s">
        <v>103</v>
      </c>
      <c r="R89" s="163">
        <v>75.599999999999994</v>
      </c>
      <c r="S89" s="164">
        <v>51.131223390059759</v>
      </c>
      <c r="T89" s="164">
        <v>12.78280584751494</v>
      </c>
      <c r="U89" s="165">
        <f t="shared" si="11"/>
        <v>4831.9006103606462</v>
      </c>
    </row>
    <row r="90" spans="1:22" x14ac:dyDescent="0.35">
      <c r="A90" s="61">
        <v>810213</v>
      </c>
      <c r="B90" s="410"/>
      <c r="C90" s="114" t="s">
        <v>160</v>
      </c>
      <c r="D90" s="39" t="s">
        <v>161</v>
      </c>
      <c r="E90" s="38" t="s">
        <v>46</v>
      </c>
      <c r="F90" s="40">
        <v>61</v>
      </c>
      <c r="G90" s="69">
        <v>680</v>
      </c>
      <c r="H90" s="70">
        <v>30</v>
      </c>
      <c r="I90" s="66">
        <f t="shared" si="10"/>
        <v>43310</v>
      </c>
      <c r="M90" s="184">
        <v>810213</v>
      </c>
      <c r="N90" s="429"/>
      <c r="O90" s="161" t="s">
        <v>160</v>
      </c>
      <c r="P90" s="193" t="s">
        <v>161</v>
      </c>
      <c r="Q90" s="161" t="s">
        <v>46</v>
      </c>
      <c r="R90" s="163">
        <v>1</v>
      </c>
      <c r="S90" s="164">
        <v>46507.043374721237</v>
      </c>
      <c r="T90" s="164">
        <v>6643.8633392458914</v>
      </c>
      <c r="U90" s="165">
        <f t="shared" si="11"/>
        <v>53150.906713967132</v>
      </c>
      <c r="V90" s="168"/>
    </row>
    <row r="91" spans="1:22" x14ac:dyDescent="0.35">
      <c r="A91" s="61">
        <v>810213</v>
      </c>
      <c r="B91" s="410"/>
      <c r="C91" s="38" t="s">
        <v>162</v>
      </c>
      <c r="D91" s="39" t="s">
        <v>163</v>
      </c>
      <c r="E91" s="38" t="s">
        <v>103</v>
      </c>
      <c r="F91" s="40"/>
      <c r="G91" s="69"/>
      <c r="H91" s="70"/>
      <c r="I91" s="66">
        <f t="shared" si="10"/>
        <v>0</v>
      </c>
      <c r="M91" s="184">
        <v>810213</v>
      </c>
      <c r="N91" s="429"/>
      <c r="O91" s="161" t="s">
        <v>162</v>
      </c>
      <c r="P91" s="162" t="s">
        <v>163</v>
      </c>
      <c r="Q91" s="161" t="s">
        <v>103</v>
      </c>
      <c r="R91" s="163">
        <v>63</v>
      </c>
      <c r="S91" s="164">
        <v>44.739820466302291</v>
      </c>
      <c r="T91" s="164">
        <v>31.957014618787348</v>
      </c>
      <c r="U91" s="165">
        <f t="shared" si="11"/>
        <v>4831.9006103606471</v>
      </c>
      <c r="V91" s="186"/>
    </row>
    <row r="92" spans="1:22" x14ac:dyDescent="0.35">
      <c r="A92" s="61">
        <v>810213</v>
      </c>
      <c r="B92" s="410"/>
      <c r="C92" s="38" t="s">
        <v>164</v>
      </c>
      <c r="D92" s="39" t="s">
        <v>126</v>
      </c>
      <c r="E92" s="38" t="s">
        <v>103</v>
      </c>
      <c r="F92" s="40"/>
      <c r="G92" s="69"/>
      <c r="H92" s="70"/>
      <c r="I92" s="66">
        <f t="shared" si="10"/>
        <v>0</v>
      </c>
      <c r="M92" s="184">
        <v>810213</v>
      </c>
      <c r="N92" s="429"/>
      <c r="O92" s="161" t="s">
        <v>164</v>
      </c>
      <c r="P92" s="162" t="s">
        <v>126</v>
      </c>
      <c r="Q92" s="161" t="s">
        <v>103</v>
      </c>
      <c r="R92" s="163">
        <v>126</v>
      </c>
      <c r="S92" s="164">
        <v>44.739820466302291</v>
      </c>
      <c r="T92" s="164">
        <v>31.957014618787348</v>
      </c>
      <c r="U92" s="165">
        <f t="shared" si="11"/>
        <v>9663.8012207212942</v>
      </c>
      <c r="V92" s="168"/>
    </row>
    <row r="93" spans="1:22" x14ac:dyDescent="0.35">
      <c r="A93" s="61">
        <v>810213</v>
      </c>
      <c r="B93" s="410"/>
      <c r="C93" s="38" t="s">
        <v>165</v>
      </c>
      <c r="D93" s="39" t="s">
        <v>166</v>
      </c>
      <c r="E93" s="38" t="s">
        <v>103</v>
      </c>
      <c r="F93" s="40"/>
      <c r="G93" s="69"/>
      <c r="H93" s="70"/>
      <c r="I93" s="66">
        <f t="shared" si="10"/>
        <v>0</v>
      </c>
      <c r="M93" s="184">
        <v>810213</v>
      </c>
      <c r="N93" s="429"/>
      <c r="O93" s="161" t="s">
        <v>165</v>
      </c>
      <c r="P93" s="162" t="s">
        <v>166</v>
      </c>
      <c r="Q93" s="161" t="s">
        <v>103</v>
      </c>
      <c r="R93" s="163">
        <v>63</v>
      </c>
      <c r="S93" s="164">
        <v>127.82805847514939</v>
      </c>
      <c r="T93" s="164">
        <v>31.957014618787348</v>
      </c>
      <c r="U93" s="165">
        <f t="shared" si="11"/>
        <v>10066.459604918015</v>
      </c>
    </row>
    <row r="94" spans="1:22" x14ac:dyDescent="0.35">
      <c r="A94" s="61">
        <v>810213</v>
      </c>
      <c r="B94" s="410"/>
      <c r="C94" s="114" t="s">
        <v>167</v>
      </c>
      <c r="D94" s="39" t="s">
        <v>168</v>
      </c>
      <c r="E94" s="38" t="s">
        <v>103</v>
      </c>
      <c r="F94" s="40">
        <v>4</v>
      </c>
      <c r="G94" s="69">
        <v>550</v>
      </c>
      <c r="H94" s="70">
        <v>50</v>
      </c>
      <c r="I94" s="66">
        <f t="shared" si="10"/>
        <v>2400</v>
      </c>
      <c r="M94" s="184">
        <v>810213</v>
      </c>
      <c r="N94" s="429"/>
      <c r="O94" s="161" t="s">
        <v>167</v>
      </c>
      <c r="P94" s="162" t="s">
        <v>168</v>
      </c>
      <c r="Q94" s="161" t="s">
        <v>103</v>
      </c>
      <c r="R94" s="163">
        <v>3</v>
      </c>
      <c r="S94" s="164">
        <v>841.87559311733401</v>
      </c>
      <c r="T94" s="164">
        <v>76.921548034473375</v>
      </c>
      <c r="U94" s="165">
        <f t="shared" si="11"/>
        <v>2756.3914234554222</v>
      </c>
    </row>
    <row r="95" spans="1:22" x14ac:dyDescent="0.35">
      <c r="A95" s="61">
        <v>810213</v>
      </c>
      <c r="B95" s="410"/>
      <c r="C95" s="114" t="s">
        <v>169</v>
      </c>
      <c r="D95" s="39" t="s">
        <v>170</v>
      </c>
      <c r="E95" s="38" t="s">
        <v>103</v>
      </c>
      <c r="F95" s="40"/>
      <c r="G95" s="69"/>
      <c r="H95" s="70"/>
      <c r="I95" s="66">
        <f t="shared" si="10"/>
        <v>0</v>
      </c>
      <c r="M95" s="184">
        <v>810213</v>
      </c>
      <c r="N95" s="429"/>
      <c r="O95" s="161" t="s">
        <v>169</v>
      </c>
      <c r="P95" s="162" t="s">
        <v>170</v>
      </c>
      <c r="Q95" s="161" t="s">
        <v>103</v>
      </c>
      <c r="R95" s="163">
        <v>60</v>
      </c>
      <c r="S95" s="164">
        <v>765.17875803224433</v>
      </c>
      <c r="T95" s="164">
        <v>76.921548034473375</v>
      </c>
      <c r="U95" s="165">
        <f t="shared" si="11"/>
        <v>50526.018364003059</v>
      </c>
    </row>
    <row r="96" spans="1:22" x14ac:dyDescent="0.35">
      <c r="A96" s="61">
        <v>810213</v>
      </c>
      <c r="B96" s="410"/>
      <c r="C96" s="114" t="s">
        <v>171</v>
      </c>
      <c r="D96" s="39" t="s">
        <v>172</v>
      </c>
      <c r="E96" s="38" t="s">
        <v>79</v>
      </c>
      <c r="F96" s="40"/>
      <c r="G96" s="69"/>
      <c r="H96" s="70"/>
      <c r="I96" s="66">
        <f t="shared" si="10"/>
        <v>0</v>
      </c>
      <c r="M96" s="184">
        <v>810213</v>
      </c>
      <c r="N96" s="429"/>
      <c r="O96" s="161" t="s">
        <v>171</v>
      </c>
      <c r="P96" s="162" t="s">
        <v>172</v>
      </c>
      <c r="Q96" s="161" t="s">
        <v>79</v>
      </c>
      <c r="R96" s="163">
        <v>77.98</v>
      </c>
      <c r="S96" s="164">
        <v>1275.3149737948704</v>
      </c>
      <c r="T96" s="164">
        <v>425.59073788716239</v>
      </c>
      <c r="U96" s="165">
        <f t="shared" si="11"/>
        <v>132636.62739696493</v>
      </c>
    </row>
    <row r="97" spans="1:25" ht="26" x14ac:dyDescent="0.35">
      <c r="A97" s="61">
        <v>810213</v>
      </c>
      <c r="B97" s="411"/>
      <c r="C97" s="114" t="s">
        <v>173</v>
      </c>
      <c r="D97" s="39" t="s">
        <v>174</v>
      </c>
      <c r="E97" s="38" t="s">
        <v>103</v>
      </c>
      <c r="F97" s="40">
        <v>61</v>
      </c>
      <c r="G97" s="69">
        <v>350</v>
      </c>
      <c r="H97" s="70">
        <v>25</v>
      </c>
      <c r="I97" s="66">
        <f t="shared" si="10"/>
        <v>22875</v>
      </c>
      <c r="J97" s="109" t="s">
        <v>295</v>
      </c>
      <c r="M97" s="184">
        <v>810213</v>
      </c>
      <c r="N97" s="432"/>
      <c r="O97" s="161" t="s">
        <v>173</v>
      </c>
      <c r="P97" s="162" t="s">
        <v>174</v>
      </c>
      <c r="Q97" s="161" t="s">
        <v>103</v>
      </c>
      <c r="R97" s="163"/>
      <c r="S97" s="164">
        <v>0</v>
      </c>
      <c r="T97" s="164">
        <v>0</v>
      </c>
      <c r="U97" s="165">
        <f t="shared" si="11"/>
        <v>0</v>
      </c>
    </row>
    <row r="98" spans="1:25" x14ac:dyDescent="0.35">
      <c r="A98" s="72"/>
      <c r="B98" s="72"/>
      <c r="C98" s="47" t="s">
        <v>175</v>
      </c>
      <c r="D98" s="48" t="s">
        <v>176</v>
      </c>
      <c r="E98" s="47"/>
      <c r="F98" s="49"/>
      <c r="G98" s="50"/>
      <c r="H98" s="51"/>
      <c r="I98" s="52">
        <f>SUM(I99:I110)</f>
        <v>447945.50000000006</v>
      </c>
      <c r="M98" s="170"/>
      <c r="N98" s="170"/>
      <c r="O98" s="170" t="s">
        <v>175</v>
      </c>
      <c r="P98" s="171" t="s">
        <v>176</v>
      </c>
      <c r="Q98" s="170"/>
      <c r="R98" s="172"/>
      <c r="S98" s="173"/>
      <c r="T98" s="174"/>
      <c r="U98" s="175">
        <f>SUM(U99:U110)</f>
        <v>195227.37950958023</v>
      </c>
    </row>
    <row r="99" spans="1:25" x14ac:dyDescent="0.35">
      <c r="A99" s="61">
        <v>810260</v>
      </c>
      <c r="B99" s="421" t="s">
        <v>176</v>
      </c>
      <c r="C99" s="38" t="s">
        <v>177</v>
      </c>
      <c r="D99" s="39" t="s">
        <v>178</v>
      </c>
      <c r="E99" s="38" t="s">
        <v>79</v>
      </c>
      <c r="F99" s="110">
        <v>118.5</v>
      </c>
      <c r="G99" s="41">
        <v>70</v>
      </c>
      <c r="H99" s="42"/>
      <c r="I99" s="66">
        <f t="shared" ref="I99:I110" si="12">F99*G99+H99*F99</f>
        <v>8295</v>
      </c>
      <c r="M99" s="184">
        <v>810260</v>
      </c>
      <c r="N99" s="446" t="s">
        <v>176</v>
      </c>
      <c r="O99" s="161" t="s">
        <v>177</v>
      </c>
      <c r="P99" s="162" t="s">
        <v>178</v>
      </c>
      <c r="Q99" s="161" t="s">
        <v>79</v>
      </c>
      <c r="R99" s="163">
        <v>60</v>
      </c>
      <c r="S99" s="164">
        <v>0</v>
      </c>
      <c r="T99" s="164">
        <v>19.174208771272411</v>
      </c>
      <c r="U99" s="165">
        <f t="shared" ref="U99:U110" si="13">R99*S99+T99*R99</f>
        <v>1150.4525262763448</v>
      </c>
    </row>
    <row r="100" spans="1:25" ht="26" x14ac:dyDescent="0.35">
      <c r="A100" s="61">
        <v>810260</v>
      </c>
      <c r="B100" s="422"/>
      <c r="C100" s="38" t="s">
        <v>179</v>
      </c>
      <c r="D100" s="39" t="s">
        <v>180</v>
      </c>
      <c r="E100" s="38" t="s">
        <v>79</v>
      </c>
      <c r="F100" s="44">
        <f>57.1+18.3</f>
        <v>75.400000000000006</v>
      </c>
      <c r="G100" s="41">
        <v>80</v>
      </c>
      <c r="H100" s="42">
        <v>45</v>
      </c>
      <c r="I100" s="66">
        <f t="shared" si="12"/>
        <v>9425</v>
      </c>
      <c r="M100" s="184">
        <v>810260</v>
      </c>
      <c r="N100" s="429"/>
      <c r="O100" s="161" t="s">
        <v>179</v>
      </c>
      <c r="P100" s="162" t="s">
        <v>180</v>
      </c>
      <c r="Q100" s="161" t="s">
        <v>79</v>
      </c>
      <c r="R100" s="163">
        <v>41.2</v>
      </c>
      <c r="S100" s="164">
        <v>65.973400190983881</v>
      </c>
      <c r="T100" s="164">
        <v>63.911013280468147</v>
      </c>
      <c r="U100" s="165">
        <f t="shared" si="13"/>
        <v>5351.2378350238241</v>
      </c>
    </row>
    <row r="101" spans="1:25" s="1" customFormat="1" ht="27.75" customHeight="1" x14ac:dyDescent="0.35">
      <c r="A101" s="61">
        <v>810260</v>
      </c>
      <c r="B101" s="422"/>
      <c r="C101" s="38" t="s">
        <v>181</v>
      </c>
      <c r="D101" s="39" t="s">
        <v>182</v>
      </c>
      <c r="E101" s="38" t="s">
        <v>79</v>
      </c>
      <c r="F101" s="44">
        <f>57.1+18.3</f>
        <v>75.400000000000006</v>
      </c>
      <c r="G101" s="104">
        <v>80</v>
      </c>
      <c r="H101" s="105">
        <v>67</v>
      </c>
      <c r="I101" s="66">
        <f t="shared" si="12"/>
        <v>11083.8</v>
      </c>
      <c r="J101" s="109"/>
      <c r="K101"/>
      <c r="L101"/>
      <c r="M101" s="184">
        <v>810260</v>
      </c>
      <c r="N101" s="429"/>
      <c r="O101" s="161" t="s">
        <v>181</v>
      </c>
      <c r="P101" s="162" t="s">
        <v>182</v>
      </c>
      <c r="Q101" s="161" t="s">
        <v>79</v>
      </c>
      <c r="R101" s="167">
        <v>61.8</v>
      </c>
      <c r="S101" s="164">
        <v>97.766635109849958</v>
      </c>
      <c r="T101" s="164">
        <v>63.911013280468147</v>
      </c>
      <c r="U101" s="165">
        <f t="shared" si="13"/>
        <v>9991.6786705216582</v>
      </c>
      <c r="V101"/>
      <c r="W101" s="122"/>
      <c r="X101"/>
      <c r="Y101"/>
    </row>
    <row r="102" spans="1:25" s="1" customFormat="1" x14ac:dyDescent="0.35">
      <c r="A102" s="61">
        <v>810260</v>
      </c>
      <c r="B102" s="422"/>
      <c r="C102" s="38" t="s">
        <v>183</v>
      </c>
      <c r="D102" s="39" t="s">
        <v>184</v>
      </c>
      <c r="E102" s="38" t="s">
        <v>68</v>
      </c>
      <c r="F102" s="103">
        <f>24.49+48.28+48.28</f>
        <v>121.05</v>
      </c>
      <c r="G102" s="104">
        <v>68</v>
      </c>
      <c r="H102" s="105">
        <v>10</v>
      </c>
      <c r="I102" s="66">
        <f t="shared" si="12"/>
        <v>9441.9</v>
      </c>
      <c r="J102" s="109"/>
      <c r="K102"/>
      <c r="L102"/>
      <c r="M102" s="184">
        <v>810260</v>
      </c>
      <c r="N102" s="429"/>
      <c r="O102" s="161" t="s">
        <v>183</v>
      </c>
      <c r="P102" s="162" t="s">
        <v>184</v>
      </c>
      <c r="Q102" s="161" t="s">
        <v>68</v>
      </c>
      <c r="R102" s="167">
        <v>143.6</v>
      </c>
      <c r="S102" s="164">
        <v>44.739820466302291</v>
      </c>
      <c r="T102" s="164">
        <v>31.957014618787348</v>
      </c>
      <c r="U102" s="165">
        <f t="shared" si="13"/>
        <v>11013.665518218872</v>
      </c>
      <c r="V102" s="186"/>
      <c r="W102" s="122"/>
      <c r="X102"/>
      <c r="Y102"/>
    </row>
    <row r="103" spans="1:25" s="1" customFormat="1" x14ac:dyDescent="0.35">
      <c r="A103" s="61">
        <v>810260</v>
      </c>
      <c r="B103" s="422"/>
      <c r="C103" s="38" t="s">
        <v>185</v>
      </c>
      <c r="D103" s="39" t="s">
        <v>186</v>
      </c>
      <c r="E103" s="38" t="s">
        <v>228</v>
      </c>
      <c r="F103" s="256">
        <v>248.44</v>
      </c>
      <c r="G103" s="104">
        <v>380</v>
      </c>
      <c r="H103" s="105"/>
      <c r="I103" s="66">
        <f t="shared" si="12"/>
        <v>94407.2</v>
      </c>
      <c r="J103" s="109"/>
      <c r="K103"/>
      <c r="L103"/>
      <c r="M103" s="184">
        <v>810260</v>
      </c>
      <c r="N103" s="429"/>
      <c r="O103" s="161" t="s">
        <v>185</v>
      </c>
      <c r="P103" s="162" t="s">
        <v>186</v>
      </c>
      <c r="Q103" s="161" t="s">
        <v>68</v>
      </c>
      <c r="R103" s="167">
        <v>1.27</v>
      </c>
      <c r="S103" s="164">
        <v>1533.9367017017928</v>
      </c>
      <c r="T103" s="164">
        <v>447.39820466302291</v>
      </c>
      <c r="U103" s="165">
        <f t="shared" si="13"/>
        <v>2516.2953310833159</v>
      </c>
      <c r="V103"/>
      <c r="W103" s="122"/>
      <c r="X103"/>
      <c r="Y103"/>
    </row>
    <row r="104" spans="1:25" s="1" customFormat="1" x14ac:dyDescent="0.35">
      <c r="A104" s="61">
        <v>810260</v>
      </c>
      <c r="B104" s="422"/>
      <c r="C104" s="113" t="s">
        <v>187</v>
      </c>
      <c r="D104" s="39" t="s">
        <v>121</v>
      </c>
      <c r="E104" s="38" t="s">
        <v>68</v>
      </c>
      <c r="F104" s="40">
        <v>36.76</v>
      </c>
      <c r="G104" s="41">
        <v>35</v>
      </c>
      <c r="H104" s="42"/>
      <c r="I104" s="66">
        <f t="shared" si="12"/>
        <v>1286.5999999999999</v>
      </c>
      <c r="J104" s="109" t="s">
        <v>254</v>
      </c>
      <c r="K104"/>
      <c r="L104"/>
      <c r="M104" s="184">
        <v>810260</v>
      </c>
      <c r="N104" s="429"/>
      <c r="O104" s="161" t="s">
        <v>187</v>
      </c>
      <c r="P104" s="162" t="s">
        <v>121</v>
      </c>
      <c r="Q104" s="161" t="s">
        <v>68</v>
      </c>
      <c r="R104" s="163">
        <v>36.76</v>
      </c>
      <c r="S104" s="164">
        <v>201.96833239073604</v>
      </c>
      <c r="T104" s="164">
        <v>38.348417542544823</v>
      </c>
      <c r="U104" s="165">
        <f t="shared" si="13"/>
        <v>8834.0437275474033</v>
      </c>
      <c r="V104"/>
      <c r="W104" s="122"/>
      <c r="X104"/>
      <c r="Y104"/>
    </row>
    <row r="105" spans="1:25" s="1" customFormat="1" x14ac:dyDescent="0.35">
      <c r="A105" s="61">
        <v>810260</v>
      </c>
      <c r="B105" s="422"/>
      <c r="C105" s="38" t="s">
        <v>188</v>
      </c>
      <c r="D105" s="39" t="s">
        <v>189</v>
      </c>
      <c r="E105" s="38" t="s">
        <v>79</v>
      </c>
      <c r="F105" s="40">
        <v>67.73</v>
      </c>
      <c r="G105" s="41">
        <f>2800*1.25</f>
        <v>3500</v>
      </c>
      <c r="H105" s="42">
        <v>80</v>
      </c>
      <c r="I105" s="66">
        <f t="shared" si="12"/>
        <v>242473.4</v>
      </c>
      <c r="J105" s="109"/>
      <c r="K105"/>
      <c r="L105"/>
      <c r="M105" s="184">
        <v>810260</v>
      </c>
      <c r="N105" s="429"/>
      <c r="O105" s="161" t="s">
        <v>188</v>
      </c>
      <c r="P105" s="162" t="s">
        <v>189</v>
      </c>
      <c r="Q105" s="161" t="s">
        <v>79</v>
      </c>
      <c r="R105" s="163">
        <v>67.73</v>
      </c>
      <c r="S105" s="164">
        <v>268.43892279781375</v>
      </c>
      <c r="T105" s="164">
        <v>19.174208771272411</v>
      </c>
      <c r="U105" s="165">
        <f t="shared" si="13"/>
        <v>19480.037401174206</v>
      </c>
      <c r="V105"/>
      <c r="W105" s="122"/>
      <c r="X105"/>
      <c r="Y105"/>
    </row>
    <row r="106" spans="1:25" s="1" customFormat="1" x14ac:dyDescent="0.35">
      <c r="A106" s="61">
        <v>810260</v>
      </c>
      <c r="B106" s="422"/>
      <c r="C106" s="38" t="s">
        <v>190</v>
      </c>
      <c r="D106" s="39" t="s">
        <v>191</v>
      </c>
      <c r="E106" s="38" t="s">
        <v>79</v>
      </c>
      <c r="F106" s="40">
        <f>26.23-11.85</f>
        <v>14.38</v>
      </c>
      <c r="G106" s="41">
        <v>680</v>
      </c>
      <c r="H106" s="42"/>
      <c r="I106" s="66">
        <f t="shared" si="12"/>
        <v>9778.4</v>
      </c>
      <c r="J106" s="109"/>
      <c r="K106"/>
      <c r="L106"/>
      <c r="M106" s="184">
        <v>810260</v>
      </c>
      <c r="N106" s="429"/>
      <c r="O106" s="161" t="s">
        <v>190</v>
      </c>
      <c r="P106" s="162" t="s">
        <v>191</v>
      </c>
      <c r="Q106" s="161" t="s">
        <v>79</v>
      </c>
      <c r="R106" s="163">
        <v>150</v>
      </c>
      <c r="S106" s="164">
        <v>575.22626313817227</v>
      </c>
      <c r="T106" s="164">
        <v>153.39367017017929</v>
      </c>
      <c r="U106" s="165">
        <f t="shared" si="13"/>
        <v>109292.98999625274</v>
      </c>
      <c r="V106"/>
      <c r="W106" s="122"/>
      <c r="X106"/>
      <c r="Y106"/>
    </row>
    <row r="107" spans="1:25" s="1" customFormat="1" x14ac:dyDescent="0.35">
      <c r="A107" s="61">
        <v>810260</v>
      </c>
      <c r="B107" s="422"/>
      <c r="C107" s="38" t="s">
        <v>192</v>
      </c>
      <c r="D107" s="39" t="s">
        <v>193</v>
      </c>
      <c r="E107" s="38" t="s">
        <v>68</v>
      </c>
      <c r="F107" s="40">
        <v>10.14</v>
      </c>
      <c r="G107" s="41">
        <v>250</v>
      </c>
      <c r="H107" s="42"/>
      <c r="I107" s="66">
        <f t="shared" si="12"/>
        <v>2535</v>
      </c>
      <c r="J107" s="109"/>
      <c r="K107"/>
      <c r="L107"/>
      <c r="M107" s="184">
        <v>810260</v>
      </c>
      <c r="N107" s="429"/>
      <c r="O107" s="161" t="s">
        <v>192</v>
      </c>
      <c r="P107" s="162" t="s">
        <v>193</v>
      </c>
      <c r="Q107" s="161" t="s">
        <v>68</v>
      </c>
      <c r="R107" s="163">
        <v>136</v>
      </c>
      <c r="S107" s="164">
        <v>65.179527016478687</v>
      </c>
      <c r="T107" s="164">
        <v>17.895928186520916</v>
      </c>
      <c r="U107" s="165">
        <f t="shared" si="13"/>
        <v>11298.261907607946</v>
      </c>
      <c r="V107"/>
      <c r="W107" s="122"/>
      <c r="X107"/>
      <c r="Y107"/>
    </row>
    <row r="108" spans="1:25" s="1" customFormat="1" x14ac:dyDescent="0.35">
      <c r="A108" s="61">
        <v>810260</v>
      </c>
      <c r="B108" s="422"/>
      <c r="C108" s="38" t="s">
        <v>194</v>
      </c>
      <c r="D108" s="39" t="s">
        <v>195</v>
      </c>
      <c r="E108" s="64" t="s">
        <v>228</v>
      </c>
      <c r="F108" s="40">
        <f>62.16+F100</f>
        <v>137.56</v>
      </c>
      <c r="G108" s="41">
        <v>320</v>
      </c>
      <c r="H108" s="42"/>
      <c r="I108" s="66">
        <f t="shared" si="12"/>
        <v>44019.199999999997</v>
      </c>
      <c r="J108" s="109"/>
      <c r="K108"/>
      <c r="L108"/>
      <c r="M108" s="184">
        <v>810260</v>
      </c>
      <c r="N108" s="429"/>
      <c r="O108" s="161" t="s">
        <v>194</v>
      </c>
      <c r="P108" s="162" t="s">
        <v>195</v>
      </c>
      <c r="Q108" s="161" t="s">
        <v>46</v>
      </c>
      <c r="R108" s="163">
        <v>1</v>
      </c>
      <c r="S108" s="164">
        <v>6471.2954603044382</v>
      </c>
      <c r="T108" s="164">
        <v>2396.7760964090512</v>
      </c>
      <c r="U108" s="165">
        <f t="shared" si="13"/>
        <v>8868.0715567134903</v>
      </c>
      <c r="V108"/>
      <c r="W108" s="122"/>
      <c r="X108"/>
      <c r="Y108"/>
    </row>
    <row r="109" spans="1:25" s="1" customFormat="1" x14ac:dyDescent="0.35">
      <c r="A109" s="61">
        <v>810260</v>
      </c>
      <c r="B109" s="422"/>
      <c r="C109" s="38" t="s">
        <v>196</v>
      </c>
      <c r="D109" s="39" t="s">
        <v>197</v>
      </c>
      <c r="E109" s="38" t="s">
        <v>103</v>
      </c>
      <c r="F109" s="40">
        <v>1</v>
      </c>
      <c r="G109" s="41"/>
      <c r="H109" s="42"/>
      <c r="I109" s="66">
        <f t="shared" si="12"/>
        <v>0</v>
      </c>
      <c r="J109" s="109"/>
      <c r="K109"/>
      <c r="L109"/>
      <c r="M109" s="184">
        <v>810260</v>
      </c>
      <c r="N109" s="429"/>
      <c r="O109" s="161" t="s">
        <v>196</v>
      </c>
      <c r="P109" s="162" t="s">
        <v>197</v>
      </c>
      <c r="Q109" s="161" t="s">
        <v>103</v>
      </c>
      <c r="R109" s="163">
        <v>1</v>
      </c>
      <c r="S109" s="164">
        <v>2718.3914915325272</v>
      </c>
      <c r="T109" s="164">
        <v>1165.0249249425117</v>
      </c>
      <c r="U109" s="165">
        <f t="shared" si="13"/>
        <v>3883.4164164750391</v>
      </c>
      <c r="V109"/>
      <c r="W109" s="122"/>
      <c r="X109"/>
      <c r="Y109"/>
    </row>
    <row r="110" spans="1:25" s="1" customFormat="1" x14ac:dyDescent="0.35">
      <c r="A110" s="61">
        <v>810260</v>
      </c>
      <c r="B110" s="423"/>
      <c r="C110" s="38" t="s">
        <v>198</v>
      </c>
      <c r="D110" s="39" t="s">
        <v>199</v>
      </c>
      <c r="E110" s="38" t="s">
        <v>46</v>
      </c>
      <c r="F110" s="40">
        <v>4</v>
      </c>
      <c r="G110" s="41">
        <v>3800</v>
      </c>
      <c r="H110" s="42"/>
      <c r="I110" s="66">
        <f t="shared" si="12"/>
        <v>15200</v>
      </c>
      <c r="J110" s="109"/>
      <c r="K110"/>
      <c r="L110"/>
      <c r="M110" s="184">
        <v>810260</v>
      </c>
      <c r="N110" s="432"/>
      <c r="O110" s="161" t="s">
        <v>198</v>
      </c>
      <c r="P110" s="162" t="s">
        <v>199</v>
      </c>
      <c r="Q110" s="161" t="s">
        <v>46</v>
      </c>
      <c r="R110" s="163">
        <v>1</v>
      </c>
      <c r="S110" s="164">
        <v>2588.5181841217754</v>
      </c>
      <c r="T110" s="164">
        <v>958.71043856362053</v>
      </c>
      <c r="U110" s="165">
        <f t="shared" si="13"/>
        <v>3547.2286226853957</v>
      </c>
      <c r="V110"/>
      <c r="W110" s="122"/>
      <c r="X110"/>
      <c r="Y110"/>
    </row>
    <row r="111" spans="1:25" s="1" customFormat="1" x14ac:dyDescent="0.35">
      <c r="A111" s="72"/>
      <c r="B111" s="72"/>
      <c r="C111" s="47" t="s">
        <v>200</v>
      </c>
      <c r="D111" s="48" t="s">
        <v>32</v>
      </c>
      <c r="E111" s="47"/>
      <c r="F111" s="49"/>
      <c r="G111" s="50"/>
      <c r="H111" s="51"/>
      <c r="I111" s="52">
        <f>SUM(I112:I137)</f>
        <v>439388.50749999995</v>
      </c>
      <c r="J111" s="109"/>
      <c r="K111"/>
      <c r="L111"/>
      <c r="M111" s="170"/>
      <c r="N111" s="170"/>
      <c r="O111" s="170" t="s">
        <v>200</v>
      </c>
      <c r="P111" s="171" t="s">
        <v>32</v>
      </c>
      <c r="Q111" s="170"/>
      <c r="R111" s="172"/>
      <c r="S111" s="173"/>
      <c r="T111" s="174"/>
      <c r="U111" s="175">
        <f>SUM(U112:U132)</f>
        <v>231548.30482515</v>
      </c>
      <c r="V111"/>
      <c r="W111" s="122"/>
      <c r="X111"/>
      <c r="Y111"/>
    </row>
    <row r="112" spans="1:25" s="1" customFormat="1" x14ac:dyDescent="0.35">
      <c r="A112" s="61">
        <v>810213</v>
      </c>
      <c r="B112" s="409" t="s">
        <v>32</v>
      </c>
      <c r="C112" s="38" t="s">
        <v>201</v>
      </c>
      <c r="D112" s="39" t="s">
        <v>226</v>
      </c>
      <c r="E112" s="62" t="s">
        <v>46</v>
      </c>
      <c r="F112" s="40">
        <v>1</v>
      </c>
      <c r="G112" s="69">
        <v>6500</v>
      </c>
      <c r="H112" s="70"/>
      <c r="I112" s="43">
        <f t="shared" ref="I112:I117" si="14">F112*G112+H112*F112</f>
        <v>6500</v>
      </c>
      <c r="J112" s="109"/>
      <c r="K112"/>
      <c r="L112"/>
      <c r="M112" s="184">
        <v>810213</v>
      </c>
      <c r="N112" s="445" t="s">
        <v>32</v>
      </c>
      <c r="O112" s="166" t="s">
        <v>305</v>
      </c>
      <c r="P112" s="162" t="s">
        <v>306</v>
      </c>
      <c r="Q112" s="190" t="s">
        <v>103</v>
      </c>
      <c r="R112" s="163">
        <v>9</v>
      </c>
      <c r="S112" s="164">
        <v>0</v>
      </c>
      <c r="T112" s="164">
        <v>115.04525262763445</v>
      </c>
      <c r="U112" s="165">
        <f t="shared" ref="U112:U132" si="15">R112*S112+T112*R112</f>
        <v>1035.4072736487101</v>
      </c>
      <c r="V112"/>
      <c r="W112" s="122"/>
      <c r="X112"/>
      <c r="Y112"/>
    </row>
    <row r="113" spans="1:25" s="1" customFormat="1" x14ac:dyDescent="0.35">
      <c r="A113" s="61">
        <v>810213</v>
      </c>
      <c r="B113" s="410"/>
      <c r="C113" s="38" t="s">
        <v>202</v>
      </c>
      <c r="D113" s="63" t="s">
        <v>227</v>
      </c>
      <c r="E113" s="65" t="s">
        <v>228</v>
      </c>
      <c r="F113" s="44">
        <v>40</v>
      </c>
      <c r="G113" s="69">
        <v>80</v>
      </c>
      <c r="H113" s="70">
        <v>50</v>
      </c>
      <c r="I113" s="43">
        <f t="shared" si="14"/>
        <v>5200</v>
      </c>
      <c r="J113" s="109"/>
      <c r="K113"/>
      <c r="L113"/>
      <c r="M113" s="184">
        <v>810213</v>
      </c>
      <c r="N113" s="429"/>
      <c r="O113" s="166" t="s">
        <v>307</v>
      </c>
      <c r="P113" s="185" t="s">
        <v>308</v>
      </c>
      <c r="Q113" s="161" t="s">
        <v>79</v>
      </c>
      <c r="R113" s="194">
        <v>118.5</v>
      </c>
      <c r="S113" s="164">
        <v>0</v>
      </c>
      <c r="T113" s="164">
        <v>25.56561169502988</v>
      </c>
      <c r="U113" s="165">
        <f t="shared" si="15"/>
        <v>3029.5249858610409</v>
      </c>
      <c r="V113"/>
      <c r="W113" s="122"/>
      <c r="X113"/>
      <c r="Y113"/>
    </row>
    <row r="114" spans="1:25" s="1" customFormat="1" x14ac:dyDescent="0.35">
      <c r="A114" s="61">
        <v>810041</v>
      </c>
      <c r="B114" s="410"/>
      <c r="C114" s="38" t="s">
        <v>203</v>
      </c>
      <c r="D114" s="63" t="s">
        <v>229</v>
      </c>
      <c r="E114" s="62" t="s">
        <v>228</v>
      </c>
      <c r="F114" s="40">
        <v>162.94999999999999</v>
      </c>
      <c r="G114" s="115">
        <v>90</v>
      </c>
      <c r="H114" s="42">
        <v>50</v>
      </c>
      <c r="I114" s="43">
        <f t="shared" si="14"/>
        <v>22812.999999999996</v>
      </c>
      <c r="J114" s="109"/>
      <c r="K114"/>
      <c r="L114"/>
      <c r="M114" s="184">
        <v>810041</v>
      </c>
      <c r="N114" s="429"/>
      <c r="O114" s="166" t="s">
        <v>309</v>
      </c>
      <c r="P114" s="185" t="s">
        <v>310</v>
      </c>
      <c r="Q114" s="161" t="s">
        <v>79</v>
      </c>
      <c r="R114" s="163">
        <v>50</v>
      </c>
      <c r="S114" s="164">
        <v>0</v>
      </c>
      <c r="T114" s="164">
        <v>191.7420877127241</v>
      </c>
      <c r="U114" s="165">
        <f t="shared" si="15"/>
        <v>9587.1043856362048</v>
      </c>
      <c r="V114"/>
      <c r="W114" s="122"/>
      <c r="X114"/>
      <c r="Y114"/>
    </row>
    <row r="115" spans="1:25" s="1" customFormat="1" x14ac:dyDescent="0.35">
      <c r="A115" s="61">
        <v>810080</v>
      </c>
      <c r="B115" s="410"/>
      <c r="C115" s="38" t="s">
        <v>204</v>
      </c>
      <c r="D115" s="39" t="s">
        <v>230</v>
      </c>
      <c r="E115" s="38" t="s">
        <v>228</v>
      </c>
      <c r="F115" s="40">
        <f>F113*4</f>
        <v>160</v>
      </c>
      <c r="G115" s="41">
        <v>30</v>
      </c>
      <c r="H115" s="42">
        <v>20</v>
      </c>
      <c r="I115" s="43">
        <f t="shared" si="14"/>
        <v>8000</v>
      </c>
      <c r="J115" s="109"/>
      <c r="K115"/>
      <c r="L115"/>
      <c r="M115" s="184">
        <v>810080</v>
      </c>
      <c r="N115" s="429"/>
      <c r="O115" s="166" t="s">
        <v>311</v>
      </c>
      <c r="P115" s="162"/>
      <c r="Q115" s="190" t="s">
        <v>103</v>
      </c>
      <c r="R115" s="163"/>
      <c r="S115" s="164">
        <v>0</v>
      </c>
      <c r="T115" s="164">
        <v>0</v>
      </c>
      <c r="U115" s="165">
        <f t="shared" si="15"/>
        <v>0</v>
      </c>
      <c r="V115"/>
      <c r="W115" s="122"/>
      <c r="X115"/>
      <c r="Y115"/>
    </row>
    <row r="116" spans="1:25" s="1" customFormat="1" ht="20.25" customHeight="1" x14ac:dyDescent="0.35">
      <c r="A116" s="61" t="s">
        <v>32</v>
      </c>
      <c r="B116" s="410"/>
      <c r="C116" s="64" t="s">
        <v>205</v>
      </c>
      <c r="D116" s="39" t="s">
        <v>231</v>
      </c>
      <c r="E116" s="38" t="s">
        <v>206</v>
      </c>
      <c r="F116" s="40">
        <v>896.875</v>
      </c>
      <c r="G116" s="69">
        <v>20</v>
      </c>
      <c r="H116" s="69">
        <v>3</v>
      </c>
      <c r="I116" s="43">
        <f t="shared" si="14"/>
        <v>20628.125</v>
      </c>
      <c r="J116" s="109"/>
      <c r="K116"/>
      <c r="L116"/>
      <c r="M116" s="184" t="s">
        <v>32</v>
      </c>
      <c r="N116" s="429"/>
      <c r="O116" s="166" t="s">
        <v>312</v>
      </c>
      <c r="P116" s="162" t="s">
        <v>313</v>
      </c>
      <c r="Q116" s="161" t="s">
        <v>79</v>
      </c>
      <c r="R116" s="163">
        <v>1.46</v>
      </c>
      <c r="S116" s="164">
        <v>242.87331110278384</v>
      </c>
      <c r="T116" s="164">
        <v>19.174208771272411</v>
      </c>
      <c r="U116" s="165">
        <f t="shared" si="15"/>
        <v>382.58937901612211</v>
      </c>
      <c r="V116"/>
      <c r="W116" s="122"/>
      <c r="X116"/>
      <c r="Y116"/>
    </row>
    <row r="117" spans="1:25" s="1" customFormat="1" x14ac:dyDescent="0.35">
      <c r="A117" s="61" t="s">
        <v>32</v>
      </c>
      <c r="B117" s="410"/>
      <c r="C117" s="64" t="s">
        <v>207</v>
      </c>
      <c r="D117" s="39" t="s">
        <v>232</v>
      </c>
      <c r="E117" s="38" t="s">
        <v>233</v>
      </c>
      <c r="F117" s="40">
        <v>2</v>
      </c>
      <c r="G117" s="69">
        <v>1200</v>
      </c>
      <c r="H117" s="69"/>
      <c r="I117" s="43">
        <f t="shared" si="14"/>
        <v>2400</v>
      </c>
      <c r="J117" s="109"/>
      <c r="K117"/>
      <c r="L117"/>
      <c r="M117" s="184" t="s">
        <v>32</v>
      </c>
      <c r="N117" s="429"/>
      <c r="O117" s="166" t="s">
        <v>314</v>
      </c>
      <c r="P117" s="162" t="s">
        <v>315</v>
      </c>
      <c r="Q117" s="161" t="s">
        <v>79</v>
      </c>
      <c r="R117" s="163">
        <v>6.11</v>
      </c>
      <c r="S117" s="164">
        <v>802.55194602616109</v>
      </c>
      <c r="T117" s="164">
        <v>382.57499085898183</v>
      </c>
      <c r="U117" s="165">
        <f t="shared" si="15"/>
        <v>7241.1255843682238</v>
      </c>
      <c r="V117"/>
      <c r="W117" s="122"/>
      <c r="X117"/>
      <c r="Y117"/>
    </row>
    <row r="118" spans="1:25" s="1" customFormat="1" ht="29.25" customHeight="1" x14ac:dyDescent="0.35">
      <c r="A118" s="61" t="s">
        <v>32</v>
      </c>
      <c r="B118" s="410"/>
      <c r="C118" s="64" t="s">
        <v>243</v>
      </c>
      <c r="D118" s="39" t="s">
        <v>235</v>
      </c>
      <c r="E118" s="38" t="s">
        <v>206</v>
      </c>
      <c r="F118" s="44">
        <v>677.1</v>
      </c>
      <c r="G118" s="69">
        <v>70</v>
      </c>
      <c r="H118" s="69"/>
      <c r="I118" s="43">
        <f>G118*F118+H118*F118</f>
        <v>47397</v>
      </c>
      <c r="J118" s="109"/>
      <c r="K118"/>
      <c r="L118"/>
      <c r="M118" s="184" t="s">
        <v>32</v>
      </c>
      <c r="N118" s="429"/>
      <c r="O118" s="166" t="s">
        <v>316</v>
      </c>
      <c r="P118" s="162" t="s">
        <v>317</v>
      </c>
      <c r="Q118" s="161" t="s">
        <v>79</v>
      </c>
      <c r="R118" s="194">
        <v>96.22</v>
      </c>
      <c r="S118" s="164">
        <v>53.292795858874541</v>
      </c>
      <c r="T118" s="164">
        <v>39.390634670353649</v>
      </c>
      <c r="U118" s="165">
        <f t="shared" si="15"/>
        <v>8917.9996855223362</v>
      </c>
      <c r="V118"/>
      <c r="W118" s="122"/>
      <c r="X118"/>
      <c r="Y118"/>
    </row>
    <row r="119" spans="1:25" s="1" customFormat="1" x14ac:dyDescent="0.35">
      <c r="A119" s="61" t="s">
        <v>32</v>
      </c>
      <c r="B119" s="411"/>
      <c r="C119" s="64" t="s">
        <v>244</v>
      </c>
      <c r="D119" s="39" t="s">
        <v>236</v>
      </c>
      <c r="E119" s="38" t="s">
        <v>68</v>
      </c>
      <c r="F119" s="40">
        <v>191.63</v>
      </c>
      <c r="G119" s="69">
        <v>30</v>
      </c>
      <c r="H119" s="69">
        <v>10</v>
      </c>
      <c r="I119" s="66">
        <f>F119*G119+H119*F119</f>
        <v>7665.2</v>
      </c>
      <c r="J119" s="109"/>
      <c r="K119"/>
      <c r="L119"/>
      <c r="M119" s="184" t="s">
        <v>32</v>
      </c>
      <c r="N119" s="429"/>
      <c r="O119" s="166" t="s">
        <v>318</v>
      </c>
      <c r="P119" s="193" t="s">
        <v>319</v>
      </c>
      <c r="Q119" s="161" t="s">
        <v>79</v>
      </c>
      <c r="R119" s="194">
        <v>321.10000000000002</v>
      </c>
      <c r="S119" s="164">
        <v>127.6846098279286</v>
      </c>
      <c r="T119" s="164">
        <v>51.131223390059759</v>
      </c>
      <c r="U119" s="165">
        <f t="shared" si="15"/>
        <v>57417.764046296063</v>
      </c>
      <c r="V119"/>
      <c r="W119" s="122"/>
      <c r="X119"/>
      <c r="Y119"/>
    </row>
    <row r="120" spans="1:25" s="1" customFormat="1" ht="29" x14ac:dyDescent="0.35">
      <c r="A120" s="61"/>
      <c r="B120" s="106"/>
      <c r="C120" s="64" t="s">
        <v>245</v>
      </c>
      <c r="D120" s="39" t="s">
        <v>240</v>
      </c>
      <c r="E120" s="38" t="s">
        <v>228</v>
      </c>
      <c r="F120" s="40">
        <v>96.22</v>
      </c>
      <c r="G120" s="69">
        <f>145*1.4</f>
        <v>203</v>
      </c>
      <c r="H120" s="69">
        <v>45</v>
      </c>
      <c r="I120" s="66">
        <f>F120*G120+H120*F120</f>
        <v>23862.559999999998</v>
      </c>
      <c r="J120" s="109" t="s">
        <v>287</v>
      </c>
      <c r="K120"/>
      <c r="L120"/>
      <c r="M120" s="184" t="s">
        <v>32</v>
      </c>
      <c r="N120" s="429"/>
      <c r="O120" s="166" t="s">
        <v>320</v>
      </c>
      <c r="P120" s="162" t="s">
        <v>321</v>
      </c>
      <c r="Q120" s="161" t="s">
        <v>68</v>
      </c>
      <c r="R120" s="194">
        <v>295.88</v>
      </c>
      <c r="S120" s="164">
        <v>38.296570482027299</v>
      </c>
      <c r="T120" s="164">
        <v>72.206488780931736</v>
      </c>
      <c r="U120" s="165">
        <f t="shared" si="15"/>
        <v>32695.645174724319</v>
      </c>
      <c r="V120"/>
      <c r="W120" s="122"/>
      <c r="X120"/>
      <c r="Y120"/>
    </row>
    <row r="121" spans="1:25" s="1" customFormat="1" x14ac:dyDescent="0.35">
      <c r="A121" s="61"/>
      <c r="B121" s="106"/>
      <c r="C121" s="64" t="s">
        <v>246</v>
      </c>
      <c r="D121" s="39" t="s">
        <v>237</v>
      </c>
      <c r="E121" s="38" t="s">
        <v>228</v>
      </c>
      <c r="F121" s="40">
        <v>6.11</v>
      </c>
      <c r="G121" s="69">
        <f>245*1.35</f>
        <v>330.75</v>
      </c>
      <c r="H121" s="69">
        <v>30</v>
      </c>
      <c r="I121" s="66">
        <f>F121*G121+H121*F121</f>
        <v>2204.1825000000003</v>
      </c>
      <c r="J121" s="109"/>
      <c r="K121"/>
      <c r="L121"/>
      <c r="M121" s="184" t="s">
        <v>32</v>
      </c>
      <c r="N121" s="429"/>
      <c r="O121" s="166" t="s">
        <v>322</v>
      </c>
      <c r="P121" s="162" t="s">
        <v>323</v>
      </c>
      <c r="Q121" s="161" t="s">
        <v>68</v>
      </c>
      <c r="R121" s="194">
        <v>164.69</v>
      </c>
      <c r="S121" s="164">
        <v>72.570406024928076</v>
      </c>
      <c r="T121" s="164">
        <v>19.719625438206574</v>
      </c>
      <c r="U121" s="165">
        <f t="shared" si="15"/>
        <v>15199.245281663645</v>
      </c>
      <c r="V121"/>
      <c r="W121" s="122"/>
      <c r="X121"/>
      <c r="Y121"/>
    </row>
    <row r="122" spans="1:25" s="1" customFormat="1" x14ac:dyDescent="0.35">
      <c r="A122" s="61"/>
      <c r="B122" s="106"/>
      <c r="C122" s="64" t="s">
        <v>247</v>
      </c>
      <c r="D122" s="39" t="s">
        <v>274</v>
      </c>
      <c r="E122" s="38" t="s">
        <v>228</v>
      </c>
      <c r="F122" s="40">
        <v>38.1</v>
      </c>
      <c r="G122" s="69">
        <v>750</v>
      </c>
      <c r="H122" s="69"/>
      <c r="I122" s="66">
        <f t="shared" ref="I122:I136" si="16">F122*G122+H122*F122</f>
        <v>28575</v>
      </c>
      <c r="J122" s="109"/>
      <c r="K122"/>
      <c r="L122"/>
      <c r="M122" s="184" t="s">
        <v>32</v>
      </c>
      <c r="N122" s="429"/>
      <c r="O122" s="166" t="s">
        <v>324</v>
      </c>
      <c r="P122" s="162" t="s">
        <v>325</v>
      </c>
      <c r="Q122" s="161" t="s">
        <v>68</v>
      </c>
      <c r="R122" s="194">
        <v>160.25</v>
      </c>
      <c r="S122" s="164">
        <v>40.314273749308882</v>
      </c>
      <c r="T122" s="164">
        <v>19.719625438206574</v>
      </c>
      <c r="U122" s="165">
        <f t="shared" si="15"/>
        <v>9620.432344799352</v>
      </c>
      <c r="V122"/>
      <c r="W122" s="122"/>
      <c r="X122"/>
      <c r="Y122"/>
    </row>
    <row r="123" spans="1:25" s="1" customFormat="1" ht="72.5" x14ac:dyDescent="0.35">
      <c r="A123" s="61"/>
      <c r="B123" s="106"/>
      <c r="C123" s="64" t="s">
        <v>248</v>
      </c>
      <c r="D123" s="39" t="s">
        <v>238</v>
      </c>
      <c r="E123" s="38" t="s">
        <v>228</v>
      </c>
      <c r="F123" s="40">
        <f>825.22*1.2</f>
        <v>990.26400000000001</v>
      </c>
      <c r="G123" s="69"/>
      <c r="H123" s="69">
        <v>35</v>
      </c>
      <c r="I123" s="66">
        <f t="shared" si="16"/>
        <v>34659.24</v>
      </c>
      <c r="J123" s="117" t="s">
        <v>286</v>
      </c>
      <c r="K123"/>
      <c r="L123"/>
      <c r="M123" s="184" t="s">
        <v>32</v>
      </c>
      <c r="N123" s="429"/>
      <c r="O123" s="166" t="s">
        <v>326</v>
      </c>
      <c r="P123" s="162" t="s">
        <v>327</v>
      </c>
      <c r="Q123" s="161" t="s">
        <v>46</v>
      </c>
      <c r="R123" s="194">
        <v>1</v>
      </c>
      <c r="S123" s="164">
        <v>0</v>
      </c>
      <c r="T123" s="164">
        <v>8947.964093260458</v>
      </c>
      <c r="U123" s="165">
        <f t="shared" si="15"/>
        <v>8947.964093260458</v>
      </c>
      <c r="V123"/>
      <c r="W123" s="122"/>
      <c r="X123"/>
      <c r="Y123"/>
    </row>
    <row r="124" spans="1:25" s="1" customFormat="1" x14ac:dyDescent="0.35">
      <c r="A124" s="61"/>
      <c r="B124" s="106"/>
      <c r="C124" s="64" t="s">
        <v>249</v>
      </c>
      <c r="D124" s="39" t="s">
        <v>273</v>
      </c>
      <c r="E124" s="38" t="s">
        <v>228</v>
      </c>
      <c r="F124" s="40">
        <v>1.46</v>
      </c>
      <c r="G124" s="69">
        <v>350</v>
      </c>
      <c r="H124" s="69">
        <v>150</v>
      </c>
      <c r="I124" s="66">
        <f t="shared" si="16"/>
        <v>730</v>
      </c>
      <c r="J124" s="109"/>
      <c r="K124"/>
      <c r="L124"/>
      <c r="M124" s="184"/>
      <c r="N124" s="429"/>
      <c r="O124" s="166"/>
      <c r="P124" s="162" t="s">
        <v>328</v>
      </c>
      <c r="Q124" s="161"/>
      <c r="R124" s="194"/>
      <c r="S124" s="164">
        <v>0</v>
      </c>
      <c r="T124" s="164">
        <v>0</v>
      </c>
      <c r="U124" s="165">
        <f t="shared" si="15"/>
        <v>0</v>
      </c>
      <c r="V124"/>
      <c r="W124" s="122"/>
      <c r="X124"/>
      <c r="Y124"/>
    </row>
    <row r="125" spans="1:25" s="1" customFormat="1" ht="26" x14ac:dyDescent="0.35">
      <c r="A125" s="61"/>
      <c r="B125" s="106"/>
      <c r="C125" s="64" t="s">
        <v>250</v>
      </c>
      <c r="D125" s="39" t="s">
        <v>256</v>
      </c>
      <c r="E125" s="38" t="s">
        <v>239</v>
      </c>
      <c r="F125" s="40">
        <v>164.69</v>
      </c>
      <c r="G125" s="69">
        <v>95</v>
      </c>
      <c r="H125" s="69">
        <v>30</v>
      </c>
      <c r="I125" s="66">
        <f t="shared" si="16"/>
        <v>20586.25</v>
      </c>
      <c r="J125" s="109"/>
      <c r="K125"/>
      <c r="L125"/>
      <c r="M125" s="184" t="s">
        <v>32</v>
      </c>
      <c r="N125" s="429"/>
      <c r="O125" s="166" t="s">
        <v>329</v>
      </c>
      <c r="P125" s="193" t="s">
        <v>330</v>
      </c>
      <c r="Q125" s="161" t="s">
        <v>79</v>
      </c>
      <c r="R125" s="194">
        <v>65.23</v>
      </c>
      <c r="S125" s="164">
        <v>169.94433586930771</v>
      </c>
      <c r="T125" s="164">
        <v>51.131223390059759</v>
      </c>
      <c r="U125" s="165">
        <f t="shared" si="15"/>
        <v>14420.75873048854</v>
      </c>
      <c r="V125"/>
      <c r="W125" s="122"/>
      <c r="X125"/>
      <c r="Y125"/>
    </row>
    <row r="126" spans="1:25" s="1" customFormat="1" ht="39" x14ac:dyDescent="0.35">
      <c r="A126" s="61"/>
      <c r="B126" s="106"/>
      <c r="C126" s="64" t="s">
        <v>251</v>
      </c>
      <c r="D126" s="39" t="s">
        <v>257</v>
      </c>
      <c r="E126" s="38" t="s">
        <v>239</v>
      </c>
      <c r="F126" s="40">
        <v>160.25</v>
      </c>
      <c r="G126" s="69">
        <v>30</v>
      </c>
      <c r="H126" s="69">
        <v>30</v>
      </c>
      <c r="I126" s="66">
        <f t="shared" si="16"/>
        <v>9615</v>
      </c>
      <c r="J126" s="109"/>
      <c r="K126"/>
      <c r="L126"/>
      <c r="M126" s="184" t="s">
        <v>32</v>
      </c>
      <c r="N126" s="429"/>
      <c r="O126" s="166" t="s">
        <v>331</v>
      </c>
      <c r="P126" s="162" t="s">
        <v>332</v>
      </c>
      <c r="Q126" s="161" t="s">
        <v>79</v>
      </c>
      <c r="R126" s="194">
        <v>13.76</v>
      </c>
      <c r="S126" s="164">
        <v>169.94433586930771</v>
      </c>
      <c r="T126" s="164">
        <v>51.131223390059759</v>
      </c>
      <c r="U126" s="165">
        <f t="shared" si="15"/>
        <v>3041.9996954088961</v>
      </c>
      <c r="V126"/>
      <c r="W126" s="122"/>
      <c r="X126"/>
      <c r="Y126"/>
    </row>
    <row r="127" spans="1:25" s="1" customFormat="1" ht="26" x14ac:dyDescent="0.35">
      <c r="A127" s="61"/>
      <c r="B127" s="106"/>
      <c r="C127" s="64" t="s">
        <v>252</v>
      </c>
      <c r="D127" s="39" t="s">
        <v>258</v>
      </c>
      <c r="E127" s="38" t="s">
        <v>239</v>
      </c>
      <c r="F127" s="40">
        <v>295.88</v>
      </c>
      <c r="G127" s="69">
        <v>10</v>
      </c>
      <c r="H127" s="69">
        <v>10</v>
      </c>
      <c r="I127" s="66">
        <f t="shared" si="16"/>
        <v>5917.6</v>
      </c>
      <c r="J127" s="109"/>
      <c r="K127"/>
      <c r="L127"/>
      <c r="M127" s="184" t="s">
        <v>32</v>
      </c>
      <c r="N127" s="429"/>
      <c r="O127" s="166" t="s">
        <v>333</v>
      </c>
      <c r="P127" s="162" t="s">
        <v>334</v>
      </c>
      <c r="Q127" s="161" t="s">
        <v>79</v>
      </c>
      <c r="R127" s="194">
        <v>44.8</v>
      </c>
      <c r="S127" s="164">
        <v>31.957014618787348</v>
      </c>
      <c r="T127" s="164">
        <v>23.009050525526892</v>
      </c>
      <c r="U127" s="165">
        <f t="shared" si="15"/>
        <v>2462.479718465278</v>
      </c>
      <c r="V127"/>
      <c r="W127" s="122"/>
      <c r="X127"/>
      <c r="Y127"/>
    </row>
    <row r="128" spans="1:25" s="1" customFormat="1" x14ac:dyDescent="0.35">
      <c r="A128" s="61"/>
      <c r="B128" s="106"/>
      <c r="C128" s="64" t="s">
        <v>253</v>
      </c>
      <c r="D128" s="39" t="s">
        <v>259</v>
      </c>
      <c r="E128" s="38" t="s">
        <v>228</v>
      </c>
      <c r="F128" s="44">
        <v>32.69</v>
      </c>
      <c r="G128" s="69">
        <v>450</v>
      </c>
      <c r="H128" s="69"/>
      <c r="I128" s="66">
        <f t="shared" si="16"/>
        <v>14710.499999999998</v>
      </c>
      <c r="J128" s="109"/>
      <c r="K128"/>
      <c r="L128"/>
      <c r="M128" s="184" t="s">
        <v>32</v>
      </c>
      <c r="N128" s="429"/>
      <c r="O128" s="166" t="s">
        <v>335</v>
      </c>
      <c r="P128" s="162" t="s">
        <v>336</v>
      </c>
      <c r="Q128" s="161" t="s">
        <v>79</v>
      </c>
      <c r="R128" s="194">
        <v>123.21000000000001</v>
      </c>
      <c r="S128" s="164">
        <v>173.1851896101881</v>
      </c>
      <c r="T128" s="164">
        <v>63.911013280468147</v>
      </c>
      <c r="U128" s="165">
        <f t="shared" si="15"/>
        <v>29212.623158157759</v>
      </c>
      <c r="V128" s="186"/>
      <c r="W128" s="122"/>
      <c r="X128"/>
      <c r="Y128"/>
    </row>
    <row r="129" spans="1:25" s="1" customFormat="1" x14ac:dyDescent="0.35">
      <c r="A129" s="61"/>
      <c r="B129" s="106"/>
      <c r="C129" s="64" t="s">
        <v>261</v>
      </c>
      <c r="D129" s="39" t="s">
        <v>260</v>
      </c>
      <c r="E129" s="38" t="s">
        <v>228</v>
      </c>
      <c r="F129" s="40">
        <v>37.380000000000003</v>
      </c>
      <c r="G129" s="69">
        <v>480</v>
      </c>
      <c r="H129" s="69"/>
      <c r="I129" s="66">
        <f t="shared" si="16"/>
        <v>17942.400000000001</v>
      </c>
      <c r="J129" s="109"/>
      <c r="K129"/>
      <c r="L129"/>
      <c r="M129" s="184" t="s">
        <v>32</v>
      </c>
      <c r="N129" s="429"/>
      <c r="O129" s="166" t="s">
        <v>337</v>
      </c>
      <c r="P129" s="162" t="s">
        <v>338</v>
      </c>
      <c r="Q129" s="161" t="s">
        <v>79</v>
      </c>
      <c r="R129" s="194">
        <v>19.649999999999999</v>
      </c>
      <c r="S129" s="164">
        <v>192.24361343046786</v>
      </c>
      <c r="T129" s="164">
        <v>63.911013280468147</v>
      </c>
      <c r="U129" s="165">
        <f t="shared" si="15"/>
        <v>5033.4384148698919</v>
      </c>
      <c r="V129"/>
      <c r="W129" s="122"/>
      <c r="X129"/>
      <c r="Y129"/>
    </row>
    <row r="130" spans="1:25" s="1" customFormat="1" x14ac:dyDescent="0.35">
      <c r="A130" s="61"/>
      <c r="B130" s="106"/>
      <c r="C130" s="64" t="s">
        <v>262</v>
      </c>
      <c r="D130" s="39" t="s">
        <v>266</v>
      </c>
      <c r="E130" s="38" t="s">
        <v>46</v>
      </c>
      <c r="F130" s="40">
        <v>1</v>
      </c>
      <c r="G130" s="69">
        <f>(16200*1.4)+5000</f>
        <v>27680</v>
      </c>
      <c r="H130" s="69"/>
      <c r="I130" s="66">
        <f>F130*G130+H130*F130</f>
        <v>27680</v>
      </c>
      <c r="J130" s="109"/>
      <c r="K130"/>
      <c r="L130"/>
      <c r="M130" s="184" t="s">
        <v>32</v>
      </c>
      <c r="N130" s="429"/>
      <c r="O130" s="166" t="s">
        <v>339</v>
      </c>
      <c r="P130" s="162" t="s">
        <v>340</v>
      </c>
      <c r="Q130" s="161" t="s">
        <v>46</v>
      </c>
      <c r="R130" s="194">
        <v>1</v>
      </c>
      <c r="S130" s="164">
        <v>21768.266171261439</v>
      </c>
      <c r="T130" s="164">
        <v>0</v>
      </c>
      <c r="U130" s="165">
        <f t="shared" si="15"/>
        <v>21768.266171261439</v>
      </c>
      <c r="V130"/>
      <c r="W130" s="122"/>
      <c r="X130"/>
      <c r="Y130"/>
    </row>
    <row r="131" spans="1:25" s="1" customFormat="1" x14ac:dyDescent="0.35">
      <c r="A131" s="61"/>
      <c r="B131" s="106"/>
      <c r="C131" s="64" t="s">
        <v>264</v>
      </c>
      <c r="D131" s="39" t="s">
        <v>268</v>
      </c>
      <c r="E131" s="38" t="s">
        <v>228</v>
      </c>
      <c r="F131" s="40">
        <v>69.239999999999995</v>
      </c>
      <c r="G131" s="69">
        <v>390</v>
      </c>
      <c r="H131" s="69"/>
      <c r="I131" s="66">
        <f>F131*G131+H131*F131</f>
        <v>27003.599999999999</v>
      </c>
      <c r="J131" s="109"/>
      <c r="K131"/>
      <c r="L131"/>
      <c r="M131" s="184" t="s">
        <v>32</v>
      </c>
      <c r="N131" s="429"/>
      <c r="O131" s="166" t="s">
        <v>341</v>
      </c>
      <c r="P131" s="193" t="s">
        <v>342</v>
      </c>
      <c r="Q131" s="166" t="s">
        <v>46</v>
      </c>
      <c r="R131" s="163">
        <v>1</v>
      </c>
      <c r="S131" s="164">
        <v>0</v>
      </c>
      <c r="T131" s="164">
        <v>1533.9367017017928</v>
      </c>
      <c r="U131" s="165">
        <f t="shared" si="15"/>
        <v>1533.9367017017928</v>
      </c>
      <c r="V131"/>
      <c r="W131" s="122"/>
      <c r="X131"/>
      <c r="Y131"/>
    </row>
    <row r="132" spans="1:25" s="1" customFormat="1" x14ac:dyDescent="0.35">
      <c r="A132" s="61"/>
      <c r="B132" s="106"/>
      <c r="C132" s="64" t="s">
        <v>265</v>
      </c>
      <c r="D132" s="39" t="s">
        <v>269</v>
      </c>
      <c r="E132" s="38" t="s">
        <v>228</v>
      </c>
      <c r="F132" s="40">
        <v>39.674999999999997</v>
      </c>
      <c r="G132" s="69">
        <v>390</v>
      </c>
      <c r="H132" s="69"/>
      <c r="I132" s="66">
        <f>F132*G132+H132*F132</f>
        <v>15473.249999999998</v>
      </c>
      <c r="J132" s="109"/>
      <c r="K132"/>
      <c r="L132"/>
      <c r="M132" s="184" t="s">
        <v>32</v>
      </c>
      <c r="N132" s="432"/>
      <c r="O132" s="166" t="s">
        <v>343</v>
      </c>
      <c r="P132" s="162"/>
      <c r="Q132" s="161"/>
      <c r="R132" s="163"/>
      <c r="S132" s="164">
        <v>0</v>
      </c>
      <c r="T132" s="164">
        <v>0</v>
      </c>
      <c r="U132" s="165">
        <f t="shared" si="15"/>
        <v>0</v>
      </c>
      <c r="V132"/>
      <c r="W132" s="122"/>
      <c r="X132"/>
      <c r="Y132"/>
    </row>
    <row r="133" spans="1:25" s="1" customFormat="1" x14ac:dyDescent="0.35">
      <c r="A133" s="61"/>
      <c r="B133" s="106"/>
      <c r="C133" s="64" t="s">
        <v>267</v>
      </c>
      <c r="D133" s="39" t="s">
        <v>281</v>
      </c>
      <c r="E133" s="38" t="s">
        <v>275</v>
      </c>
      <c r="F133" s="40">
        <f>(58.52)*0.15*1.5</f>
        <v>13.167000000000002</v>
      </c>
      <c r="G133" s="69">
        <f>320*1.4</f>
        <v>448</v>
      </c>
      <c r="H133" s="69">
        <f>480*1.4</f>
        <v>672</v>
      </c>
      <c r="I133" s="66">
        <f>F133*G133+H133*F133</f>
        <v>14747.040000000003</v>
      </c>
      <c r="J133" s="109"/>
      <c r="K133"/>
      <c r="L133"/>
      <c r="M133" s="433" t="s">
        <v>33</v>
      </c>
      <c r="N133" s="434"/>
      <c r="O133" s="434"/>
      <c r="P133" s="434"/>
      <c r="Q133" s="434"/>
      <c r="R133" s="434"/>
      <c r="S133" s="195"/>
      <c r="T133" s="195"/>
      <c r="U133" s="196">
        <f>SUM(U111,U98,U76,U45,U30)</f>
        <v>3619722.8500000006</v>
      </c>
      <c r="V133"/>
      <c r="W133" s="122"/>
      <c r="X133"/>
      <c r="Y133"/>
    </row>
    <row r="134" spans="1:25" s="1" customFormat="1" x14ac:dyDescent="0.35">
      <c r="A134" s="61"/>
      <c r="B134" s="106"/>
      <c r="C134" s="64" t="s">
        <v>270</v>
      </c>
      <c r="D134" s="39" t="s">
        <v>282</v>
      </c>
      <c r="E134" s="38" t="s">
        <v>228</v>
      </c>
      <c r="F134" s="40">
        <f>50*2*3.1</f>
        <v>310</v>
      </c>
      <c r="G134" s="69">
        <v>80</v>
      </c>
      <c r="H134" s="69"/>
      <c r="I134" s="66">
        <f>F134*G134+H134*F134</f>
        <v>24800</v>
      </c>
      <c r="J134" s="109"/>
      <c r="K134"/>
      <c r="L134"/>
      <c r="M134" s="197"/>
      <c r="N134" s="198"/>
      <c r="O134" s="199"/>
      <c r="P134" s="197"/>
      <c r="Q134" s="200"/>
      <c r="R134" s="200"/>
      <c r="S134" s="200"/>
      <c r="T134" s="200"/>
      <c r="U134" s="201"/>
      <c r="V134"/>
      <c r="W134" s="122"/>
      <c r="X134"/>
      <c r="Y134"/>
    </row>
    <row r="135" spans="1:25" s="1" customFormat="1" x14ac:dyDescent="0.35">
      <c r="A135" s="61"/>
      <c r="B135" s="106"/>
      <c r="C135" s="64" t="s">
        <v>271</v>
      </c>
      <c r="D135" s="39" t="s">
        <v>276</v>
      </c>
      <c r="E135" s="38" t="s">
        <v>275</v>
      </c>
      <c r="F135" s="40">
        <f>15.8*1.32*1.5</f>
        <v>31.284000000000002</v>
      </c>
      <c r="G135" s="69">
        <f>300*1.4</f>
        <v>420</v>
      </c>
      <c r="H135" s="69">
        <f>300*1.4</f>
        <v>420</v>
      </c>
      <c r="I135" s="66">
        <f t="shared" si="16"/>
        <v>26278.560000000001</v>
      </c>
      <c r="J135" s="109"/>
      <c r="K135"/>
      <c r="L135"/>
      <c r="M135" s="197"/>
      <c r="N135" s="198"/>
      <c r="O135" s="199"/>
      <c r="P135" s="197"/>
      <c r="Q135" s="200"/>
      <c r="R135" s="200"/>
      <c r="S135" s="200"/>
      <c r="T135" s="200"/>
      <c r="U135" s="201"/>
      <c r="V135"/>
      <c r="W135" s="122"/>
      <c r="X135"/>
      <c r="Y135"/>
    </row>
    <row r="136" spans="1:25" s="1" customFormat="1" x14ac:dyDescent="0.35">
      <c r="A136" s="61"/>
      <c r="B136" s="106"/>
      <c r="C136" s="64" t="s">
        <v>277</v>
      </c>
      <c r="D136" s="39" t="s">
        <v>283</v>
      </c>
      <c r="E136" s="38" t="s">
        <v>275</v>
      </c>
      <c r="F136" s="40">
        <v>6</v>
      </c>
      <c r="G136" s="69">
        <f>930*1.4</f>
        <v>1302</v>
      </c>
      <c r="H136" s="69">
        <f>620*1.4</f>
        <v>868</v>
      </c>
      <c r="I136" s="66">
        <f t="shared" si="16"/>
        <v>13020</v>
      </c>
      <c r="J136" s="109"/>
      <c r="K136"/>
      <c r="L136"/>
      <c r="M136" s="197"/>
      <c r="N136" s="198"/>
      <c r="O136" s="199"/>
      <c r="P136" s="197"/>
      <c r="Q136" s="200"/>
      <c r="R136" s="200"/>
      <c r="S136" s="200"/>
      <c r="T136" s="200"/>
      <c r="U136" s="201"/>
      <c r="V136"/>
      <c r="W136" s="122"/>
      <c r="X136"/>
      <c r="Y136"/>
    </row>
    <row r="137" spans="1:25" s="1" customFormat="1" ht="30" x14ac:dyDescent="0.35">
      <c r="A137" s="61"/>
      <c r="B137" s="106"/>
      <c r="C137" s="64" t="s">
        <v>290</v>
      </c>
      <c r="D137" s="39" t="s">
        <v>288</v>
      </c>
      <c r="E137" s="38" t="s">
        <v>289</v>
      </c>
      <c r="F137" s="40">
        <v>61</v>
      </c>
      <c r="G137" s="69">
        <v>180</v>
      </c>
      <c r="H137" s="69"/>
      <c r="I137" s="66">
        <f>F137*G137+H137*F137</f>
        <v>10980</v>
      </c>
      <c r="J137" s="109"/>
      <c r="K137"/>
      <c r="L137"/>
      <c r="M137" s="202"/>
      <c r="N137" s="203"/>
      <c r="O137" s="203"/>
      <c r="P137" s="204" t="s">
        <v>12</v>
      </c>
      <c r="Q137" s="205" t="s">
        <v>208</v>
      </c>
      <c r="R137" s="206" t="s">
        <v>209</v>
      </c>
      <c r="S137" s="205" t="s">
        <v>210</v>
      </c>
      <c r="T137" s="205" t="s">
        <v>211</v>
      </c>
      <c r="U137" s="205" t="s">
        <v>212</v>
      </c>
      <c r="V137"/>
      <c r="W137" s="122"/>
      <c r="X137"/>
      <c r="Y137"/>
    </row>
    <row r="138" spans="1:25" s="1" customFormat="1" ht="15" x14ac:dyDescent="0.35">
      <c r="A138" s="61"/>
      <c r="B138" s="106"/>
      <c r="C138" s="64" t="s">
        <v>291</v>
      </c>
      <c r="D138" s="39"/>
      <c r="E138" s="38"/>
      <c r="F138" s="40"/>
      <c r="G138" s="69"/>
      <c r="H138" s="69"/>
      <c r="I138" s="66"/>
      <c r="J138" s="109"/>
      <c r="K138"/>
      <c r="L138"/>
      <c r="M138" s="207"/>
      <c r="N138" s="207"/>
      <c r="O138" s="207"/>
      <c r="P138" s="208" t="s">
        <v>213</v>
      </c>
      <c r="Q138" s="209"/>
      <c r="R138" s="210"/>
      <c r="S138" s="209"/>
      <c r="T138" s="209"/>
      <c r="U138" s="209"/>
      <c r="V138"/>
      <c r="W138" s="122"/>
      <c r="X138"/>
      <c r="Y138"/>
    </row>
    <row r="139" spans="1:25" s="1" customFormat="1" ht="15" x14ac:dyDescent="0.4">
      <c r="A139" s="61"/>
      <c r="B139" s="106"/>
      <c r="C139" s="64" t="s">
        <v>292</v>
      </c>
      <c r="D139" s="39"/>
      <c r="E139" s="38"/>
      <c r="F139" s="40"/>
      <c r="G139" s="69"/>
      <c r="H139" s="69"/>
      <c r="I139" s="66"/>
      <c r="J139" s="109"/>
      <c r="K139"/>
      <c r="L139"/>
      <c r="M139" s="211"/>
      <c r="N139" s="211"/>
      <c r="O139" s="211"/>
      <c r="P139" s="212" t="s">
        <v>214</v>
      </c>
      <c r="Q139" s="211" t="s">
        <v>215</v>
      </c>
      <c r="R139" s="213"/>
      <c r="S139" s="214"/>
      <c r="T139" s="214"/>
      <c r="U139" s="214"/>
      <c r="V139"/>
      <c r="W139" s="122"/>
      <c r="X139"/>
      <c r="Y139"/>
    </row>
    <row r="140" spans="1:25" s="1" customFormat="1" ht="15" x14ac:dyDescent="0.4">
      <c r="A140" s="61"/>
      <c r="B140" s="106"/>
      <c r="C140" s="64" t="s">
        <v>293</v>
      </c>
      <c r="D140" s="39"/>
      <c r="E140" s="38"/>
      <c r="F140" s="40"/>
      <c r="G140" s="69"/>
      <c r="H140" s="69"/>
      <c r="I140" s="66"/>
      <c r="J140" s="109"/>
      <c r="K140"/>
      <c r="L140"/>
      <c r="M140" s="211"/>
      <c r="N140" s="211"/>
      <c r="O140" s="211"/>
      <c r="P140" s="212" t="s">
        <v>216</v>
      </c>
      <c r="Q140" s="211" t="s">
        <v>217</v>
      </c>
      <c r="R140" s="213"/>
      <c r="S140" s="214">
        <v>0</v>
      </c>
      <c r="T140" s="214">
        <v>0</v>
      </c>
      <c r="U140" s="214">
        <f t="shared" ref="U140:U146" si="17">R140*1.2</f>
        <v>0</v>
      </c>
      <c r="V140"/>
      <c r="W140" s="122"/>
      <c r="X140"/>
      <c r="Y140"/>
    </row>
    <row r="141" spans="1:25" s="1" customFormat="1" ht="15" x14ac:dyDescent="0.4">
      <c r="A141" s="61"/>
      <c r="B141" s="106"/>
      <c r="C141" s="64"/>
      <c r="D141" s="39"/>
      <c r="E141" s="38"/>
      <c r="F141" s="40"/>
      <c r="G141" s="69"/>
      <c r="H141" s="69"/>
      <c r="I141" s="66"/>
      <c r="J141" s="120"/>
      <c r="K141"/>
      <c r="L141"/>
      <c r="M141" s="211"/>
      <c r="N141" s="211"/>
      <c r="O141" s="211"/>
      <c r="P141" s="212" t="s">
        <v>218</v>
      </c>
      <c r="Q141" s="211" t="s">
        <v>217</v>
      </c>
      <c r="R141" s="213"/>
      <c r="S141" s="214">
        <v>0</v>
      </c>
      <c r="T141" s="214">
        <v>0</v>
      </c>
      <c r="U141" s="214">
        <f t="shared" si="17"/>
        <v>0</v>
      </c>
      <c r="V141"/>
      <c r="W141" s="122"/>
      <c r="X141"/>
      <c r="Y141"/>
    </row>
    <row r="142" spans="1:25" s="1" customFormat="1" ht="15" x14ac:dyDescent="0.4">
      <c r="A142" s="73"/>
      <c r="B142" s="74"/>
      <c r="C142" s="75"/>
      <c r="D142" s="73"/>
      <c r="E142" s="76"/>
      <c r="F142" s="76"/>
      <c r="G142" s="76"/>
      <c r="H142" s="76"/>
      <c r="I142" s="77">
        <f>SUM(I111,I98,I76,I45,I30)</f>
        <v>3195258.0375000001</v>
      </c>
      <c r="J142" s="109"/>
      <c r="K142"/>
      <c r="L142"/>
      <c r="M142" s="211"/>
      <c r="N142" s="211"/>
      <c r="O142" s="211"/>
      <c r="P142" s="212" t="s">
        <v>219</v>
      </c>
      <c r="Q142" s="211" t="s">
        <v>217</v>
      </c>
      <c r="R142" s="213"/>
      <c r="S142" s="214">
        <v>0</v>
      </c>
      <c r="T142" s="214">
        <v>0</v>
      </c>
      <c r="U142" s="214">
        <f t="shared" si="17"/>
        <v>0</v>
      </c>
      <c r="V142"/>
      <c r="W142" s="122"/>
      <c r="X142"/>
      <c r="Y142"/>
    </row>
    <row r="143" spans="1:25" s="1" customFormat="1" ht="15" x14ac:dyDescent="0.4">
      <c r="A143" s="78"/>
      <c r="B143" s="79"/>
      <c r="C143" s="80"/>
      <c r="D143" s="78"/>
      <c r="E143" s="81"/>
      <c r="F143" s="81"/>
      <c r="G143" s="81"/>
      <c r="H143" s="81"/>
      <c r="I143" s="82"/>
      <c r="J143" s="109"/>
      <c r="K143"/>
      <c r="L143"/>
      <c r="M143" s="211"/>
      <c r="N143" s="211"/>
      <c r="O143" s="211"/>
      <c r="P143" s="212" t="s">
        <v>220</v>
      </c>
      <c r="Q143" s="211" t="s">
        <v>217</v>
      </c>
      <c r="R143" s="213"/>
      <c r="S143" s="214">
        <v>0</v>
      </c>
      <c r="T143" s="214">
        <v>0</v>
      </c>
      <c r="U143" s="214">
        <f t="shared" si="17"/>
        <v>0</v>
      </c>
      <c r="V143"/>
      <c r="W143" s="122"/>
      <c r="X143"/>
      <c r="Y143"/>
    </row>
    <row r="144" spans="1:25" s="1" customFormat="1" ht="15" x14ac:dyDescent="0.4">
      <c r="A144" s="78"/>
      <c r="B144" s="79"/>
      <c r="C144" s="80"/>
      <c r="D144" s="78"/>
      <c r="E144" s="81"/>
      <c r="F144" s="81"/>
      <c r="G144" s="81"/>
      <c r="H144" s="81"/>
      <c r="I144" s="82"/>
      <c r="J144" s="109"/>
      <c r="K144"/>
      <c r="L144"/>
      <c r="M144" s="211"/>
      <c r="N144" s="211"/>
      <c r="O144" s="211"/>
      <c r="P144" s="212" t="s">
        <v>221</v>
      </c>
      <c r="Q144" s="211" t="s">
        <v>217</v>
      </c>
      <c r="R144" s="213"/>
      <c r="S144" s="214">
        <v>0</v>
      </c>
      <c r="T144" s="214">
        <v>0</v>
      </c>
      <c r="U144" s="214">
        <f t="shared" si="17"/>
        <v>0</v>
      </c>
      <c r="V144"/>
      <c r="W144" s="122"/>
      <c r="X144"/>
      <c r="Y144"/>
    </row>
    <row r="145" spans="1:25" s="1" customFormat="1" ht="15" x14ac:dyDescent="0.4">
      <c r="A145" s="78"/>
      <c r="B145" s="79"/>
      <c r="C145" s="80"/>
      <c r="D145" s="78"/>
      <c r="E145" s="81"/>
      <c r="F145" s="81"/>
      <c r="G145" s="81"/>
      <c r="H145" s="81"/>
      <c r="I145" s="82"/>
      <c r="J145" s="109"/>
      <c r="K145"/>
      <c r="L145"/>
      <c r="M145" s="211"/>
      <c r="N145" s="211"/>
      <c r="O145" s="211"/>
      <c r="P145" s="212" t="s">
        <v>222</v>
      </c>
      <c r="Q145" s="211" t="s">
        <v>217</v>
      </c>
      <c r="R145" s="213"/>
      <c r="S145" s="214">
        <v>0</v>
      </c>
      <c r="T145" s="214">
        <v>0</v>
      </c>
      <c r="U145" s="214">
        <f t="shared" si="17"/>
        <v>0</v>
      </c>
      <c r="V145"/>
      <c r="W145" s="122"/>
      <c r="X145"/>
      <c r="Y145"/>
    </row>
    <row r="146" spans="1:25" s="1" customFormat="1" ht="30" x14ac:dyDescent="0.4">
      <c r="A146" s="83"/>
      <c r="B146" s="84"/>
      <c r="C146" s="84"/>
      <c r="D146" s="85" t="s">
        <v>12</v>
      </c>
      <c r="E146" s="86" t="s">
        <v>208</v>
      </c>
      <c r="F146" s="87" t="s">
        <v>209</v>
      </c>
      <c r="G146" s="86" t="s">
        <v>210</v>
      </c>
      <c r="H146" s="86" t="s">
        <v>211</v>
      </c>
      <c r="I146" s="86" t="s">
        <v>212</v>
      </c>
      <c r="J146" s="109"/>
      <c r="K146"/>
      <c r="L146"/>
      <c r="M146" s="211"/>
      <c r="N146" s="211"/>
      <c r="O146" s="211"/>
      <c r="P146" s="212" t="s">
        <v>223</v>
      </c>
      <c r="Q146" s="211" t="s">
        <v>217</v>
      </c>
      <c r="R146" s="213"/>
      <c r="S146" s="214">
        <v>0</v>
      </c>
      <c r="T146" s="214">
        <v>0</v>
      </c>
      <c r="U146" s="214">
        <f t="shared" si="17"/>
        <v>0</v>
      </c>
      <c r="V146"/>
      <c r="W146" s="122"/>
      <c r="X146"/>
      <c r="Y146"/>
    </row>
    <row r="147" spans="1:25" s="1" customFormat="1" ht="15" x14ac:dyDescent="0.4">
      <c r="A147" s="88"/>
      <c r="B147" s="88"/>
      <c r="C147" s="88"/>
      <c r="D147" s="89" t="s">
        <v>213</v>
      </c>
      <c r="E147" s="90"/>
      <c r="F147" s="91"/>
      <c r="G147" s="90"/>
      <c r="H147" s="90"/>
      <c r="I147" s="90"/>
      <c r="J147" s="109"/>
      <c r="K147"/>
      <c r="L147"/>
      <c r="M147" s="211"/>
      <c r="N147" s="211"/>
      <c r="O147" s="211"/>
      <c r="P147" s="212"/>
      <c r="Q147" s="211"/>
      <c r="R147" s="215"/>
      <c r="S147" s="214"/>
      <c r="T147" s="214"/>
      <c r="U147" s="214"/>
      <c r="V147"/>
      <c r="W147" s="122"/>
      <c r="X147"/>
      <c r="Y147"/>
    </row>
    <row r="148" spans="1:25" s="1" customFormat="1" ht="15" x14ac:dyDescent="0.4">
      <c r="A148" s="92"/>
      <c r="B148" s="92"/>
      <c r="C148" s="92"/>
      <c r="D148" s="93" t="s">
        <v>214</v>
      </c>
      <c r="E148" s="92" t="s">
        <v>215</v>
      </c>
      <c r="F148" s="94"/>
      <c r="G148" s="95"/>
      <c r="H148" s="95"/>
      <c r="I148" s="95"/>
      <c r="J148" s="109"/>
      <c r="K148"/>
      <c r="L148"/>
      <c r="M148" s="216"/>
      <c r="N148" s="217"/>
      <c r="O148" s="217"/>
      <c r="P148" s="217"/>
      <c r="Q148" s="217"/>
      <c r="R148" s="216"/>
      <c r="S148" s="217"/>
      <c r="T148" s="217"/>
      <c r="U148" s="217"/>
      <c r="V148"/>
      <c r="W148" s="122"/>
      <c r="X148"/>
      <c r="Y148"/>
    </row>
    <row r="149" spans="1:25" s="1" customFormat="1" ht="15" x14ac:dyDescent="0.4">
      <c r="A149" s="92"/>
      <c r="B149" s="92"/>
      <c r="C149" s="92"/>
      <c r="D149" s="93" t="s">
        <v>216</v>
      </c>
      <c r="E149" s="92" t="s">
        <v>217</v>
      </c>
      <c r="F149" s="94"/>
      <c r="G149" s="95">
        <f t="shared" ref="G149:G155" si="18">F149*1.6</f>
        <v>0</v>
      </c>
      <c r="H149" s="95">
        <f t="shared" ref="H149:H155" si="19">F149*2</f>
        <v>0</v>
      </c>
      <c r="I149" s="95">
        <f t="shared" ref="I149:I155" si="20">F149*1.2</f>
        <v>0</v>
      </c>
      <c r="J149" s="109"/>
      <c r="K149"/>
      <c r="L149"/>
      <c r="M149" s="216"/>
      <c r="N149" s="217"/>
      <c r="O149" s="217"/>
      <c r="P149" s="218"/>
      <c r="Q149" s="219"/>
      <c r="R149" s="220"/>
      <c r="S149" s="217"/>
      <c r="T149" s="217"/>
      <c r="U149" s="217"/>
      <c r="V149"/>
      <c r="W149" s="122"/>
      <c r="X149"/>
      <c r="Y149"/>
    </row>
    <row r="150" spans="1:25" s="1" customFormat="1" ht="15" x14ac:dyDescent="0.4">
      <c r="A150" s="92"/>
      <c r="B150" s="92"/>
      <c r="C150" s="92"/>
      <c r="D150" s="93" t="s">
        <v>218</v>
      </c>
      <c r="E150" s="92" t="s">
        <v>217</v>
      </c>
      <c r="F150" s="94"/>
      <c r="G150" s="95">
        <f t="shared" si="18"/>
        <v>0</v>
      </c>
      <c r="H150" s="95">
        <f t="shared" si="19"/>
        <v>0</v>
      </c>
      <c r="I150" s="95">
        <f t="shared" si="20"/>
        <v>0</v>
      </c>
      <c r="J150" s="109"/>
      <c r="K150"/>
      <c r="L150"/>
      <c r="M150" s="135"/>
      <c r="N150" s="136"/>
      <c r="O150" s="217"/>
      <c r="P150" s="218"/>
      <c r="Q150" s="219"/>
      <c r="R150" s="220"/>
      <c r="S150" s="217"/>
      <c r="T150" s="217"/>
      <c r="U150" s="217"/>
      <c r="V150"/>
      <c r="W150" s="122"/>
      <c r="X150"/>
      <c r="Y150"/>
    </row>
    <row r="151" spans="1:25" s="1" customFormat="1" ht="15" x14ac:dyDescent="0.4">
      <c r="A151" s="92"/>
      <c r="B151" s="92"/>
      <c r="C151" s="92"/>
      <c r="D151" s="93" t="s">
        <v>219</v>
      </c>
      <c r="E151" s="92" t="s">
        <v>217</v>
      </c>
      <c r="F151" s="94"/>
      <c r="G151" s="95">
        <f t="shared" si="18"/>
        <v>0</v>
      </c>
      <c r="H151" s="95">
        <f t="shared" si="19"/>
        <v>0</v>
      </c>
      <c r="I151" s="95">
        <f t="shared" si="20"/>
        <v>0</v>
      </c>
      <c r="J151" s="109"/>
      <c r="K151"/>
      <c r="L151"/>
      <c r="M151" s="135"/>
      <c r="N151" s="136"/>
      <c r="O151" s="136"/>
      <c r="P151" s="136"/>
      <c r="Q151" s="136"/>
      <c r="R151" s="136"/>
      <c r="S151" s="136"/>
      <c r="T151" s="136"/>
      <c r="U151" s="136"/>
      <c r="V151"/>
      <c r="W151" s="122"/>
      <c r="X151"/>
      <c r="Y151"/>
    </row>
    <row r="152" spans="1:25" s="1" customFormat="1" ht="15" x14ac:dyDescent="0.4">
      <c r="A152" s="92"/>
      <c r="B152" s="92"/>
      <c r="C152" s="92"/>
      <c r="D152" s="93" t="s">
        <v>220</v>
      </c>
      <c r="E152" s="92" t="s">
        <v>217</v>
      </c>
      <c r="F152" s="94"/>
      <c r="G152" s="95">
        <f t="shared" si="18"/>
        <v>0</v>
      </c>
      <c r="H152" s="95">
        <f t="shared" si="19"/>
        <v>0</v>
      </c>
      <c r="I152" s="95">
        <f t="shared" si="20"/>
        <v>0</v>
      </c>
      <c r="J152" s="109"/>
      <c r="K152"/>
      <c r="L152"/>
      <c r="M152" s="135"/>
      <c r="N152" s="136"/>
      <c r="O152" s="136"/>
      <c r="P152" s="136"/>
      <c r="Q152" s="136"/>
      <c r="R152" s="136"/>
      <c r="S152" s="136"/>
      <c r="T152" s="136"/>
      <c r="U152" s="136"/>
      <c r="V152"/>
      <c r="W152" s="122"/>
      <c r="X152"/>
      <c r="Y152"/>
    </row>
    <row r="153" spans="1:25" s="1" customFormat="1" ht="15" x14ac:dyDescent="0.4">
      <c r="A153" s="92"/>
      <c r="B153" s="92"/>
      <c r="C153" s="92"/>
      <c r="D153" s="93" t="s">
        <v>221</v>
      </c>
      <c r="E153" s="92" t="s">
        <v>217</v>
      </c>
      <c r="F153" s="94"/>
      <c r="G153" s="95">
        <f t="shared" si="18"/>
        <v>0</v>
      </c>
      <c r="H153" s="95">
        <f t="shared" si="19"/>
        <v>0</v>
      </c>
      <c r="I153" s="95">
        <f t="shared" si="20"/>
        <v>0</v>
      </c>
      <c r="J153" s="109"/>
      <c r="K153"/>
      <c r="L153"/>
      <c r="M153" s="135"/>
      <c r="N153" s="136"/>
      <c r="O153" s="136"/>
      <c r="P153" s="136"/>
      <c r="Q153" s="136"/>
      <c r="R153" s="136"/>
      <c r="S153" s="136"/>
      <c r="T153" s="136"/>
      <c r="U153" s="136"/>
      <c r="V153"/>
      <c r="W153" s="122"/>
      <c r="X153"/>
      <c r="Y153"/>
    </row>
    <row r="154" spans="1:25" s="1" customFormat="1" ht="15" x14ac:dyDescent="0.4">
      <c r="A154" s="92"/>
      <c r="B154" s="92"/>
      <c r="C154" s="92"/>
      <c r="D154" s="93" t="s">
        <v>222</v>
      </c>
      <c r="E154" s="92" t="s">
        <v>217</v>
      </c>
      <c r="F154" s="94"/>
      <c r="G154" s="95">
        <f t="shared" si="18"/>
        <v>0</v>
      </c>
      <c r="H154" s="95">
        <f t="shared" si="19"/>
        <v>0</v>
      </c>
      <c r="I154" s="95">
        <f t="shared" si="20"/>
        <v>0</v>
      </c>
      <c r="J154" s="109"/>
      <c r="K154"/>
      <c r="L154"/>
      <c r="M154" s="135"/>
      <c r="N154" s="136"/>
      <c r="O154" s="136"/>
      <c r="P154" s="136"/>
      <c r="Q154" s="136"/>
      <c r="R154" s="136"/>
      <c r="S154" s="136"/>
      <c r="T154" s="136"/>
      <c r="U154" s="136"/>
      <c r="V154"/>
      <c r="W154" s="122"/>
      <c r="X154"/>
      <c r="Y154"/>
    </row>
    <row r="155" spans="1:25" s="1" customFormat="1" ht="15" x14ac:dyDescent="0.4">
      <c r="A155" s="92"/>
      <c r="B155" s="92"/>
      <c r="C155" s="92"/>
      <c r="D155" s="93" t="s">
        <v>223</v>
      </c>
      <c r="E155" s="92" t="s">
        <v>217</v>
      </c>
      <c r="F155" s="94"/>
      <c r="G155" s="95">
        <f t="shared" si="18"/>
        <v>0</v>
      </c>
      <c r="H155" s="95">
        <f t="shared" si="19"/>
        <v>0</v>
      </c>
      <c r="I155" s="95">
        <f t="shared" si="20"/>
        <v>0</v>
      </c>
      <c r="J155" s="109"/>
      <c r="K155"/>
      <c r="L155"/>
      <c r="M155" s="135"/>
      <c r="N155" s="136"/>
      <c r="O155" s="136"/>
      <c r="P155" s="136"/>
      <c r="Q155" s="136"/>
      <c r="R155" s="136"/>
      <c r="S155" s="136"/>
      <c r="T155" s="136"/>
      <c r="U155" s="136"/>
      <c r="V155"/>
      <c r="W155" s="122"/>
      <c r="X155"/>
      <c r="Y155"/>
    </row>
    <row r="156" spans="1:25" s="1" customFormat="1" ht="15" x14ac:dyDescent="0.4">
      <c r="A156" s="92"/>
      <c r="B156" s="92"/>
      <c r="C156" s="92"/>
      <c r="D156" s="93"/>
      <c r="E156" s="92"/>
      <c r="F156" s="96"/>
      <c r="G156" s="95"/>
      <c r="H156" s="95"/>
      <c r="I156" s="95"/>
      <c r="J156" s="109"/>
      <c r="K156"/>
      <c r="L156"/>
      <c r="M156" s="135"/>
      <c r="N156" s="136"/>
      <c r="O156" s="136"/>
      <c r="P156" s="136"/>
      <c r="Q156" s="136"/>
      <c r="R156" s="136"/>
      <c r="S156" s="136"/>
      <c r="T156" s="136"/>
      <c r="U156" s="136"/>
      <c r="V156"/>
      <c r="W156" s="122"/>
      <c r="X156"/>
      <c r="Y156"/>
    </row>
    <row r="157" spans="1:25" s="1" customFormat="1" ht="15" x14ac:dyDescent="0.4">
      <c r="A157" s="97"/>
      <c r="B157" s="98"/>
      <c r="C157" s="98"/>
      <c r="D157" s="98"/>
      <c r="E157" s="98"/>
      <c r="F157" s="97"/>
      <c r="G157" s="98"/>
      <c r="H157" s="98"/>
      <c r="I157" s="98"/>
      <c r="J157" s="109"/>
      <c r="K157"/>
      <c r="L157"/>
      <c r="M157" s="135"/>
      <c r="N157" s="136"/>
      <c r="O157" s="136"/>
      <c r="P157" s="136"/>
      <c r="Q157" s="136"/>
      <c r="R157" s="136"/>
      <c r="S157" s="136"/>
      <c r="T157" s="136"/>
      <c r="U157" s="136"/>
      <c r="V157"/>
      <c r="W157" s="122"/>
      <c r="X157"/>
      <c r="Y157"/>
    </row>
    <row r="158" spans="1:25" s="1" customFormat="1" ht="15" x14ac:dyDescent="0.4">
      <c r="A158" s="97"/>
      <c r="B158" s="98"/>
      <c r="C158" s="98"/>
      <c r="D158" s="99"/>
      <c r="E158" s="100"/>
      <c r="F158" s="101"/>
      <c r="G158" s="98"/>
      <c r="H158" s="98"/>
      <c r="I158" s="98"/>
      <c r="J158" s="109"/>
      <c r="K158"/>
      <c r="L158"/>
      <c r="M158" s="135"/>
      <c r="N158" s="136"/>
      <c r="O158" s="136"/>
      <c r="P158" s="136"/>
      <c r="Q158" s="136"/>
      <c r="R158" s="136"/>
      <c r="S158" s="136"/>
      <c r="T158" s="136"/>
      <c r="U158" s="136"/>
      <c r="V158"/>
      <c r="W158" s="122"/>
      <c r="X158"/>
      <c r="Y158"/>
    </row>
    <row r="159" spans="1:25" s="1" customFormat="1" ht="15" x14ac:dyDescent="0.4">
      <c r="A159" s="15"/>
      <c r="C159" s="98"/>
      <c r="D159" s="99"/>
      <c r="E159" s="100"/>
      <c r="F159" s="101"/>
      <c r="G159" s="98"/>
      <c r="H159" s="98"/>
      <c r="I159" s="98"/>
      <c r="J159" s="109"/>
      <c r="K159"/>
      <c r="L159"/>
      <c r="M159" s="135"/>
      <c r="N159" s="136"/>
      <c r="O159" s="136"/>
      <c r="P159" s="136"/>
      <c r="Q159" s="136"/>
      <c r="R159" s="136"/>
      <c r="S159" s="136"/>
      <c r="T159" s="136"/>
      <c r="U159" s="136"/>
      <c r="V159"/>
      <c r="W159" s="122"/>
      <c r="X159"/>
      <c r="Y159"/>
    </row>
    <row r="160" spans="1:25" x14ac:dyDescent="0.35">
      <c r="M160" s="135"/>
      <c r="N160" s="136"/>
      <c r="O160" s="136"/>
      <c r="P160" s="136"/>
      <c r="Q160" s="136"/>
      <c r="R160" s="136"/>
      <c r="S160" s="136"/>
      <c r="T160" s="136"/>
      <c r="U160" s="136"/>
    </row>
    <row r="161" spans="13:21" x14ac:dyDescent="0.35">
      <c r="M161" s="135"/>
      <c r="N161" s="136"/>
      <c r="O161" s="136"/>
      <c r="P161" s="136"/>
      <c r="Q161" s="136"/>
      <c r="R161" s="136"/>
      <c r="S161" s="136"/>
      <c r="T161" s="136"/>
      <c r="U161" s="136"/>
    </row>
    <row r="162" spans="13:21" x14ac:dyDescent="0.35">
      <c r="M162" s="135"/>
      <c r="N162" s="136"/>
      <c r="O162" s="136"/>
      <c r="P162" s="136"/>
      <c r="Q162" s="136"/>
      <c r="R162" s="136"/>
      <c r="S162" s="136"/>
      <c r="T162" s="136"/>
      <c r="U162" s="136"/>
    </row>
    <row r="163" spans="13:21" x14ac:dyDescent="0.35">
      <c r="M163" s="135"/>
      <c r="N163" s="136"/>
      <c r="O163" s="136"/>
      <c r="P163" s="136"/>
      <c r="Q163" s="136"/>
      <c r="R163" s="136"/>
      <c r="S163" s="136"/>
      <c r="T163" s="136"/>
      <c r="U163" s="136"/>
    </row>
    <row r="164" spans="13:21" x14ac:dyDescent="0.35">
      <c r="M164" s="135"/>
      <c r="N164" s="136"/>
      <c r="O164" s="136"/>
      <c r="P164" s="136"/>
      <c r="Q164" s="136"/>
      <c r="R164" s="136"/>
      <c r="S164" s="136"/>
      <c r="T164" s="136"/>
      <c r="U164" s="136"/>
    </row>
    <row r="165" spans="13:21" x14ac:dyDescent="0.35">
      <c r="M165" s="135"/>
      <c r="N165" s="136"/>
      <c r="O165" s="136"/>
      <c r="P165" s="136"/>
      <c r="Q165" s="136"/>
      <c r="R165" s="136"/>
      <c r="S165" s="136"/>
      <c r="T165" s="136"/>
      <c r="U165" s="136"/>
    </row>
    <row r="166" spans="13:21" x14ac:dyDescent="0.35">
      <c r="M166" s="135"/>
      <c r="N166" s="136"/>
      <c r="O166" s="136"/>
      <c r="P166" s="136"/>
      <c r="Q166" s="136"/>
      <c r="R166" s="136"/>
      <c r="S166" s="136"/>
      <c r="T166" s="136"/>
      <c r="U166" s="136"/>
    </row>
    <row r="167" spans="13:21" x14ac:dyDescent="0.35">
      <c r="M167" s="135"/>
      <c r="N167" s="136"/>
      <c r="O167" s="136"/>
      <c r="P167" s="136"/>
      <c r="Q167" s="136"/>
      <c r="R167" s="136"/>
      <c r="S167" s="136"/>
      <c r="T167" s="136"/>
      <c r="U167" s="136"/>
    </row>
    <row r="168" spans="13:21" x14ac:dyDescent="0.35">
      <c r="M168" s="135"/>
      <c r="N168" s="136"/>
      <c r="O168" s="136"/>
      <c r="P168" s="136"/>
      <c r="Q168" s="136"/>
      <c r="R168" s="136"/>
      <c r="S168" s="136"/>
      <c r="T168" s="136"/>
      <c r="U168" s="136"/>
    </row>
    <row r="169" spans="13:21" x14ac:dyDescent="0.35">
      <c r="M169" s="135"/>
      <c r="N169" s="136"/>
      <c r="O169" s="136"/>
      <c r="P169" s="136"/>
      <c r="Q169" s="136"/>
      <c r="R169" s="136"/>
      <c r="S169" s="136"/>
      <c r="T169" s="136"/>
      <c r="U169" s="136"/>
    </row>
    <row r="170" spans="13:21" x14ac:dyDescent="0.35">
      <c r="M170" s="135"/>
      <c r="N170" s="136"/>
      <c r="O170" s="136"/>
      <c r="P170" s="136"/>
      <c r="Q170" s="136"/>
      <c r="R170" s="136"/>
      <c r="S170" s="136"/>
      <c r="T170" s="136"/>
      <c r="U170" s="136"/>
    </row>
    <row r="171" spans="13:21" x14ac:dyDescent="0.35">
      <c r="M171" s="135"/>
      <c r="N171" s="136"/>
      <c r="O171" s="136"/>
      <c r="P171" s="136"/>
      <c r="Q171" s="136"/>
      <c r="R171" s="136"/>
      <c r="S171" s="136"/>
      <c r="T171" s="136"/>
      <c r="U171" s="136"/>
    </row>
    <row r="172" spans="13:21" x14ac:dyDescent="0.35">
      <c r="M172" s="135"/>
      <c r="N172" s="136"/>
      <c r="O172" s="136"/>
      <c r="P172" s="136"/>
      <c r="Q172" s="136"/>
      <c r="R172" s="136"/>
      <c r="S172" s="136"/>
      <c r="T172" s="136"/>
      <c r="U172" s="136"/>
    </row>
    <row r="173" spans="13:21" x14ac:dyDescent="0.35">
      <c r="M173" s="135"/>
      <c r="N173" s="136"/>
      <c r="O173" s="136"/>
      <c r="P173" s="136"/>
      <c r="Q173" s="136"/>
      <c r="R173" s="136"/>
      <c r="S173" s="136"/>
      <c r="T173" s="136"/>
      <c r="U173" s="136"/>
    </row>
    <row r="174" spans="13:21" x14ac:dyDescent="0.35">
      <c r="M174" s="135"/>
      <c r="N174" s="136"/>
      <c r="O174" s="136"/>
      <c r="P174" s="136"/>
      <c r="Q174" s="136"/>
      <c r="R174" s="136"/>
      <c r="S174" s="136"/>
      <c r="T174" s="136"/>
      <c r="U174" s="136"/>
    </row>
    <row r="175" spans="13:21" x14ac:dyDescent="0.35">
      <c r="M175" s="135"/>
      <c r="N175" s="136"/>
      <c r="O175" s="136"/>
      <c r="P175" s="136"/>
      <c r="Q175" s="136"/>
      <c r="R175" s="136"/>
      <c r="S175" s="136"/>
      <c r="T175" s="136"/>
      <c r="U175" s="136"/>
    </row>
    <row r="176" spans="13:21" x14ac:dyDescent="0.35">
      <c r="M176" s="135"/>
      <c r="N176" s="136"/>
      <c r="O176" s="136"/>
      <c r="P176" s="136"/>
      <c r="Q176" s="136"/>
      <c r="R176" s="136"/>
      <c r="S176" s="136"/>
      <c r="T176" s="136"/>
      <c r="U176" s="136"/>
    </row>
    <row r="177" spans="13:21" x14ac:dyDescent="0.35">
      <c r="M177" s="135"/>
      <c r="N177" s="136"/>
      <c r="O177" s="136"/>
      <c r="P177" s="136"/>
      <c r="Q177" s="136"/>
      <c r="R177" s="136"/>
      <c r="S177" s="136"/>
      <c r="T177" s="136"/>
      <c r="U177" s="136"/>
    </row>
    <row r="178" spans="13:21" x14ac:dyDescent="0.35">
      <c r="M178" s="135"/>
      <c r="N178" s="136"/>
      <c r="O178" s="136"/>
      <c r="P178" s="136"/>
      <c r="Q178" s="136"/>
      <c r="R178" s="136"/>
      <c r="S178" s="136"/>
      <c r="T178" s="136"/>
      <c r="U178" s="136"/>
    </row>
    <row r="179" spans="13:21" x14ac:dyDescent="0.35">
      <c r="M179" s="135"/>
      <c r="N179" s="136"/>
      <c r="O179" s="136"/>
      <c r="P179" s="136"/>
      <c r="Q179" s="136"/>
      <c r="R179" s="136"/>
      <c r="S179" s="136"/>
      <c r="T179" s="136"/>
      <c r="U179" s="136"/>
    </row>
    <row r="180" spans="13:21" x14ac:dyDescent="0.35">
      <c r="M180" s="135"/>
      <c r="N180" s="136"/>
      <c r="O180" s="136"/>
      <c r="P180" s="136"/>
      <c r="Q180" s="136"/>
      <c r="R180" s="136"/>
      <c r="S180" s="136"/>
      <c r="T180" s="136"/>
      <c r="U180" s="136"/>
    </row>
    <row r="181" spans="13:21" x14ac:dyDescent="0.35">
      <c r="M181" s="135"/>
      <c r="N181" s="136"/>
      <c r="O181" s="136"/>
      <c r="P181" s="136"/>
      <c r="Q181" s="136"/>
      <c r="R181" s="136"/>
      <c r="S181" s="136"/>
      <c r="T181" s="136"/>
      <c r="U181" s="136"/>
    </row>
    <row r="182" spans="13:21" x14ac:dyDescent="0.35">
      <c r="M182" s="135"/>
      <c r="N182" s="136"/>
      <c r="O182" s="136"/>
      <c r="P182" s="136"/>
      <c r="Q182" s="136"/>
      <c r="R182" s="136"/>
      <c r="S182" s="136"/>
      <c r="T182" s="136"/>
      <c r="U182" s="136"/>
    </row>
    <row r="183" spans="13:21" x14ac:dyDescent="0.35">
      <c r="M183" s="135"/>
      <c r="N183" s="136"/>
      <c r="O183" s="136"/>
      <c r="P183" s="136"/>
      <c r="Q183" s="136"/>
      <c r="R183" s="136"/>
      <c r="S183" s="136"/>
      <c r="T183" s="136"/>
      <c r="U183" s="136"/>
    </row>
    <row r="184" spans="13:21" x14ac:dyDescent="0.35">
      <c r="M184" s="135"/>
      <c r="N184" s="136"/>
      <c r="O184" s="136"/>
      <c r="P184" s="136"/>
      <c r="Q184" s="136"/>
      <c r="R184" s="136"/>
      <c r="S184" s="136"/>
      <c r="T184" s="136"/>
      <c r="U184" s="136"/>
    </row>
    <row r="185" spans="13:21" x14ac:dyDescent="0.35">
      <c r="M185" s="135"/>
      <c r="N185" s="136"/>
      <c r="O185" s="136"/>
      <c r="P185" s="136"/>
      <c r="Q185" s="136"/>
      <c r="R185" s="136"/>
      <c r="S185" s="136"/>
      <c r="T185" s="136"/>
      <c r="U185" s="136"/>
    </row>
    <row r="186" spans="13:21" x14ac:dyDescent="0.35">
      <c r="M186" s="135"/>
      <c r="N186" s="136"/>
      <c r="O186" s="136"/>
      <c r="P186" s="136"/>
      <c r="Q186" s="136"/>
      <c r="R186" s="136"/>
      <c r="S186" s="136"/>
      <c r="T186" s="136"/>
      <c r="U186" s="136"/>
    </row>
    <row r="187" spans="13:21" x14ac:dyDescent="0.35">
      <c r="M187" s="135"/>
      <c r="N187" s="136"/>
      <c r="O187" s="136"/>
      <c r="P187" s="136"/>
      <c r="Q187" s="136"/>
      <c r="R187" s="136"/>
      <c r="S187" s="136"/>
      <c r="T187" s="136"/>
      <c r="U187" s="136"/>
    </row>
    <row r="188" spans="13:21" x14ac:dyDescent="0.35">
      <c r="M188" s="135"/>
      <c r="N188" s="136"/>
      <c r="O188" s="136"/>
      <c r="P188" s="136"/>
      <c r="Q188" s="136"/>
      <c r="R188" s="136"/>
      <c r="S188" s="136"/>
      <c r="T188" s="136"/>
      <c r="U188" s="136"/>
    </row>
    <row r="189" spans="13:21" x14ac:dyDescent="0.35">
      <c r="M189" s="135"/>
      <c r="N189" s="136"/>
      <c r="O189" s="136"/>
      <c r="P189" s="136"/>
      <c r="Q189" s="136"/>
      <c r="R189" s="136"/>
      <c r="S189" s="136"/>
      <c r="T189" s="136"/>
      <c r="U189" s="136"/>
    </row>
    <row r="190" spans="13:21" x14ac:dyDescent="0.35">
      <c r="M190" s="135"/>
      <c r="N190" s="136"/>
      <c r="O190" s="136"/>
      <c r="P190" s="136"/>
      <c r="Q190" s="136"/>
      <c r="R190" s="136"/>
      <c r="S190" s="136"/>
      <c r="T190" s="136"/>
      <c r="U190" s="136"/>
    </row>
    <row r="191" spans="13:21" x14ac:dyDescent="0.35">
      <c r="M191" s="135"/>
      <c r="N191" s="136"/>
      <c r="O191" s="136"/>
      <c r="P191" s="136"/>
      <c r="Q191" s="136"/>
      <c r="R191" s="136"/>
      <c r="S191" s="136"/>
      <c r="T191" s="136"/>
      <c r="U191" s="136"/>
    </row>
    <row r="192" spans="13:21" x14ac:dyDescent="0.35">
      <c r="M192" s="135"/>
      <c r="N192" s="136"/>
      <c r="O192" s="136"/>
      <c r="P192" s="136"/>
      <c r="Q192" s="136"/>
      <c r="R192" s="136"/>
      <c r="S192" s="136"/>
      <c r="T192" s="136"/>
      <c r="U192" s="136"/>
    </row>
    <row r="193" spans="13:21" x14ac:dyDescent="0.35">
      <c r="M193" s="135"/>
      <c r="N193" s="136"/>
      <c r="O193" s="136"/>
      <c r="P193" s="136"/>
      <c r="Q193" s="136"/>
      <c r="R193" s="136"/>
      <c r="S193" s="136"/>
      <c r="T193" s="136"/>
      <c r="U193" s="136"/>
    </row>
    <row r="194" spans="13:21" x14ac:dyDescent="0.35">
      <c r="M194" s="135"/>
      <c r="N194" s="136"/>
      <c r="O194" s="136"/>
      <c r="P194" s="136"/>
      <c r="Q194" s="136"/>
      <c r="R194" s="136"/>
      <c r="S194" s="136"/>
      <c r="T194" s="136"/>
      <c r="U194" s="136"/>
    </row>
    <row r="195" spans="13:21" x14ac:dyDescent="0.35">
      <c r="M195" s="135"/>
      <c r="N195" s="136"/>
      <c r="O195" s="136"/>
      <c r="P195" s="136"/>
      <c r="Q195" s="136"/>
      <c r="R195" s="136"/>
      <c r="S195" s="136"/>
      <c r="T195" s="136"/>
      <c r="U195" s="136"/>
    </row>
    <row r="196" spans="13:21" x14ac:dyDescent="0.35">
      <c r="M196" s="135"/>
      <c r="N196" s="136"/>
      <c r="O196" s="136"/>
      <c r="P196" s="136"/>
      <c r="Q196" s="136"/>
      <c r="R196" s="136"/>
      <c r="S196" s="136"/>
      <c r="T196" s="136"/>
      <c r="U196" s="136"/>
    </row>
    <row r="197" spans="13:21" x14ac:dyDescent="0.35">
      <c r="M197" s="135"/>
      <c r="N197" s="136"/>
      <c r="O197" s="136"/>
      <c r="P197" s="136"/>
      <c r="Q197" s="136"/>
      <c r="R197" s="136"/>
      <c r="S197" s="136"/>
      <c r="T197" s="136"/>
      <c r="U197" s="136"/>
    </row>
    <row r="198" spans="13:21" x14ac:dyDescent="0.35">
      <c r="M198" s="135"/>
      <c r="N198" s="136"/>
      <c r="O198" s="136"/>
      <c r="P198" s="136"/>
      <c r="Q198" s="136"/>
      <c r="R198" s="136"/>
      <c r="S198" s="136"/>
      <c r="T198" s="136"/>
      <c r="U198" s="136"/>
    </row>
    <row r="199" spans="13:21" x14ac:dyDescent="0.35">
      <c r="M199" s="135"/>
      <c r="N199" s="136"/>
      <c r="O199" s="136"/>
      <c r="P199" s="136"/>
      <c r="Q199" s="136"/>
      <c r="R199" s="136"/>
      <c r="S199" s="136"/>
      <c r="T199" s="136"/>
      <c r="U199" s="136"/>
    </row>
    <row r="200" spans="13:21" x14ac:dyDescent="0.35">
      <c r="M200" s="135"/>
      <c r="N200" s="136"/>
      <c r="O200" s="136"/>
      <c r="P200" s="136"/>
      <c r="Q200" s="136"/>
      <c r="R200" s="136"/>
      <c r="S200" s="136"/>
      <c r="T200" s="136"/>
      <c r="U200" s="136"/>
    </row>
    <row r="201" spans="13:21" x14ac:dyDescent="0.35">
      <c r="M201" s="135"/>
      <c r="N201" s="136"/>
      <c r="O201" s="136"/>
      <c r="P201" s="136"/>
      <c r="Q201" s="136"/>
      <c r="R201" s="136"/>
      <c r="S201" s="136"/>
      <c r="T201" s="136"/>
      <c r="U201" s="136"/>
    </row>
    <row r="202" spans="13:21" x14ac:dyDescent="0.35">
      <c r="M202" s="135"/>
      <c r="N202" s="136"/>
      <c r="O202" s="136"/>
      <c r="P202" s="136"/>
      <c r="Q202" s="136"/>
      <c r="R202" s="136"/>
      <c r="S202" s="136"/>
      <c r="T202" s="136"/>
      <c r="U202" s="136"/>
    </row>
    <row r="203" spans="13:21" x14ac:dyDescent="0.35">
      <c r="M203" s="135"/>
      <c r="N203" s="136"/>
      <c r="O203" s="136"/>
      <c r="P203" s="136"/>
      <c r="Q203" s="136"/>
      <c r="R203" s="136"/>
      <c r="S203" s="136"/>
      <c r="T203" s="136"/>
      <c r="U203" s="136"/>
    </row>
    <row r="204" spans="13:21" x14ac:dyDescent="0.35">
      <c r="M204" s="135"/>
      <c r="N204" s="136"/>
      <c r="O204" s="136"/>
      <c r="P204" s="136"/>
      <c r="Q204" s="136"/>
      <c r="R204" s="136"/>
      <c r="S204" s="136"/>
      <c r="T204" s="136"/>
      <c r="U204" s="136"/>
    </row>
    <row r="205" spans="13:21" x14ac:dyDescent="0.35">
      <c r="M205" s="135"/>
      <c r="N205" s="136"/>
      <c r="O205" s="136"/>
      <c r="P205" s="136"/>
      <c r="Q205" s="136"/>
      <c r="R205" s="136"/>
      <c r="S205" s="136"/>
      <c r="T205" s="136"/>
      <c r="U205" s="136"/>
    </row>
    <row r="206" spans="13:21" x14ac:dyDescent="0.35">
      <c r="M206" s="135"/>
      <c r="N206" s="136"/>
      <c r="O206" s="136"/>
      <c r="P206" s="136"/>
      <c r="Q206" s="136"/>
      <c r="R206" s="136"/>
      <c r="S206" s="136"/>
      <c r="T206" s="136"/>
      <c r="U206" s="136"/>
    </row>
    <row r="207" spans="13:21" x14ac:dyDescent="0.35">
      <c r="M207" s="135"/>
      <c r="N207" s="136"/>
      <c r="O207" s="136"/>
      <c r="P207" s="136"/>
      <c r="Q207" s="136"/>
      <c r="R207" s="136"/>
      <c r="S207" s="136"/>
      <c r="T207" s="136"/>
      <c r="U207" s="136"/>
    </row>
    <row r="208" spans="13:21" x14ac:dyDescent="0.35">
      <c r="M208" s="135"/>
      <c r="N208" s="136"/>
      <c r="O208" s="136"/>
      <c r="P208" s="136"/>
      <c r="Q208" s="136"/>
      <c r="R208" s="136"/>
      <c r="S208" s="136"/>
      <c r="T208" s="136"/>
      <c r="U208" s="136"/>
    </row>
    <row r="209" spans="13:21" x14ac:dyDescent="0.35">
      <c r="M209" s="135"/>
      <c r="N209" s="136"/>
      <c r="O209" s="136"/>
      <c r="P209" s="136"/>
      <c r="Q209" s="136"/>
      <c r="R209" s="136"/>
      <c r="S209" s="136"/>
      <c r="T209" s="136"/>
      <c r="U209" s="136"/>
    </row>
    <row r="210" spans="13:21" x14ac:dyDescent="0.35">
      <c r="M210" s="135"/>
      <c r="N210" s="136"/>
      <c r="O210" s="136"/>
      <c r="P210" s="136"/>
      <c r="Q210" s="136"/>
      <c r="R210" s="136"/>
      <c r="S210" s="136"/>
      <c r="T210" s="136"/>
      <c r="U210" s="136"/>
    </row>
    <row r="211" spans="13:21" x14ac:dyDescent="0.35">
      <c r="M211" s="135"/>
      <c r="N211" s="136"/>
      <c r="O211" s="136"/>
      <c r="P211" s="136"/>
      <c r="Q211" s="136"/>
      <c r="R211" s="136"/>
      <c r="S211" s="136"/>
      <c r="T211" s="136"/>
      <c r="U211" s="136"/>
    </row>
    <row r="212" spans="13:21" x14ac:dyDescent="0.35">
      <c r="M212" s="135"/>
      <c r="N212" s="136"/>
      <c r="O212" s="136"/>
      <c r="P212" s="136"/>
      <c r="Q212" s="136"/>
      <c r="R212" s="136"/>
      <c r="S212" s="136"/>
      <c r="T212" s="136"/>
      <c r="U212" s="136"/>
    </row>
    <row r="213" spans="13:21" x14ac:dyDescent="0.35">
      <c r="M213" s="135"/>
      <c r="N213" s="136"/>
      <c r="O213" s="136"/>
      <c r="P213" s="136"/>
      <c r="Q213" s="136"/>
      <c r="R213" s="136"/>
      <c r="S213" s="136"/>
      <c r="T213" s="136"/>
      <c r="U213" s="136"/>
    </row>
    <row r="214" spans="13:21" x14ac:dyDescent="0.35">
      <c r="M214" s="135"/>
      <c r="N214" s="136"/>
      <c r="O214" s="136"/>
      <c r="P214" s="136"/>
      <c r="Q214" s="136"/>
      <c r="R214" s="136"/>
      <c r="S214" s="136"/>
      <c r="T214" s="136"/>
      <c r="U214" s="136"/>
    </row>
    <row r="215" spans="13:21" x14ac:dyDescent="0.35">
      <c r="M215" s="135"/>
      <c r="N215" s="136"/>
      <c r="O215" s="136"/>
      <c r="P215" s="136"/>
      <c r="Q215" s="136"/>
      <c r="R215" s="136"/>
      <c r="S215" s="136"/>
      <c r="T215" s="136"/>
      <c r="U215" s="136"/>
    </row>
    <row r="216" spans="13:21" x14ac:dyDescent="0.35">
      <c r="M216" s="135"/>
      <c r="N216" s="136"/>
      <c r="O216" s="136"/>
      <c r="P216" s="136"/>
      <c r="Q216" s="136"/>
      <c r="R216" s="136"/>
      <c r="S216" s="136"/>
      <c r="T216" s="136"/>
      <c r="U216" s="136"/>
    </row>
    <row r="217" spans="13:21" x14ac:dyDescent="0.35">
      <c r="M217" s="135"/>
      <c r="N217" s="136"/>
      <c r="O217" s="136"/>
      <c r="P217" s="136"/>
      <c r="Q217" s="136"/>
      <c r="R217" s="136"/>
      <c r="S217" s="136"/>
      <c r="T217" s="136"/>
      <c r="U217" s="136"/>
    </row>
    <row r="218" spans="13:21" x14ac:dyDescent="0.35">
      <c r="M218" s="135"/>
      <c r="N218" s="136"/>
      <c r="O218" s="136"/>
      <c r="P218" s="136"/>
      <c r="Q218" s="136"/>
      <c r="R218" s="136"/>
      <c r="S218" s="136"/>
      <c r="T218" s="136"/>
      <c r="U218" s="136"/>
    </row>
    <row r="219" spans="13:21" x14ac:dyDescent="0.35">
      <c r="M219" s="135"/>
      <c r="N219" s="136"/>
      <c r="O219" s="136"/>
      <c r="P219" s="136"/>
      <c r="Q219" s="136"/>
      <c r="R219" s="136"/>
      <c r="S219" s="136"/>
      <c r="T219" s="136"/>
      <c r="U219" s="136"/>
    </row>
    <row r="220" spans="13:21" x14ac:dyDescent="0.35">
      <c r="M220" s="135"/>
      <c r="N220" s="136"/>
      <c r="O220" s="136"/>
      <c r="P220" s="136"/>
      <c r="Q220" s="136"/>
      <c r="R220" s="136"/>
      <c r="S220" s="136"/>
      <c r="T220" s="136"/>
      <c r="U220" s="136"/>
    </row>
    <row r="221" spans="13:21" x14ac:dyDescent="0.35">
      <c r="M221" s="135"/>
      <c r="N221" s="136"/>
      <c r="O221" s="136"/>
      <c r="P221" s="136"/>
      <c r="Q221" s="136"/>
      <c r="R221" s="136"/>
      <c r="S221" s="136"/>
      <c r="T221" s="136"/>
      <c r="U221" s="136"/>
    </row>
    <row r="222" spans="13:21" x14ac:dyDescent="0.35">
      <c r="M222" s="135"/>
      <c r="N222" s="136"/>
      <c r="O222" s="136"/>
      <c r="P222" s="136"/>
      <c r="Q222" s="136"/>
      <c r="R222" s="136"/>
      <c r="S222" s="136"/>
      <c r="T222" s="136"/>
      <c r="U222" s="136"/>
    </row>
    <row r="223" spans="13:21" x14ac:dyDescent="0.35">
      <c r="M223" s="135"/>
      <c r="N223" s="136"/>
      <c r="O223" s="136"/>
      <c r="P223" s="136"/>
      <c r="Q223" s="136"/>
      <c r="R223" s="136"/>
      <c r="S223" s="136"/>
      <c r="T223" s="136"/>
      <c r="U223" s="136"/>
    </row>
    <row r="224" spans="13:21" x14ac:dyDescent="0.35">
      <c r="M224" s="135"/>
      <c r="N224" s="136"/>
      <c r="O224" s="136"/>
      <c r="P224" s="136"/>
      <c r="Q224" s="136"/>
      <c r="R224" s="136"/>
      <c r="S224" s="136"/>
      <c r="T224" s="136"/>
      <c r="U224" s="136"/>
    </row>
    <row r="225" spans="13:21" x14ac:dyDescent="0.35">
      <c r="M225" s="135"/>
      <c r="N225" s="136"/>
      <c r="O225" s="136"/>
      <c r="P225" s="136"/>
      <c r="Q225" s="136"/>
      <c r="R225" s="136"/>
      <c r="S225" s="136"/>
      <c r="T225" s="136"/>
      <c r="U225" s="136"/>
    </row>
    <row r="226" spans="13:21" x14ac:dyDescent="0.35">
      <c r="M226" s="135"/>
      <c r="N226" s="136"/>
      <c r="O226" s="136"/>
      <c r="P226" s="136"/>
      <c r="Q226" s="136"/>
      <c r="R226" s="136"/>
      <c r="S226" s="136"/>
      <c r="T226" s="136"/>
      <c r="U226" s="136"/>
    </row>
    <row r="227" spans="13:21" x14ac:dyDescent="0.35">
      <c r="M227" s="135"/>
      <c r="N227" s="136"/>
      <c r="O227" s="136"/>
      <c r="P227" s="136"/>
      <c r="Q227" s="136"/>
      <c r="R227" s="136"/>
      <c r="S227" s="136"/>
      <c r="T227" s="136"/>
      <c r="U227" s="136"/>
    </row>
    <row r="228" spans="13:21" x14ac:dyDescent="0.35">
      <c r="M228" s="135"/>
      <c r="N228" s="136"/>
      <c r="O228" s="136"/>
      <c r="P228" s="136"/>
      <c r="Q228" s="136"/>
      <c r="R228" s="136"/>
      <c r="S228" s="136"/>
      <c r="T228" s="136"/>
      <c r="U228" s="136"/>
    </row>
    <row r="229" spans="13:21" x14ac:dyDescent="0.35">
      <c r="M229" s="135"/>
      <c r="N229" s="136"/>
      <c r="O229" s="136"/>
      <c r="P229" s="136"/>
      <c r="Q229" s="136"/>
      <c r="R229" s="136"/>
      <c r="S229" s="136"/>
      <c r="T229" s="136"/>
      <c r="U229" s="136"/>
    </row>
    <row r="230" spans="13:21" x14ac:dyDescent="0.35">
      <c r="M230" s="135"/>
      <c r="N230" s="136"/>
      <c r="O230" s="136"/>
      <c r="P230" s="136"/>
      <c r="Q230" s="136"/>
      <c r="R230" s="136"/>
      <c r="S230" s="136"/>
      <c r="T230" s="136"/>
      <c r="U230" s="136"/>
    </row>
    <row r="231" spans="13:21" x14ac:dyDescent="0.35">
      <c r="M231" s="135"/>
      <c r="N231" s="136"/>
      <c r="O231" s="136"/>
      <c r="P231" s="136"/>
      <c r="Q231" s="136"/>
      <c r="R231" s="136"/>
      <c r="S231" s="136"/>
      <c r="T231" s="136"/>
      <c r="U231" s="136"/>
    </row>
    <row r="232" spans="13:21" x14ac:dyDescent="0.35">
      <c r="M232" s="135"/>
      <c r="N232" s="136"/>
      <c r="O232" s="136"/>
      <c r="P232" s="136"/>
      <c r="Q232" s="136"/>
      <c r="R232" s="136"/>
      <c r="S232" s="136"/>
      <c r="T232" s="136"/>
      <c r="U232" s="136"/>
    </row>
    <row r="233" spans="13:21" x14ac:dyDescent="0.35">
      <c r="M233" s="135"/>
      <c r="N233" s="136"/>
      <c r="O233" s="136"/>
      <c r="P233" s="136"/>
      <c r="Q233" s="136"/>
      <c r="R233" s="136"/>
      <c r="S233" s="136"/>
      <c r="T233" s="136"/>
      <c r="U233" s="136"/>
    </row>
    <row r="234" spans="13:21" x14ac:dyDescent="0.35">
      <c r="M234" s="135"/>
      <c r="N234" s="136"/>
      <c r="O234" s="136"/>
      <c r="P234" s="136"/>
      <c r="Q234" s="136"/>
      <c r="R234" s="136"/>
      <c r="S234" s="136"/>
      <c r="T234" s="136"/>
      <c r="U234" s="136"/>
    </row>
    <row r="235" spans="13:21" x14ac:dyDescent="0.35">
      <c r="M235" s="135"/>
      <c r="N235" s="136"/>
      <c r="O235" s="136"/>
      <c r="P235" s="136"/>
      <c r="Q235" s="136"/>
      <c r="R235" s="136"/>
      <c r="S235" s="136"/>
      <c r="T235" s="136"/>
      <c r="U235" s="136"/>
    </row>
    <row r="236" spans="13:21" x14ac:dyDescent="0.35">
      <c r="M236" s="135"/>
      <c r="N236" s="136"/>
      <c r="O236" s="136"/>
      <c r="P236" s="136"/>
      <c r="Q236" s="136"/>
      <c r="R236" s="136"/>
      <c r="S236" s="136"/>
      <c r="T236" s="136"/>
      <c r="U236" s="136"/>
    </row>
    <row r="237" spans="13:21" x14ac:dyDescent="0.35">
      <c r="M237" s="135"/>
      <c r="N237" s="136"/>
      <c r="O237" s="136"/>
      <c r="P237" s="136"/>
      <c r="Q237" s="136"/>
      <c r="R237" s="136"/>
      <c r="S237" s="136"/>
      <c r="T237" s="136"/>
      <c r="U237" s="136"/>
    </row>
    <row r="238" spans="13:21" x14ac:dyDescent="0.35">
      <c r="M238" s="135"/>
      <c r="N238" s="136"/>
      <c r="O238" s="136"/>
      <c r="P238" s="136"/>
      <c r="Q238" s="136"/>
      <c r="R238" s="136"/>
      <c r="S238" s="136"/>
      <c r="T238" s="136"/>
      <c r="U238" s="136"/>
    </row>
    <row r="239" spans="13:21" x14ac:dyDescent="0.35">
      <c r="M239" s="135"/>
      <c r="N239" s="136"/>
      <c r="O239" s="136"/>
      <c r="P239" s="136"/>
      <c r="Q239" s="136"/>
      <c r="R239" s="136"/>
      <c r="S239" s="136"/>
      <c r="T239" s="136"/>
      <c r="U239" s="136"/>
    </row>
    <row r="240" spans="13:21" x14ac:dyDescent="0.35">
      <c r="M240" s="135"/>
      <c r="N240" s="136"/>
      <c r="O240" s="136"/>
      <c r="P240" s="136"/>
      <c r="Q240" s="136"/>
      <c r="R240" s="136"/>
      <c r="S240" s="136"/>
      <c r="T240" s="136"/>
      <c r="U240" s="136"/>
    </row>
    <row r="241" spans="13:21" x14ac:dyDescent="0.35">
      <c r="M241" s="135"/>
      <c r="N241" s="136"/>
      <c r="O241" s="136"/>
      <c r="P241" s="136"/>
      <c r="Q241" s="136"/>
      <c r="R241" s="136"/>
      <c r="S241" s="136"/>
      <c r="T241" s="136"/>
      <c r="U241" s="136"/>
    </row>
    <row r="242" spans="13:21" x14ac:dyDescent="0.35">
      <c r="M242" s="135"/>
      <c r="N242" s="136"/>
      <c r="O242" s="136"/>
      <c r="P242" s="136"/>
      <c r="Q242" s="136"/>
      <c r="R242" s="136"/>
      <c r="S242" s="136"/>
      <c r="T242" s="136"/>
      <c r="U242" s="136"/>
    </row>
    <row r="243" spans="13:21" x14ac:dyDescent="0.35">
      <c r="M243" s="135"/>
      <c r="N243" s="136"/>
      <c r="O243" s="136"/>
      <c r="P243" s="136"/>
      <c r="Q243" s="136"/>
      <c r="R243" s="136"/>
      <c r="S243" s="136"/>
      <c r="T243" s="136"/>
      <c r="U243" s="136"/>
    </row>
    <row r="244" spans="13:21" x14ac:dyDescent="0.35">
      <c r="M244" s="135"/>
      <c r="N244" s="136"/>
      <c r="O244" s="136"/>
      <c r="P244" s="136"/>
      <c r="Q244" s="136"/>
      <c r="R244" s="136"/>
      <c r="S244" s="136"/>
      <c r="T244" s="136"/>
      <c r="U244" s="136"/>
    </row>
    <row r="245" spans="13:21" x14ac:dyDescent="0.35">
      <c r="M245" s="135"/>
      <c r="N245" s="136"/>
      <c r="O245" s="136"/>
      <c r="P245" s="136"/>
      <c r="Q245" s="136"/>
      <c r="R245" s="136"/>
      <c r="S245" s="136"/>
      <c r="T245" s="136"/>
      <c r="U245" s="136"/>
    </row>
    <row r="246" spans="13:21" x14ac:dyDescent="0.35">
      <c r="M246" s="135"/>
      <c r="N246" s="136"/>
      <c r="O246" s="136"/>
      <c r="P246" s="136"/>
      <c r="Q246" s="136"/>
      <c r="R246" s="136"/>
      <c r="S246" s="136"/>
      <c r="T246" s="136"/>
      <c r="U246" s="136"/>
    </row>
    <row r="247" spans="13:21" x14ac:dyDescent="0.35">
      <c r="M247" s="135"/>
      <c r="N247" s="136"/>
      <c r="O247" s="136"/>
      <c r="P247" s="136"/>
      <c r="Q247" s="136"/>
      <c r="R247" s="136"/>
      <c r="S247" s="136"/>
      <c r="T247" s="136"/>
      <c r="U247" s="136"/>
    </row>
    <row r="248" spans="13:21" x14ac:dyDescent="0.35">
      <c r="M248" s="135"/>
      <c r="N248" s="136"/>
      <c r="O248" s="136"/>
      <c r="P248" s="136"/>
      <c r="Q248" s="136"/>
      <c r="R248" s="136"/>
      <c r="S248" s="136"/>
      <c r="T248" s="136"/>
      <c r="U248" s="136"/>
    </row>
    <row r="249" spans="13:21" x14ac:dyDescent="0.35">
      <c r="M249" s="135"/>
      <c r="N249" s="136"/>
      <c r="O249" s="136"/>
      <c r="P249" s="136"/>
      <c r="Q249" s="136"/>
      <c r="R249" s="136"/>
      <c r="S249" s="136"/>
      <c r="T249" s="136"/>
      <c r="U249" s="136"/>
    </row>
    <row r="250" spans="13:21" x14ac:dyDescent="0.35">
      <c r="M250" s="135"/>
      <c r="N250" s="136"/>
      <c r="O250" s="136"/>
      <c r="P250" s="136"/>
      <c r="Q250" s="136"/>
      <c r="R250" s="136"/>
      <c r="S250" s="136"/>
      <c r="T250" s="136"/>
      <c r="U250" s="136"/>
    </row>
    <row r="251" spans="13:21" x14ac:dyDescent="0.35">
      <c r="M251" s="135"/>
      <c r="N251" s="136"/>
      <c r="O251" s="136"/>
      <c r="P251" s="136"/>
      <c r="Q251" s="136"/>
      <c r="R251" s="136"/>
      <c r="S251" s="136"/>
      <c r="T251" s="136"/>
      <c r="U251" s="136"/>
    </row>
    <row r="252" spans="13:21" x14ac:dyDescent="0.35">
      <c r="M252" s="135"/>
      <c r="N252" s="136"/>
      <c r="O252" s="136"/>
      <c r="P252" s="136"/>
      <c r="Q252" s="136"/>
      <c r="R252" s="136"/>
      <c r="S252" s="136"/>
      <c r="T252" s="136"/>
      <c r="U252" s="136"/>
    </row>
    <row r="253" spans="13:21" x14ac:dyDescent="0.35">
      <c r="M253" s="135"/>
      <c r="N253" s="136"/>
      <c r="O253" s="136"/>
      <c r="P253" s="136"/>
      <c r="Q253" s="136"/>
      <c r="R253" s="136"/>
      <c r="S253" s="136"/>
      <c r="T253" s="136"/>
      <c r="U253" s="136"/>
    </row>
    <row r="254" spans="13:21" x14ac:dyDescent="0.35">
      <c r="M254" s="135"/>
      <c r="N254" s="136"/>
      <c r="O254" s="136"/>
      <c r="P254" s="136"/>
      <c r="Q254" s="136"/>
      <c r="R254" s="136"/>
      <c r="S254" s="136"/>
      <c r="T254" s="136"/>
      <c r="U254" s="136"/>
    </row>
    <row r="255" spans="13:21" x14ac:dyDescent="0.35">
      <c r="M255" s="135"/>
      <c r="N255" s="136"/>
      <c r="O255" s="136"/>
      <c r="P255" s="136"/>
      <c r="Q255" s="136"/>
      <c r="R255" s="136"/>
      <c r="S255" s="136"/>
      <c r="T255" s="136"/>
      <c r="U255" s="136"/>
    </row>
    <row r="256" spans="13:21" x14ac:dyDescent="0.35">
      <c r="M256" s="135"/>
      <c r="N256" s="136"/>
      <c r="O256" s="136"/>
      <c r="P256" s="136"/>
      <c r="Q256" s="136"/>
      <c r="R256" s="136"/>
      <c r="S256" s="136"/>
      <c r="T256" s="136"/>
      <c r="U256" s="136"/>
    </row>
    <row r="257" spans="13:21" x14ac:dyDescent="0.35">
      <c r="M257" s="135"/>
      <c r="N257" s="136"/>
      <c r="O257" s="136"/>
      <c r="P257" s="136"/>
      <c r="Q257" s="136"/>
      <c r="R257" s="136"/>
      <c r="S257" s="136"/>
      <c r="T257" s="136"/>
      <c r="U257" s="136"/>
    </row>
    <row r="258" spans="13:21" x14ac:dyDescent="0.35">
      <c r="M258" s="135"/>
      <c r="N258" s="136"/>
      <c r="O258" s="136"/>
      <c r="P258" s="136"/>
      <c r="Q258" s="136"/>
      <c r="R258" s="136"/>
      <c r="S258" s="136"/>
      <c r="T258" s="136"/>
      <c r="U258" s="136"/>
    </row>
    <row r="259" spans="13:21" x14ac:dyDescent="0.35">
      <c r="M259" s="135"/>
      <c r="N259" s="136"/>
      <c r="O259" s="136"/>
      <c r="P259" s="136"/>
      <c r="Q259" s="136"/>
      <c r="R259" s="136"/>
      <c r="S259" s="136"/>
      <c r="T259" s="136"/>
      <c r="U259" s="136"/>
    </row>
    <row r="260" spans="13:21" x14ac:dyDescent="0.35">
      <c r="M260" s="135"/>
      <c r="N260" s="136"/>
      <c r="O260" s="136"/>
      <c r="P260" s="136"/>
      <c r="Q260" s="136"/>
      <c r="R260" s="136"/>
      <c r="S260" s="136"/>
      <c r="T260" s="136"/>
      <c r="U260" s="136"/>
    </row>
    <row r="261" spans="13:21" x14ac:dyDescent="0.35">
      <c r="M261" s="135"/>
      <c r="N261" s="136"/>
      <c r="O261" s="136"/>
      <c r="P261" s="136"/>
      <c r="Q261" s="136"/>
      <c r="R261" s="136"/>
      <c r="S261" s="136"/>
      <c r="T261" s="136"/>
      <c r="U261" s="136"/>
    </row>
    <row r="262" spans="13:21" x14ac:dyDescent="0.35">
      <c r="M262" s="135"/>
      <c r="N262" s="136"/>
      <c r="O262" s="136"/>
      <c r="P262" s="136"/>
      <c r="Q262" s="136"/>
      <c r="R262" s="136"/>
      <c r="S262" s="136"/>
      <c r="T262" s="136"/>
      <c r="U262" s="136"/>
    </row>
    <row r="263" spans="13:21" x14ac:dyDescent="0.35">
      <c r="M263" s="135"/>
      <c r="N263" s="136"/>
      <c r="O263" s="136"/>
      <c r="P263" s="136"/>
      <c r="Q263" s="136"/>
      <c r="R263" s="136"/>
      <c r="S263" s="136"/>
      <c r="T263" s="136"/>
      <c r="U263" s="136"/>
    </row>
    <row r="264" spans="13:21" x14ac:dyDescent="0.35">
      <c r="M264" s="135"/>
      <c r="N264" s="136"/>
      <c r="O264" s="136"/>
      <c r="P264" s="136"/>
      <c r="Q264" s="136"/>
      <c r="R264" s="136"/>
      <c r="S264" s="136"/>
      <c r="T264" s="136"/>
      <c r="U264" s="136"/>
    </row>
    <row r="265" spans="13:21" x14ac:dyDescent="0.35">
      <c r="M265" s="135"/>
      <c r="N265" s="136"/>
      <c r="O265" s="136"/>
      <c r="P265" s="136"/>
      <c r="Q265" s="136"/>
      <c r="R265" s="136"/>
      <c r="S265" s="136"/>
      <c r="T265" s="136"/>
      <c r="U265" s="136"/>
    </row>
    <row r="266" spans="13:21" x14ac:dyDescent="0.35">
      <c r="M266" s="135"/>
      <c r="N266" s="136"/>
      <c r="O266" s="136"/>
      <c r="P266" s="136"/>
      <c r="Q266" s="136"/>
      <c r="R266" s="136"/>
      <c r="S266" s="136"/>
      <c r="T266" s="136"/>
      <c r="U266" s="136"/>
    </row>
    <row r="267" spans="13:21" x14ac:dyDescent="0.35">
      <c r="M267" s="135"/>
      <c r="N267" s="136"/>
      <c r="O267" s="136"/>
      <c r="P267" s="136"/>
      <c r="Q267" s="136"/>
      <c r="R267" s="136"/>
      <c r="S267" s="136"/>
      <c r="T267" s="136"/>
      <c r="U267" s="136"/>
    </row>
    <row r="268" spans="13:21" x14ac:dyDescent="0.35">
      <c r="M268" s="135"/>
      <c r="N268" s="136"/>
      <c r="O268" s="136"/>
      <c r="P268" s="136"/>
      <c r="Q268" s="136"/>
      <c r="R268" s="136"/>
      <c r="S268" s="136"/>
      <c r="T268" s="136"/>
      <c r="U268" s="136"/>
    </row>
    <row r="269" spans="13:21" x14ac:dyDescent="0.35">
      <c r="M269" s="135"/>
      <c r="N269" s="136"/>
      <c r="O269" s="136"/>
      <c r="P269" s="136"/>
      <c r="Q269" s="136"/>
      <c r="R269" s="136"/>
      <c r="S269" s="136"/>
      <c r="T269" s="136"/>
      <c r="U269" s="136"/>
    </row>
    <row r="270" spans="13:21" x14ac:dyDescent="0.35">
      <c r="M270" s="135"/>
      <c r="N270" s="136"/>
      <c r="O270" s="136"/>
      <c r="P270" s="136"/>
      <c r="Q270" s="136"/>
      <c r="R270" s="136"/>
      <c r="S270" s="136"/>
      <c r="T270" s="136"/>
      <c r="U270" s="136"/>
    </row>
    <row r="271" spans="13:21" x14ac:dyDescent="0.35">
      <c r="M271" s="135"/>
      <c r="N271" s="136"/>
      <c r="O271" s="136"/>
      <c r="P271" s="136"/>
      <c r="Q271" s="136"/>
      <c r="R271" s="136"/>
      <c r="S271" s="136"/>
      <c r="T271" s="136"/>
      <c r="U271" s="136"/>
    </row>
    <row r="272" spans="13:21" x14ac:dyDescent="0.35">
      <c r="M272" s="135"/>
      <c r="N272" s="136"/>
      <c r="O272" s="136"/>
      <c r="P272" s="136"/>
      <c r="Q272" s="136"/>
      <c r="R272" s="136"/>
      <c r="S272" s="136"/>
      <c r="T272" s="136"/>
      <c r="U272" s="136"/>
    </row>
    <row r="273" spans="13:21" x14ac:dyDescent="0.35">
      <c r="M273" s="135"/>
      <c r="N273" s="136"/>
      <c r="O273" s="136"/>
      <c r="P273" s="136"/>
      <c r="Q273" s="136"/>
      <c r="R273" s="136"/>
      <c r="S273" s="136"/>
      <c r="T273" s="136"/>
      <c r="U273" s="136"/>
    </row>
    <row r="274" spans="13:21" x14ac:dyDescent="0.35">
      <c r="M274" s="135"/>
      <c r="N274" s="136"/>
      <c r="O274" s="136"/>
      <c r="P274" s="136"/>
      <c r="Q274" s="136"/>
      <c r="R274" s="136"/>
      <c r="S274" s="136"/>
      <c r="T274" s="136"/>
      <c r="U274" s="136"/>
    </row>
    <row r="275" spans="13:21" x14ac:dyDescent="0.35">
      <c r="M275" s="135"/>
      <c r="N275" s="136"/>
      <c r="O275" s="136"/>
      <c r="P275" s="136"/>
      <c r="Q275" s="136"/>
      <c r="R275" s="136"/>
      <c r="S275" s="136"/>
      <c r="T275" s="136"/>
      <c r="U275" s="136"/>
    </row>
    <row r="276" spans="13:21" x14ac:dyDescent="0.35">
      <c r="M276" s="135"/>
      <c r="N276" s="136"/>
      <c r="O276" s="136"/>
      <c r="P276" s="136"/>
      <c r="Q276" s="136"/>
      <c r="R276" s="136"/>
      <c r="S276" s="136"/>
      <c r="T276" s="136"/>
      <c r="U276" s="136"/>
    </row>
    <row r="277" spans="13:21" x14ac:dyDescent="0.35">
      <c r="M277" s="135"/>
      <c r="N277" s="136"/>
      <c r="O277" s="136"/>
      <c r="P277" s="136"/>
      <c r="Q277" s="136"/>
      <c r="R277" s="136"/>
      <c r="S277" s="136"/>
      <c r="T277" s="136"/>
      <c r="U277" s="136"/>
    </row>
    <row r="278" spans="13:21" x14ac:dyDescent="0.35">
      <c r="M278" s="135"/>
      <c r="N278" s="136"/>
      <c r="O278" s="136"/>
      <c r="P278" s="136"/>
      <c r="Q278" s="136"/>
      <c r="R278" s="136"/>
      <c r="S278" s="136"/>
      <c r="T278" s="136"/>
      <c r="U278" s="136"/>
    </row>
    <row r="279" spans="13:21" x14ac:dyDescent="0.35">
      <c r="M279" s="135"/>
      <c r="N279" s="136"/>
      <c r="O279" s="136"/>
      <c r="P279" s="136"/>
      <c r="Q279" s="136"/>
      <c r="R279" s="136"/>
      <c r="S279" s="136"/>
      <c r="T279" s="136"/>
      <c r="U279" s="136"/>
    </row>
    <row r="280" spans="13:21" x14ac:dyDescent="0.35">
      <c r="M280" s="135"/>
      <c r="N280" s="136"/>
      <c r="O280" s="136"/>
      <c r="P280" s="136"/>
      <c r="Q280" s="136"/>
      <c r="R280" s="136"/>
      <c r="S280" s="136"/>
      <c r="T280" s="136"/>
      <c r="U280" s="136"/>
    </row>
    <row r="281" spans="13:21" x14ac:dyDescent="0.35">
      <c r="M281" s="135"/>
      <c r="N281" s="136"/>
      <c r="O281" s="136"/>
      <c r="P281" s="136"/>
      <c r="Q281" s="136"/>
      <c r="R281" s="136"/>
      <c r="S281" s="136"/>
      <c r="T281" s="136"/>
      <c r="U281" s="136"/>
    </row>
    <row r="282" spans="13:21" x14ac:dyDescent="0.35">
      <c r="M282" s="135"/>
      <c r="N282" s="136"/>
      <c r="O282" s="136"/>
      <c r="P282" s="136"/>
      <c r="Q282" s="136"/>
      <c r="R282" s="136"/>
      <c r="S282" s="136"/>
      <c r="T282" s="136"/>
      <c r="U282" s="136"/>
    </row>
    <row r="283" spans="13:21" x14ac:dyDescent="0.35">
      <c r="M283" s="135"/>
      <c r="N283" s="136"/>
      <c r="O283" s="136"/>
      <c r="P283" s="136"/>
      <c r="Q283" s="136"/>
      <c r="R283" s="136"/>
      <c r="S283" s="136"/>
      <c r="T283" s="136"/>
      <c r="U283" s="136"/>
    </row>
    <row r="284" spans="13:21" x14ac:dyDescent="0.35">
      <c r="M284" s="135"/>
      <c r="N284" s="136"/>
      <c r="O284" s="136"/>
      <c r="P284" s="136"/>
      <c r="Q284" s="136"/>
      <c r="R284" s="136"/>
      <c r="S284" s="136"/>
      <c r="T284" s="136"/>
      <c r="U284" s="136"/>
    </row>
    <row r="285" spans="13:21" x14ac:dyDescent="0.35">
      <c r="M285" s="135"/>
      <c r="N285" s="136"/>
      <c r="O285" s="136"/>
      <c r="P285" s="136"/>
      <c r="Q285" s="136"/>
      <c r="R285" s="136"/>
      <c r="S285" s="136"/>
      <c r="T285" s="136"/>
      <c r="U285" s="136"/>
    </row>
    <row r="286" spans="13:21" x14ac:dyDescent="0.35">
      <c r="M286" s="135"/>
      <c r="N286" s="136"/>
      <c r="O286" s="136"/>
      <c r="P286" s="136"/>
      <c r="Q286" s="136"/>
      <c r="R286" s="136"/>
      <c r="S286" s="136"/>
      <c r="T286" s="136"/>
      <c r="U286" s="136"/>
    </row>
    <row r="287" spans="13:21" x14ac:dyDescent="0.35">
      <c r="M287" s="135"/>
      <c r="N287" s="136"/>
      <c r="O287" s="136"/>
      <c r="P287" s="136"/>
      <c r="Q287" s="136"/>
      <c r="R287" s="136"/>
      <c r="S287" s="136"/>
      <c r="T287" s="136"/>
      <c r="U287" s="136"/>
    </row>
    <row r="288" spans="13:21" x14ac:dyDescent="0.35">
      <c r="M288" s="135"/>
      <c r="N288" s="136"/>
      <c r="O288" s="136"/>
      <c r="P288" s="136"/>
      <c r="Q288" s="136"/>
      <c r="R288" s="136"/>
      <c r="S288" s="136"/>
      <c r="T288" s="136"/>
      <c r="U288" s="136"/>
    </row>
    <row r="289" spans="13:21" x14ac:dyDescent="0.35">
      <c r="M289" s="135"/>
      <c r="N289" s="136"/>
      <c r="O289" s="136"/>
      <c r="P289" s="136"/>
      <c r="Q289" s="136"/>
      <c r="R289" s="136"/>
      <c r="S289" s="136"/>
      <c r="T289" s="136"/>
      <c r="U289" s="136"/>
    </row>
    <row r="290" spans="13:21" x14ac:dyDescent="0.35">
      <c r="M290" s="135"/>
      <c r="N290" s="136"/>
      <c r="O290" s="136"/>
      <c r="P290" s="136"/>
      <c r="Q290" s="136"/>
      <c r="R290" s="136"/>
      <c r="S290" s="136"/>
      <c r="T290" s="136"/>
      <c r="U290" s="136"/>
    </row>
    <row r="291" spans="13:21" x14ac:dyDescent="0.35">
      <c r="M291" s="135"/>
      <c r="N291" s="136"/>
      <c r="O291" s="136"/>
      <c r="P291" s="136"/>
      <c r="Q291" s="136"/>
      <c r="R291" s="136"/>
      <c r="S291" s="136"/>
      <c r="T291" s="136"/>
      <c r="U291" s="136"/>
    </row>
    <row r="292" spans="13:21" x14ac:dyDescent="0.35">
      <c r="M292" s="135"/>
      <c r="N292" s="136"/>
      <c r="O292" s="136"/>
      <c r="P292" s="136"/>
      <c r="Q292" s="136"/>
      <c r="R292" s="136"/>
      <c r="S292" s="136"/>
      <c r="T292" s="136"/>
      <c r="U292" s="136"/>
    </row>
    <row r="293" spans="13:21" x14ac:dyDescent="0.35">
      <c r="M293" s="135"/>
      <c r="N293" s="136"/>
      <c r="O293" s="136"/>
      <c r="P293" s="136"/>
      <c r="Q293" s="136"/>
      <c r="R293" s="136"/>
      <c r="S293" s="136"/>
      <c r="T293" s="136"/>
      <c r="U293" s="136"/>
    </row>
    <row r="294" spans="13:21" x14ac:dyDescent="0.35">
      <c r="M294" s="135"/>
      <c r="N294" s="136"/>
      <c r="O294" s="136"/>
      <c r="P294" s="136"/>
      <c r="Q294" s="136"/>
      <c r="R294" s="136"/>
      <c r="S294" s="136"/>
      <c r="T294" s="136"/>
      <c r="U294" s="136"/>
    </row>
    <row r="295" spans="13:21" x14ac:dyDescent="0.35">
      <c r="M295" s="135"/>
      <c r="N295" s="136"/>
      <c r="O295" s="136"/>
      <c r="P295" s="136"/>
      <c r="Q295" s="136"/>
      <c r="R295" s="136"/>
      <c r="S295" s="136"/>
      <c r="T295" s="136"/>
      <c r="U295" s="136"/>
    </row>
    <row r="296" spans="13:21" x14ac:dyDescent="0.35">
      <c r="M296" s="135"/>
      <c r="N296" s="136"/>
      <c r="O296" s="136"/>
      <c r="P296" s="136"/>
      <c r="Q296" s="136"/>
      <c r="R296" s="136"/>
      <c r="S296" s="136"/>
      <c r="T296" s="136"/>
      <c r="U296" s="136"/>
    </row>
    <row r="297" spans="13:21" x14ac:dyDescent="0.35">
      <c r="M297" s="135"/>
      <c r="N297" s="136"/>
      <c r="O297" s="136"/>
      <c r="P297" s="136"/>
      <c r="Q297" s="136"/>
      <c r="R297" s="136"/>
      <c r="S297" s="136"/>
      <c r="T297" s="136"/>
      <c r="U297" s="136"/>
    </row>
    <row r="298" spans="13:21" x14ac:dyDescent="0.35">
      <c r="M298" s="135"/>
      <c r="N298" s="136"/>
      <c r="O298" s="136"/>
      <c r="P298" s="136"/>
      <c r="Q298" s="136"/>
      <c r="R298" s="136"/>
      <c r="S298" s="136"/>
      <c r="T298" s="136"/>
      <c r="U298" s="136"/>
    </row>
    <row r="299" spans="13:21" x14ac:dyDescent="0.35">
      <c r="M299" s="135"/>
      <c r="N299" s="136"/>
      <c r="O299" s="136"/>
      <c r="P299" s="136"/>
      <c r="Q299" s="136"/>
      <c r="R299" s="136"/>
      <c r="S299" s="136"/>
      <c r="T299" s="136"/>
      <c r="U299" s="136"/>
    </row>
    <row r="300" spans="13:21" x14ac:dyDescent="0.35">
      <c r="M300" s="135"/>
      <c r="N300" s="136"/>
      <c r="O300" s="136"/>
      <c r="P300" s="136"/>
      <c r="Q300" s="136"/>
      <c r="R300" s="136"/>
      <c r="S300" s="136"/>
      <c r="T300" s="136"/>
      <c r="U300" s="136"/>
    </row>
    <row r="301" spans="13:21" x14ac:dyDescent="0.35">
      <c r="M301" s="135"/>
      <c r="N301" s="136"/>
      <c r="O301" s="136"/>
      <c r="P301" s="136"/>
      <c r="Q301" s="136"/>
      <c r="R301" s="136"/>
      <c r="S301" s="136"/>
      <c r="T301" s="136"/>
      <c r="U301" s="136"/>
    </row>
    <row r="302" spans="13:21" x14ac:dyDescent="0.35">
      <c r="M302" s="135"/>
      <c r="N302" s="136"/>
      <c r="O302" s="136"/>
      <c r="P302" s="136"/>
      <c r="Q302" s="136"/>
      <c r="R302" s="136"/>
      <c r="S302" s="136"/>
      <c r="T302" s="136"/>
      <c r="U302" s="136"/>
    </row>
    <row r="303" spans="13:21" x14ac:dyDescent="0.35">
      <c r="M303" s="135"/>
      <c r="N303" s="136"/>
      <c r="O303" s="136"/>
      <c r="P303" s="136"/>
      <c r="Q303" s="136"/>
      <c r="R303" s="136"/>
      <c r="S303" s="136"/>
      <c r="T303" s="136"/>
      <c r="U303" s="136"/>
    </row>
    <row r="304" spans="13:21" x14ac:dyDescent="0.35">
      <c r="M304" s="135"/>
      <c r="N304" s="136"/>
      <c r="O304" s="136"/>
      <c r="P304" s="136"/>
      <c r="Q304" s="136"/>
      <c r="R304" s="136"/>
      <c r="S304" s="136"/>
      <c r="T304" s="136"/>
      <c r="U304" s="136"/>
    </row>
    <row r="305" spans="13:21" x14ac:dyDescent="0.35">
      <c r="M305" s="135"/>
      <c r="N305" s="136"/>
      <c r="O305" s="136"/>
      <c r="P305" s="136"/>
      <c r="Q305" s="136"/>
      <c r="R305" s="136"/>
      <c r="S305" s="136"/>
      <c r="T305" s="136"/>
      <c r="U305" s="136"/>
    </row>
    <row r="306" spans="13:21" x14ac:dyDescent="0.35">
      <c r="M306" s="135"/>
      <c r="N306" s="136"/>
      <c r="O306" s="136"/>
      <c r="P306" s="136"/>
      <c r="Q306" s="136"/>
      <c r="R306" s="136"/>
      <c r="S306" s="136"/>
      <c r="T306" s="136"/>
      <c r="U306" s="136"/>
    </row>
    <row r="307" spans="13:21" x14ac:dyDescent="0.35">
      <c r="M307" s="135"/>
      <c r="N307" s="136"/>
      <c r="O307" s="136"/>
      <c r="P307" s="136"/>
      <c r="Q307" s="136"/>
      <c r="R307" s="136"/>
      <c r="S307" s="136"/>
      <c r="T307" s="136"/>
      <c r="U307" s="136"/>
    </row>
    <row r="308" spans="13:21" x14ac:dyDescent="0.35">
      <c r="M308" s="135"/>
      <c r="N308" s="136"/>
      <c r="O308" s="136"/>
      <c r="P308" s="136"/>
      <c r="Q308" s="136"/>
      <c r="R308" s="136"/>
      <c r="S308" s="136"/>
      <c r="T308" s="136"/>
      <c r="U308" s="136"/>
    </row>
    <row r="309" spans="13:21" x14ac:dyDescent="0.35">
      <c r="M309" s="135"/>
      <c r="N309" s="136"/>
      <c r="O309" s="136"/>
      <c r="P309" s="136"/>
      <c r="Q309" s="136"/>
      <c r="R309" s="136"/>
      <c r="S309" s="136"/>
      <c r="T309" s="136"/>
      <c r="U309" s="136"/>
    </row>
    <row r="310" spans="13:21" x14ac:dyDescent="0.35">
      <c r="M310" s="135"/>
      <c r="N310" s="136"/>
      <c r="O310" s="136"/>
      <c r="P310" s="136"/>
      <c r="Q310" s="136"/>
      <c r="R310" s="136"/>
      <c r="S310" s="136"/>
      <c r="T310" s="136"/>
      <c r="U310" s="136"/>
    </row>
    <row r="311" spans="13:21" x14ac:dyDescent="0.35">
      <c r="M311" s="135"/>
      <c r="N311" s="136"/>
      <c r="O311" s="136"/>
      <c r="P311" s="136"/>
      <c r="Q311" s="136"/>
      <c r="R311" s="136"/>
      <c r="S311" s="136"/>
      <c r="T311" s="136"/>
      <c r="U311" s="136"/>
    </row>
    <row r="312" spans="13:21" x14ac:dyDescent="0.35">
      <c r="M312" s="135"/>
      <c r="N312" s="136"/>
      <c r="O312" s="136"/>
      <c r="P312" s="136"/>
      <c r="Q312" s="136"/>
      <c r="R312" s="136"/>
      <c r="S312" s="136"/>
      <c r="T312" s="136"/>
      <c r="U312" s="136"/>
    </row>
    <row r="313" spans="13:21" x14ac:dyDescent="0.35">
      <c r="M313" s="135"/>
      <c r="N313" s="136"/>
      <c r="O313" s="136"/>
      <c r="P313" s="136"/>
      <c r="Q313" s="136"/>
      <c r="R313" s="136"/>
      <c r="S313" s="136"/>
      <c r="T313" s="136"/>
      <c r="U313" s="136"/>
    </row>
    <row r="314" spans="13:21" x14ac:dyDescent="0.35">
      <c r="M314" s="135"/>
      <c r="N314" s="136"/>
      <c r="O314" s="136"/>
      <c r="P314" s="136"/>
      <c r="Q314" s="136"/>
      <c r="R314" s="136"/>
      <c r="S314" s="136"/>
      <c r="T314" s="136"/>
      <c r="U314" s="136"/>
    </row>
    <row r="315" spans="13:21" x14ac:dyDescent="0.35">
      <c r="M315" s="135"/>
      <c r="N315" s="136"/>
      <c r="O315" s="136"/>
      <c r="P315" s="136"/>
      <c r="Q315" s="136"/>
      <c r="R315" s="136"/>
      <c r="S315" s="136"/>
      <c r="T315" s="136"/>
      <c r="U315" s="136"/>
    </row>
    <row r="316" spans="13:21" x14ac:dyDescent="0.35">
      <c r="M316" s="135"/>
      <c r="N316" s="136"/>
      <c r="O316" s="136"/>
      <c r="P316" s="136"/>
      <c r="Q316" s="136"/>
      <c r="R316" s="136"/>
      <c r="S316" s="136"/>
      <c r="T316" s="136"/>
      <c r="U316" s="136"/>
    </row>
    <row r="317" spans="13:21" x14ac:dyDescent="0.35">
      <c r="M317" s="135"/>
      <c r="N317" s="136"/>
      <c r="O317" s="136"/>
      <c r="P317" s="136"/>
      <c r="Q317" s="136"/>
      <c r="R317" s="136"/>
      <c r="S317" s="136"/>
      <c r="T317" s="136"/>
      <c r="U317" s="136"/>
    </row>
    <row r="318" spans="13:21" x14ac:dyDescent="0.35">
      <c r="M318" s="135"/>
      <c r="N318" s="136"/>
      <c r="O318" s="136"/>
      <c r="P318" s="136"/>
      <c r="Q318" s="136"/>
      <c r="R318" s="136"/>
      <c r="S318" s="136"/>
      <c r="T318" s="136"/>
      <c r="U318" s="136"/>
    </row>
    <row r="319" spans="13:21" x14ac:dyDescent="0.35">
      <c r="M319" s="135"/>
      <c r="N319" s="136"/>
      <c r="O319" s="136"/>
      <c r="P319" s="136"/>
      <c r="Q319" s="136"/>
      <c r="R319" s="136"/>
      <c r="S319" s="136"/>
      <c r="T319" s="136"/>
      <c r="U319" s="136"/>
    </row>
    <row r="320" spans="13:21" x14ac:dyDescent="0.35">
      <c r="M320" s="135"/>
      <c r="N320" s="136"/>
      <c r="O320" s="136"/>
      <c r="P320" s="136"/>
      <c r="Q320" s="136"/>
      <c r="R320" s="136"/>
      <c r="S320" s="136"/>
      <c r="T320" s="136"/>
      <c r="U320" s="136"/>
    </row>
    <row r="321" spans="13:21" x14ac:dyDescent="0.35">
      <c r="M321" s="135"/>
      <c r="N321" s="136"/>
      <c r="O321" s="136"/>
      <c r="P321" s="136"/>
      <c r="Q321" s="136"/>
      <c r="R321" s="136"/>
      <c r="S321" s="136"/>
      <c r="T321" s="136"/>
      <c r="U321" s="136"/>
    </row>
    <row r="322" spans="13:21" x14ac:dyDescent="0.35">
      <c r="M322" s="135"/>
      <c r="N322" s="136"/>
      <c r="O322" s="136"/>
      <c r="P322" s="136"/>
      <c r="Q322" s="136"/>
      <c r="R322" s="136"/>
      <c r="S322" s="136"/>
      <c r="T322" s="136"/>
      <c r="U322" s="136"/>
    </row>
    <row r="323" spans="13:21" x14ac:dyDescent="0.35">
      <c r="M323" s="135"/>
      <c r="N323" s="136"/>
      <c r="O323" s="136"/>
      <c r="P323" s="136"/>
      <c r="Q323" s="136"/>
      <c r="R323" s="136"/>
      <c r="S323" s="136"/>
      <c r="T323" s="136"/>
      <c r="U323" s="136"/>
    </row>
    <row r="324" spans="13:21" x14ac:dyDescent="0.35">
      <c r="M324" s="135"/>
      <c r="N324" s="136"/>
      <c r="O324" s="136"/>
      <c r="P324" s="136"/>
      <c r="Q324" s="136"/>
      <c r="R324" s="136"/>
      <c r="S324" s="136"/>
      <c r="T324" s="136"/>
      <c r="U324" s="136"/>
    </row>
    <row r="325" spans="13:21" x14ac:dyDescent="0.35">
      <c r="M325" s="135"/>
      <c r="N325" s="136"/>
      <c r="O325" s="136"/>
      <c r="P325" s="136"/>
      <c r="Q325" s="136"/>
      <c r="R325" s="136"/>
      <c r="S325" s="136"/>
      <c r="T325" s="136"/>
      <c r="U325" s="136"/>
    </row>
    <row r="326" spans="13:21" x14ac:dyDescent="0.35">
      <c r="M326" s="135"/>
      <c r="N326" s="136"/>
      <c r="O326" s="136"/>
      <c r="P326" s="136"/>
      <c r="Q326" s="136"/>
      <c r="R326" s="136"/>
      <c r="S326" s="136"/>
      <c r="T326" s="136"/>
      <c r="U326" s="136"/>
    </row>
    <row r="327" spans="13:21" x14ac:dyDescent="0.35">
      <c r="M327" s="135"/>
      <c r="N327" s="136"/>
      <c r="O327" s="136"/>
      <c r="P327" s="136"/>
      <c r="Q327" s="136"/>
      <c r="R327" s="136"/>
      <c r="S327" s="136"/>
      <c r="T327" s="136"/>
      <c r="U327" s="136"/>
    </row>
    <row r="328" spans="13:21" x14ac:dyDescent="0.35">
      <c r="M328" s="135"/>
      <c r="N328" s="136"/>
      <c r="O328" s="136"/>
      <c r="P328" s="136"/>
      <c r="Q328" s="136"/>
      <c r="R328" s="136"/>
      <c r="S328" s="136"/>
      <c r="T328" s="136"/>
      <c r="U328" s="136"/>
    </row>
    <row r="329" spans="13:21" x14ac:dyDescent="0.35">
      <c r="M329" s="135"/>
      <c r="N329" s="136"/>
      <c r="O329" s="136"/>
      <c r="P329" s="136"/>
      <c r="Q329" s="136"/>
      <c r="R329" s="136"/>
      <c r="S329" s="136"/>
      <c r="T329" s="136"/>
      <c r="U329" s="136"/>
    </row>
    <row r="330" spans="13:21" x14ac:dyDescent="0.35">
      <c r="M330" s="135"/>
      <c r="N330" s="136"/>
      <c r="O330" s="136"/>
      <c r="P330" s="136"/>
      <c r="Q330" s="136"/>
      <c r="R330" s="136"/>
      <c r="S330" s="136"/>
      <c r="T330" s="136"/>
      <c r="U330" s="136"/>
    </row>
    <row r="331" spans="13:21" x14ac:dyDescent="0.35">
      <c r="M331" s="135"/>
      <c r="N331" s="136"/>
      <c r="O331" s="136"/>
      <c r="P331" s="136"/>
      <c r="Q331" s="136"/>
      <c r="R331" s="136"/>
      <c r="S331" s="136"/>
      <c r="T331" s="136"/>
      <c r="U331" s="136"/>
    </row>
    <row r="332" spans="13:21" x14ac:dyDescent="0.35">
      <c r="M332" s="135"/>
      <c r="N332" s="136"/>
      <c r="O332" s="136"/>
      <c r="P332" s="136"/>
      <c r="Q332" s="136"/>
      <c r="R332" s="136"/>
      <c r="S332" s="136"/>
      <c r="T332" s="136"/>
      <c r="U332" s="136"/>
    </row>
    <row r="333" spans="13:21" x14ac:dyDescent="0.35">
      <c r="M333" s="135"/>
      <c r="N333" s="136"/>
      <c r="O333" s="136"/>
      <c r="P333" s="136"/>
      <c r="Q333" s="136"/>
      <c r="R333" s="136"/>
      <c r="S333" s="136"/>
      <c r="T333" s="136"/>
      <c r="U333" s="136"/>
    </row>
    <row r="334" spans="13:21" x14ac:dyDescent="0.35">
      <c r="M334" s="135"/>
      <c r="N334" s="136"/>
      <c r="O334" s="136"/>
      <c r="P334" s="136"/>
      <c r="Q334" s="136"/>
      <c r="R334" s="136"/>
      <c r="S334" s="136"/>
      <c r="T334" s="136"/>
      <c r="U334" s="136"/>
    </row>
    <row r="335" spans="13:21" x14ac:dyDescent="0.35">
      <c r="M335" s="135"/>
      <c r="N335" s="136"/>
      <c r="O335" s="136"/>
      <c r="P335" s="136"/>
      <c r="Q335" s="136"/>
      <c r="R335" s="136"/>
      <c r="S335" s="136"/>
      <c r="T335" s="136"/>
      <c r="U335" s="136"/>
    </row>
    <row r="336" spans="13:21" x14ac:dyDescent="0.35">
      <c r="M336" s="135"/>
      <c r="N336" s="136"/>
      <c r="O336" s="136"/>
      <c r="P336" s="136"/>
      <c r="Q336" s="136"/>
      <c r="R336" s="136"/>
      <c r="S336" s="136"/>
      <c r="T336" s="136"/>
      <c r="U336" s="136"/>
    </row>
    <row r="337" spans="13:21" x14ac:dyDescent="0.35">
      <c r="M337" s="135"/>
      <c r="N337" s="136"/>
      <c r="O337" s="136"/>
      <c r="P337" s="136"/>
      <c r="Q337" s="136"/>
      <c r="R337" s="136"/>
      <c r="S337" s="136"/>
      <c r="T337" s="136"/>
      <c r="U337" s="136"/>
    </row>
    <row r="338" spans="13:21" x14ac:dyDescent="0.35">
      <c r="M338" s="135"/>
      <c r="N338" s="136"/>
      <c r="O338" s="136"/>
      <c r="P338" s="136"/>
      <c r="Q338" s="136"/>
      <c r="R338" s="136"/>
      <c r="S338" s="136"/>
      <c r="T338" s="136"/>
      <c r="U338" s="136"/>
    </row>
    <row r="339" spans="13:21" x14ac:dyDescent="0.35">
      <c r="M339" s="135"/>
      <c r="N339" s="136"/>
      <c r="O339" s="136"/>
      <c r="P339" s="136"/>
      <c r="Q339" s="136"/>
      <c r="R339" s="136"/>
      <c r="S339" s="136"/>
      <c r="T339" s="136"/>
      <c r="U339" s="136"/>
    </row>
    <row r="340" spans="13:21" x14ac:dyDescent="0.35">
      <c r="M340" s="135"/>
      <c r="N340" s="136"/>
      <c r="O340" s="136"/>
      <c r="P340" s="136"/>
      <c r="Q340" s="136"/>
      <c r="R340" s="136"/>
      <c r="S340" s="136"/>
      <c r="T340" s="136"/>
      <c r="U340" s="136"/>
    </row>
    <row r="341" spans="13:21" x14ac:dyDescent="0.35">
      <c r="M341" s="135"/>
      <c r="N341" s="136"/>
      <c r="O341" s="136"/>
      <c r="P341" s="136"/>
      <c r="Q341" s="136"/>
      <c r="R341" s="136"/>
      <c r="S341" s="136"/>
      <c r="T341" s="136"/>
      <c r="U341" s="136"/>
    </row>
    <row r="342" spans="13:21" x14ac:dyDescent="0.35">
      <c r="M342" s="135"/>
      <c r="N342" s="136"/>
      <c r="O342" s="136"/>
      <c r="P342" s="136"/>
      <c r="Q342" s="136"/>
      <c r="R342" s="136"/>
      <c r="S342" s="136"/>
      <c r="T342" s="136"/>
      <c r="U342" s="136"/>
    </row>
    <row r="343" spans="13:21" x14ac:dyDescent="0.35">
      <c r="M343" s="135"/>
      <c r="N343" s="136"/>
      <c r="O343" s="136"/>
      <c r="P343" s="136"/>
      <c r="Q343" s="136"/>
      <c r="R343" s="136"/>
      <c r="S343" s="136"/>
      <c r="T343" s="136"/>
      <c r="U343" s="136"/>
    </row>
    <row r="344" spans="13:21" x14ac:dyDescent="0.35">
      <c r="M344" s="135"/>
      <c r="N344" s="136"/>
      <c r="O344" s="136"/>
      <c r="P344" s="136"/>
      <c r="Q344" s="136"/>
      <c r="R344" s="136"/>
      <c r="S344" s="136"/>
      <c r="T344" s="136"/>
      <c r="U344" s="136"/>
    </row>
    <row r="345" spans="13:21" x14ac:dyDescent="0.35">
      <c r="M345" s="135"/>
      <c r="N345" s="136"/>
      <c r="O345" s="136"/>
      <c r="P345" s="136"/>
      <c r="Q345" s="136"/>
      <c r="R345" s="136"/>
      <c r="S345" s="136"/>
      <c r="T345" s="136"/>
      <c r="U345" s="136"/>
    </row>
    <row r="346" spans="13:21" x14ac:dyDescent="0.35">
      <c r="M346" s="135"/>
      <c r="N346" s="136"/>
      <c r="O346" s="136"/>
      <c r="P346" s="136"/>
      <c r="Q346" s="136"/>
      <c r="R346" s="136"/>
      <c r="S346" s="136"/>
      <c r="T346" s="136"/>
      <c r="U346" s="136"/>
    </row>
    <row r="347" spans="13:21" x14ac:dyDescent="0.35">
      <c r="M347" s="135"/>
      <c r="N347" s="136"/>
      <c r="O347" s="136"/>
      <c r="P347" s="136"/>
      <c r="Q347" s="136"/>
      <c r="R347" s="136"/>
      <c r="S347" s="136"/>
      <c r="T347" s="136"/>
      <c r="U347" s="136"/>
    </row>
    <row r="348" spans="13:21" x14ac:dyDescent="0.35">
      <c r="M348" s="135"/>
      <c r="N348" s="136"/>
      <c r="O348" s="136"/>
      <c r="P348" s="136"/>
      <c r="Q348" s="136"/>
      <c r="R348" s="136"/>
      <c r="S348" s="136"/>
      <c r="T348" s="136"/>
      <c r="U348" s="136"/>
    </row>
    <row r="349" spans="13:21" x14ac:dyDescent="0.35">
      <c r="M349" s="135"/>
      <c r="N349" s="136"/>
      <c r="O349" s="136"/>
      <c r="P349" s="136"/>
      <c r="Q349" s="136"/>
      <c r="R349" s="136"/>
      <c r="S349" s="136"/>
      <c r="T349" s="136"/>
      <c r="U349" s="136"/>
    </row>
    <row r="350" spans="13:21" x14ac:dyDescent="0.35">
      <c r="M350" s="135"/>
      <c r="N350" s="136"/>
      <c r="O350" s="136"/>
      <c r="P350" s="136"/>
      <c r="Q350" s="136"/>
      <c r="R350" s="136"/>
      <c r="S350" s="136"/>
      <c r="T350" s="136"/>
      <c r="U350" s="136"/>
    </row>
    <row r="351" spans="13:21" x14ac:dyDescent="0.35">
      <c r="M351" s="135"/>
      <c r="N351" s="136"/>
      <c r="O351" s="136"/>
      <c r="P351" s="136"/>
      <c r="Q351" s="136"/>
      <c r="R351" s="136"/>
      <c r="S351" s="136"/>
      <c r="T351" s="136"/>
      <c r="U351" s="136"/>
    </row>
    <row r="352" spans="13:21" x14ac:dyDescent="0.35">
      <c r="M352" s="135"/>
      <c r="N352" s="136"/>
      <c r="O352" s="136"/>
      <c r="P352" s="136"/>
      <c r="Q352" s="136"/>
      <c r="R352" s="136"/>
      <c r="S352" s="136"/>
      <c r="T352" s="136"/>
      <c r="U352" s="136"/>
    </row>
    <row r="353" spans="13:21" x14ac:dyDescent="0.35">
      <c r="M353" s="135"/>
      <c r="N353" s="136"/>
      <c r="O353" s="136"/>
      <c r="P353" s="136"/>
      <c r="Q353" s="136"/>
      <c r="R353" s="136"/>
      <c r="S353" s="136"/>
      <c r="T353" s="136"/>
      <c r="U353" s="136"/>
    </row>
    <row r="354" spans="13:21" x14ac:dyDescent="0.35">
      <c r="M354" s="135"/>
      <c r="N354" s="136"/>
      <c r="O354" s="136"/>
      <c r="P354" s="136"/>
      <c r="Q354" s="136"/>
      <c r="R354" s="136"/>
      <c r="S354" s="136"/>
      <c r="T354" s="136"/>
      <c r="U354" s="136"/>
    </row>
    <row r="355" spans="13:21" x14ac:dyDescent="0.35">
      <c r="M355" s="135"/>
      <c r="N355" s="136"/>
      <c r="O355" s="136"/>
      <c r="P355" s="136"/>
      <c r="Q355" s="136"/>
      <c r="R355" s="136"/>
      <c r="S355" s="136"/>
      <c r="T355" s="136"/>
      <c r="U355" s="136"/>
    </row>
    <row r="356" spans="13:21" x14ac:dyDescent="0.35">
      <c r="M356" s="135"/>
      <c r="N356" s="136"/>
      <c r="O356" s="136"/>
      <c r="P356" s="136"/>
      <c r="Q356" s="136"/>
      <c r="R356" s="136"/>
      <c r="S356" s="136"/>
      <c r="T356" s="136"/>
      <c r="U356" s="136"/>
    </row>
    <row r="357" spans="13:21" x14ac:dyDescent="0.35">
      <c r="M357" s="135"/>
      <c r="N357" s="136"/>
      <c r="O357" s="136"/>
      <c r="P357" s="136"/>
      <c r="Q357" s="136"/>
      <c r="R357" s="136"/>
      <c r="S357" s="136"/>
      <c r="T357" s="136"/>
      <c r="U357" s="136"/>
    </row>
    <row r="358" spans="13:21" x14ac:dyDescent="0.35">
      <c r="M358" s="135"/>
      <c r="N358" s="136"/>
      <c r="O358" s="136"/>
      <c r="P358" s="136"/>
      <c r="Q358" s="136"/>
      <c r="R358" s="136"/>
      <c r="S358" s="136"/>
      <c r="T358" s="136"/>
      <c r="U358" s="136"/>
    </row>
    <row r="359" spans="13:21" x14ac:dyDescent="0.35">
      <c r="M359" s="135"/>
      <c r="N359" s="136"/>
      <c r="O359" s="136"/>
      <c r="P359" s="136"/>
      <c r="Q359" s="136"/>
      <c r="R359" s="136"/>
      <c r="S359" s="136"/>
      <c r="T359" s="136"/>
      <c r="U359" s="136"/>
    </row>
    <row r="360" spans="13:21" x14ac:dyDescent="0.35">
      <c r="M360" s="135"/>
      <c r="N360" s="136"/>
      <c r="O360" s="136"/>
      <c r="P360" s="136"/>
      <c r="Q360" s="136"/>
      <c r="R360" s="136"/>
      <c r="S360" s="136"/>
      <c r="T360" s="136"/>
      <c r="U360" s="136"/>
    </row>
    <row r="361" spans="13:21" x14ac:dyDescent="0.35">
      <c r="M361" s="135"/>
      <c r="N361" s="136"/>
      <c r="O361" s="136"/>
      <c r="P361" s="136"/>
      <c r="Q361" s="136"/>
      <c r="R361" s="136"/>
      <c r="S361" s="136"/>
      <c r="T361" s="136"/>
      <c r="U361" s="136"/>
    </row>
    <row r="362" spans="13:21" x14ac:dyDescent="0.35">
      <c r="M362" s="135"/>
      <c r="N362" s="136"/>
      <c r="O362" s="136"/>
      <c r="P362" s="136"/>
      <c r="Q362" s="136"/>
      <c r="R362" s="136"/>
      <c r="S362" s="136"/>
      <c r="T362" s="136"/>
      <c r="U362" s="136"/>
    </row>
    <row r="363" spans="13:21" x14ac:dyDescent="0.35">
      <c r="M363" s="135"/>
      <c r="N363" s="136"/>
      <c r="O363" s="136"/>
      <c r="P363" s="136"/>
      <c r="Q363" s="136"/>
      <c r="R363" s="136"/>
      <c r="S363" s="136"/>
      <c r="T363" s="136"/>
      <c r="U363" s="136"/>
    </row>
    <row r="364" spans="13:21" x14ac:dyDescent="0.35">
      <c r="M364" s="135"/>
      <c r="N364" s="136"/>
      <c r="O364" s="136"/>
      <c r="P364" s="136"/>
      <c r="Q364" s="136"/>
      <c r="R364" s="136"/>
      <c r="S364" s="136"/>
      <c r="T364" s="136"/>
      <c r="U364" s="136"/>
    </row>
    <row r="365" spans="13:21" x14ac:dyDescent="0.35">
      <c r="M365" s="135"/>
      <c r="N365" s="136"/>
      <c r="O365" s="136"/>
      <c r="P365" s="136"/>
      <c r="Q365" s="136"/>
      <c r="R365" s="136"/>
      <c r="S365" s="136"/>
      <c r="T365" s="136"/>
      <c r="U365" s="136"/>
    </row>
    <row r="366" spans="13:21" x14ac:dyDescent="0.35">
      <c r="M366" s="135"/>
      <c r="N366" s="136"/>
      <c r="O366" s="136"/>
      <c r="P366" s="136"/>
      <c r="Q366" s="136"/>
      <c r="R366" s="136"/>
      <c r="S366" s="136"/>
      <c r="T366" s="136"/>
      <c r="U366" s="136"/>
    </row>
    <row r="367" spans="13:21" x14ac:dyDescent="0.35">
      <c r="M367" s="135"/>
      <c r="N367" s="136"/>
      <c r="O367" s="136"/>
      <c r="P367" s="136"/>
      <c r="Q367" s="136"/>
      <c r="R367" s="136"/>
      <c r="S367" s="136"/>
      <c r="T367" s="136"/>
      <c r="U367" s="136"/>
    </row>
    <row r="368" spans="13:21" x14ac:dyDescent="0.35">
      <c r="M368" s="135"/>
      <c r="N368" s="136"/>
      <c r="O368" s="136"/>
      <c r="P368" s="136"/>
      <c r="Q368" s="136"/>
      <c r="R368" s="136"/>
      <c r="S368" s="136"/>
      <c r="T368" s="136"/>
      <c r="U368" s="136"/>
    </row>
    <row r="369" spans="13:21" x14ac:dyDescent="0.35">
      <c r="M369" s="135"/>
      <c r="N369" s="136"/>
      <c r="O369" s="136"/>
      <c r="P369" s="136"/>
      <c r="Q369" s="136"/>
      <c r="R369" s="136"/>
      <c r="S369" s="136"/>
      <c r="T369" s="136"/>
      <c r="U369" s="136"/>
    </row>
    <row r="370" spans="13:21" x14ac:dyDescent="0.35">
      <c r="M370" s="135"/>
      <c r="N370" s="136"/>
      <c r="O370" s="136"/>
      <c r="P370" s="136"/>
      <c r="Q370" s="136"/>
      <c r="R370" s="136"/>
      <c r="S370" s="136"/>
      <c r="T370" s="136"/>
      <c r="U370" s="136"/>
    </row>
    <row r="371" spans="13:21" x14ac:dyDescent="0.35">
      <c r="M371" s="135"/>
      <c r="N371" s="136"/>
      <c r="O371" s="136"/>
      <c r="P371" s="136"/>
      <c r="Q371" s="136"/>
      <c r="R371" s="136"/>
      <c r="S371" s="136"/>
      <c r="T371" s="136"/>
      <c r="U371" s="136"/>
    </row>
    <row r="372" spans="13:21" x14ac:dyDescent="0.35">
      <c r="M372" s="135"/>
      <c r="N372" s="136"/>
      <c r="O372" s="136"/>
      <c r="P372" s="136"/>
      <c r="Q372" s="136"/>
      <c r="R372" s="136"/>
      <c r="S372" s="136"/>
      <c r="T372" s="136"/>
      <c r="U372" s="136"/>
    </row>
    <row r="373" spans="13:21" x14ac:dyDescent="0.35">
      <c r="M373" s="135"/>
      <c r="N373" s="136"/>
      <c r="O373" s="136"/>
      <c r="P373" s="136"/>
      <c r="Q373" s="136"/>
      <c r="R373" s="136"/>
      <c r="S373" s="136"/>
      <c r="T373" s="136"/>
      <c r="U373" s="136"/>
    </row>
    <row r="374" spans="13:21" x14ac:dyDescent="0.35">
      <c r="M374" s="135"/>
      <c r="N374" s="136"/>
      <c r="O374" s="136"/>
      <c r="P374" s="136"/>
      <c r="Q374" s="136"/>
      <c r="R374" s="136"/>
      <c r="S374" s="136"/>
      <c r="T374" s="136"/>
      <c r="U374" s="136"/>
    </row>
    <row r="375" spans="13:21" x14ac:dyDescent="0.35">
      <c r="M375" s="135"/>
      <c r="N375" s="136"/>
      <c r="O375" s="136"/>
      <c r="P375" s="136"/>
      <c r="Q375" s="136"/>
      <c r="R375" s="136"/>
      <c r="S375" s="136"/>
      <c r="T375" s="136"/>
      <c r="U375" s="136"/>
    </row>
    <row r="376" spans="13:21" x14ac:dyDescent="0.35">
      <c r="M376" s="135"/>
      <c r="N376" s="136"/>
      <c r="O376" s="136"/>
      <c r="P376" s="136"/>
      <c r="Q376" s="136"/>
      <c r="R376" s="136"/>
      <c r="S376" s="136"/>
      <c r="T376" s="136"/>
      <c r="U376" s="136"/>
    </row>
    <row r="377" spans="13:21" x14ac:dyDescent="0.35">
      <c r="M377" s="135"/>
      <c r="N377" s="136"/>
      <c r="O377" s="136"/>
      <c r="P377" s="136"/>
      <c r="Q377" s="136"/>
      <c r="R377" s="136"/>
      <c r="S377" s="136"/>
      <c r="T377" s="136"/>
      <c r="U377" s="136"/>
    </row>
    <row r="378" spans="13:21" x14ac:dyDescent="0.35">
      <c r="M378" s="135"/>
      <c r="N378" s="136"/>
      <c r="O378" s="136"/>
      <c r="P378" s="136"/>
      <c r="Q378" s="136"/>
      <c r="R378" s="136"/>
      <c r="S378" s="136"/>
      <c r="T378" s="136"/>
      <c r="U378" s="136"/>
    </row>
    <row r="379" spans="13:21" x14ac:dyDescent="0.35">
      <c r="M379" s="135"/>
      <c r="N379" s="136"/>
      <c r="O379" s="136"/>
      <c r="P379" s="136"/>
      <c r="Q379" s="136"/>
      <c r="R379" s="136"/>
      <c r="S379" s="136"/>
      <c r="T379" s="136"/>
      <c r="U379" s="136"/>
    </row>
    <row r="380" spans="13:21" x14ac:dyDescent="0.35">
      <c r="M380" s="135"/>
      <c r="N380" s="136"/>
      <c r="O380" s="136"/>
      <c r="P380" s="136"/>
      <c r="Q380" s="136"/>
      <c r="R380" s="136"/>
      <c r="S380" s="136"/>
      <c r="T380" s="136"/>
      <c r="U380" s="136"/>
    </row>
    <row r="381" spans="13:21" x14ac:dyDescent="0.35">
      <c r="M381" s="135"/>
      <c r="N381" s="136"/>
      <c r="O381" s="136"/>
      <c r="P381" s="136"/>
      <c r="Q381" s="136"/>
      <c r="R381" s="136"/>
      <c r="S381" s="136"/>
      <c r="T381" s="136"/>
      <c r="U381" s="136"/>
    </row>
    <row r="382" spans="13:21" x14ac:dyDescent="0.35">
      <c r="M382" s="135"/>
      <c r="N382" s="136"/>
      <c r="O382" s="136"/>
      <c r="P382" s="136"/>
      <c r="Q382" s="136"/>
      <c r="R382" s="136"/>
      <c r="S382" s="136"/>
      <c r="T382" s="136"/>
      <c r="U382" s="136"/>
    </row>
    <row r="383" spans="13:21" x14ac:dyDescent="0.35">
      <c r="M383" s="135"/>
      <c r="N383" s="136"/>
      <c r="O383" s="136"/>
      <c r="P383" s="136"/>
      <c r="Q383" s="136"/>
      <c r="R383" s="136"/>
      <c r="S383" s="136"/>
      <c r="T383" s="136"/>
      <c r="U383" s="136"/>
    </row>
    <row r="384" spans="13:21" x14ac:dyDescent="0.35">
      <c r="M384" s="135"/>
      <c r="N384" s="136"/>
      <c r="O384" s="136"/>
      <c r="P384" s="136"/>
      <c r="Q384" s="136"/>
      <c r="R384" s="136"/>
      <c r="S384" s="136"/>
      <c r="T384" s="136"/>
      <c r="U384" s="136"/>
    </row>
    <row r="385" spans="13:21" x14ac:dyDescent="0.35">
      <c r="M385" s="135"/>
      <c r="N385" s="136"/>
      <c r="O385" s="136"/>
      <c r="P385" s="136"/>
      <c r="Q385" s="136"/>
      <c r="R385" s="136"/>
      <c r="S385" s="136"/>
      <c r="T385" s="136"/>
      <c r="U385" s="136"/>
    </row>
    <row r="386" spans="13:21" x14ac:dyDescent="0.35">
      <c r="M386" s="135"/>
      <c r="N386" s="136"/>
      <c r="O386" s="136"/>
      <c r="P386" s="136"/>
      <c r="Q386" s="136"/>
      <c r="R386" s="136"/>
      <c r="S386" s="136"/>
      <c r="T386" s="136"/>
      <c r="U386" s="136"/>
    </row>
    <row r="387" spans="13:21" x14ac:dyDescent="0.35">
      <c r="M387" s="135"/>
      <c r="N387" s="136"/>
      <c r="O387" s="136"/>
      <c r="P387" s="136"/>
      <c r="Q387" s="136"/>
      <c r="R387" s="136"/>
      <c r="S387" s="136"/>
      <c r="T387" s="136"/>
      <c r="U387" s="136"/>
    </row>
    <row r="388" spans="13:21" x14ac:dyDescent="0.35">
      <c r="M388" s="135"/>
      <c r="N388" s="136"/>
      <c r="O388" s="136"/>
      <c r="P388" s="136"/>
      <c r="Q388" s="136"/>
      <c r="R388" s="136"/>
      <c r="S388" s="136"/>
      <c r="T388" s="136"/>
      <c r="U388" s="136"/>
    </row>
    <row r="389" spans="13:21" x14ac:dyDescent="0.35">
      <c r="M389" s="135"/>
      <c r="N389" s="136"/>
      <c r="O389" s="136"/>
      <c r="P389" s="136"/>
      <c r="Q389" s="136"/>
      <c r="R389" s="136"/>
      <c r="S389" s="136"/>
      <c r="T389" s="136"/>
      <c r="U389" s="136"/>
    </row>
    <row r="390" spans="13:21" x14ac:dyDescent="0.35">
      <c r="M390" s="135"/>
      <c r="N390" s="136"/>
      <c r="O390" s="136"/>
      <c r="P390" s="136"/>
      <c r="Q390" s="136"/>
      <c r="R390" s="136"/>
      <c r="S390" s="136"/>
      <c r="T390" s="136"/>
      <c r="U390" s="136"/>
    </row>
    <row r="391" spans="13:21" x14ac:dyDescent="0.35">
      <c r="M391" s="135"/>
      <c r="N391" s="136"/>
      <c r="O391" s="136"/>
      <c r="P391" s="136"/>
      <c r="Q391" s="136"/>
      <c r="R391" s="136"/>
      <c r="S391" s="136"/>
      <c r="T391" s="136"/>
      <c r="U391" s="136"/>
    </row>
    <row r="392" spans="13:21" x14ac:dyDescent="0.35">
      <c r="M392" s="135"/>
      <c r="N392" s="136"/>
      <c r="O392" s="136"/>
      <c r="P392" s="136"/>
      <c r="Q392" s="136"/>
      <c r="R392" s="136"/>
      <c r="S392" s="136"/>
      <c r="T392" s="136"/>
      <c r="U392" s="136"/>
    </row>
    <row r="393" spans="13:21" x14ac:dyDescent="0.35">
      <c r="M393" s="135"/>
      <c r="N393" s="136"/>
      <c r="O393" s="136"/>
      <c r="P393" s="136"/>
      <c r="Q393" s="136"/>
      <c r="R393" s="136"/>
      <c r="S393" s="136"/>
      <c r="T393" s="136"/>
      <c r="U393" s="136"/>
    </row>
    <row r="394" spans="13:21" x14ac:dyDescent="0.35">
      <c r="M394" s="135"/>
      <c r="N394" s="136"/>
      <c r="O394" s="136"/>
      <c r="P394" s="136"/>
      <c r="Q394" s="136"/>
      <c r="R394" s="136"/>
      <c r="S394" s="136"/>
      <c r="T394" s="136"/>
      <c r="U394" s="136"/>
    </row>
    <row r="395" spans="13:21" x14ac:dyDescent="0.35">
      <c r="M395" s="135"/>
      <c r="N395" s="136"/>
      <c r="O395" s="136"/>
      <c r="P395" s="136"/>
      <c r="Q395" s="136"/>
      <c r="R395" s="136"/>
      <c r="S395" s="136"/>
      <c r="T395" s="136"/>
      <c r="U395" s="136"/>
    </row>
    <row r="396" spans="13:21" x14ac:dyDescent="0.35">
      <c r="M396" s="135"/>
      <c r="N396" s="136"/>
      <c r="O396" s="136"/>
      <c r="P396" s="136"/>
      <c r="Q396" s="136"/>
      <c r="R396" s="136"/>
      <c r="S396" s="136"/>
      <c r="T396" s="136"/>
      <c r="U396" s="136"/>
    </row>
    <row r="397" spans="13:21" x14ac:dyDescent="0.35">
      <c r="M397" s="135"/>
      <c r="N397" s="136"/>
      <c r="O397" s="136"/>
      <c r="P397" s="136"/>
      <c r="Q397" s="136"/>
      <c r="R397" s="136"/>
      <c r="S397" s="136"/>
      <c r="T397" s="136"/>
      <c r="U397" s="136"/>
    </row>
    <row r="398" spans="13:21" x14ac:dyDescent="0.35">
      <c r="M398" s="135"/>
      <c r="N398" s="136"/>
      <c r="O398" s="136"/>
      <c r="P398" s="136"/>
      <c r="Q398" s="136"/>
      <c r="R398" s="136"/>
      <c r="S398" s="136"/>
      <c r="T398" s="136"/>
      <c r="U398" s="136"/>
    </row>
    <row r="399" spans="13:21" x14ac:dyDescent="0.35">
      <c r="M399" s="135"/>
      <c r="N399" s="136"/>
      <c r="O399" s="136"/>
      <c r="P399" s="136"/>
      <c r="Q399" s="136"/>
      <c r="R399" s="136"/>
      <c r="S399" s="136"/>
      <c r="T399" s="136"/>
      <c r="U399" s="136"/>
    </row>
    <row r="400" spans="13:21" x14ac:dyDescent="0.35">
      <c r="M400" s="135"/>
      <c r="N400" s="136"/>
      <c r="O400" s="136"/>
      <c r="P400" s="136"/>
      <c r="Q400" s="136"/>
      <c r="R400" s="136"/>
      <c r="S400" s="136"/>
      <c r="T400" s="136"/>
      <c r="U400" s="136"/>
    </row>
    <row r="401" spans="13:21" x14ac:dyDescent="0.35">
      <c r="M401" s="135"/>
      <c r="N401" s="136"/>
      <c r="O401" s="136"/>
      <c r="P401" s="136"/>
      <c r="Q401" s="136"/>
      <c r="R401" s="136"/>
      <c r="S401" s="136"/>
      <c r="T401" s="136"/>
      <c r="U401" s="136"/>
    </row>
    <row r="402" spans="13:21" x14ac:dyDescent="0.35">
      <c r="M402" s="135"/>
      <c r="N402" s="136"/>
      <c r="O402" s="136"/>
      <c r="P402" s="136"/>
      <c r="Q402" s="136"/>
      <c r="R402" s="136"/>
      <c r="S402" s="136"/>
      <c r="T402" s="136"/>
      <c r="U402" s="136"/>
    </row>
    <row r="403" spans="13:21" x14ac:dyDescent="0.35">
      <c r="M403" s="135"/>
      <c r="N403" s="136"/>
      <c r="O403" s="136"/>
      <c r="P403" s="136"/>
      <c r="Q403" s="136"/>
      <c r="R403" s="136"/>
      <c r="S403" s="136"/>
      <c r="T403" s="136"/>
      <c r="U403" s="136"/>
    </row>
    <row r="404" spans="13:21" x14ac:dyDescent="0.35">
      <c r="M404" s="135"/>
      <c r="N404" s="136"/>
      <c r="O404" s="136"/>
      <c r="P404" s="136"/>
      <c r="Q404" s="136"/>
      <c r="R404" s="136"/>
      <c r="S404" s="136"/>
      <c r="T404" s="136"/>
      <c r="U404" s="136"/>
    </row>
    <row r="405" spans="13:21" x14ac:dyDescent="0.35">
      <c r="M405" s="135"/>
      <c r="N405" s="136"/>
      <c r="O405" s="136"/>
      <c r="P405" s="136"/>
      <c r="Q405" s="136"/>
      <c r="R405" s="136"/>
      <c r="S405" s="136"/>
      <c r="T405" s="136"/>
      <c r="U405" s="136"/>
    </row>
    <row r="406" spans="13:21" x14ac:dyDescent="0.35">
      <c r="M406" s="135"/>
      <c r="N406" s="136"/>
      <c r="O406" s="136"/>
      <c r="P406" s="136"/>
      <c r="Q406" s="136"/>
      <c r="R406" s="136"/>
      <c r="S406" s="136"/>
      <c r="T406" s="136"/>
      <c r="U406" s="136"/>
    </row>
    <row r="407" spans="13:21" x14ac:dyDescent="0.35">
      <c r="M407" s="135"/>
      <c r="N407" s="136"/>
      <c r="O407" s="136"/>
      <c r="P407" s="136"/>
      <c r="Q407" s="136"/>
      <c r="R407" s="136"/>
      <c r="S407" s="136"/>
      <c r="T407" s="136"/>
      <c r="U407" s="136"/>
    </row>
    <row r="408" spans="13:21" x14ac:dyDescent="0.35">
      <c r="M408" s="135"/>
      <c r="N408" s="136"/>
      <c r="O408" s="136"/>
      <c r="P408" s="136"/>
      <c r="Q408" s="136"/>
      <c r="R408" s="136"/>
      <c r="S408" s="136"/>
      <c r="T408" s="136"/>
      <c r="U408" s="136"/>
    </row>
    <row r="409" spans="13:21" x14ac:dyDescent="0.35">
      <c r="M409" s="135"/>
      <c r="N409" s="136"/>
      <c r="O409" s="136"/>
      <c r="P409" s="136"/>
      <c r="Q409" s="136"/>
      <c r="R409" s="136"/>
      <c r="S409" s="136"/>
      <c r="T409" s="136"/>
      <c r="U409" s="136"/>
    </row>
    <row r="410" spans="13:21" x14ac:dyDescent="0.35">
      <c r="M410" s="135"/>
      <c r="N410" s="136"/>
      <c r="O410" s="136"/>
      <c r="P410" s="136"/>
      <c r="Q410" s="136"/>
      <c r="R410" s="136"/>
      <c r="S410" s="136"/>
      <c r="T410" s="136"/>
      <c r="U410" s="136"/>
    </row>
    <row r="411" spans="13:21" x14ac:dyDescent="0.35">
      <c r="M411" s="135"/>
      <c r="N411" s="136"/>
      <c r="O411" s="136"/>
      <c r="P411" s="136"/>
      <c r="Q411" s="136"/>
      <c r="R411" s="136"/>
      <c r="S411" s="136"/>
      <c r="T411" s="136"/>
      <c r="U411" s="136"/>
    </row>
    <row r="412" spans="13:21" x14ac:dyDescent="0.35">
      <c r="M412" s="135"/>
      <c r="N412" s="136"/>
      <c r="O412" s="136"/>
      <c r="P412" s="136"/>
      <c r="Q412" s="136"/>
      <c r="R412" s="136"/>
      <c r="S412" s="136"/>
      <c r="T412" s="136"/>
      <c r="U412" s="136"/>
    </row>
    <row r="413" spans="13:21" x14ac:dyDescent="0.35">
      <c r="M413" s="135"/>
      <c r="N413" s="136"/>
      <c r="O413" s="136"/>
      <c r="P413" s="136"/>
      <c r="Q413" s="136"/>
      <c r="R413" s="136"/>
      <c r="S413" s="136"/>
      <c r="T413" s="136"/>
      <c r="U413" s="136"/>
    </row>
    <row r="414" spans="13:21" x14ac:dyDescent="0.35">
      <c r="M414" s="135"/>
      <c r="N414" s="136"/>
      <c r="O414" s="136"/>
      <c r="P414" s="136"/>
      <c r="Q414" s="136"/>
      <c r="R414" s="136"/>
      <c r="S414" s="136"/>
      <c r="T414" s="136"/>
      <c r="U414" s="136"/>
    </row>
    <row r="415" spans="13:21" x14ac:dyDescent="0.35">
      <c r="M415" s="135"/>
      <c r="N415" s="136"/>
      <c r="O415" s="136"/>
      <c r="P415" s="136"/>
      <c r="Q415" s="136"/>
      <c r="R415" s="136"/>
      <c r="S415" s="136"/>
      <c r="T415" s="136"/>
      <c r="U415" s="136"/>
    </row>
    <row r="416" spans="13:21" x14ac:dyDescent="0.35">
      <c r="M416" s="135"/>
      <c r="N416" s="136"/>
      <c r="O416" s="136"/>
      <c r="P416" s="136"/>
      <c r="Q416" s="136"/>
      <c r="R416" s="136"/>
      <c r="S416" s="136"/>
      <c r="T416" s="136"/>
      <c r="U416" s="136"/>
    </row>
    <row r="417" spans="13:21" x14ac:dyDescent="0.35">
      <c r="M417" s="135"/>
      <c r="N417" s="136"/>
      <c r="O417" s="136"/>
      <c r="P417" s="136"/>
      <c r="Q417" s="136"/>
      <c r="R417" s="136"/>
      <c r="S417" s="136"/>
      <c r="T417" s="136"/>
      <c r="U417" s="136"/>
    </row>
    <row r="418" spans="13:21" x14ac:dyDescent="0.35">
      <c r="M418" s="135"/>
      <c r="N418" s="136"/>
      <c r="O418" s="136"/>
      <c r="P418" s="136"/>
      <c r="Q418" s="136"/>
      <c r="R418" s="136"/>
      <c r="S418" s="136"/>
      <c r="T418" s="136"/>
      <c r="U418" s="136"/>
    </row>
    <row r="419" spans="13:21" x14ac:dyDescent="0.35">
      <c r="M419" s="135"/>
      <c r="N419" s="136"/>
      <c r="O419" s="136"/>
      <c r="P419" s="136"/>
      <c r="Q419" s="136"/>
      <c r="R419" s="136"/>
      <c r="S419" s="136"/>
      <c r="T419" s="136"/>
      <c r="U419" s="136"/>
    </row>
    <row r="420" spans="13:21" x14ac:dyDescent="0.35">
      <c r="M420" s="135"/>
      <c r="N420" s="136"/>
      <c r="O420" s="136"/>
      <c r="P420" s="136"/>
      <c r="Q420" s="136"/>
      <c r="R420" s="136"/>
      <c r="S420" s="136"/>
      <c r="T420" s="136"/>
      <c r="U420" s="136"/>
    </row>
    <row r="421" spans="13:21" x14ac:dyDescent="0.35">
      <c r="M421" s="135"/>
      <c r="N421" s="136"/>
      <c r="O421" s="136"/>
      <c r="P421" s="136"/>
      <c r="Q421" s="136"/>
      <c r="R421" s="136"/>
      <c r="S421" s="136"/>
      <c r="T421" s="136"/>
      <c r="U421" s="136"/>
    </row>
    <row r="422" spans="13:21" x14ac:dyDescent="0.35">
      <c r="M422" s="135"/>
      <c r="N422" s="136"/>
      <c r="O422" s="136"/>
      <c r="P422" s="136"/>
      <c r="Q422" s="136"/>
      <c r="R422" s="136"/>
      <c r="S422" s="136"/>
      <c r="T422" s="136"/>
      <c r="U422" s="136"/>
    </row>
    <row r="423" spans="13:21" x14ac:dyDescent="0.35">
      <c r="M423" s="135"/>
      <c r="N423" s="136"/>
      <c r="O423" s="136"/>
      <c r="P423" s="136"/>
      <c r="Q423" s="136"/>
      <c r="R423" s="136"/>
      <c r="S423" s="136"/>
      <c r="T423" s="136"/>
      <c r="U423" s="136"/>
    </row>
    <row r="424" spans="13:21" x14ac:dyDescent="0.35">
      <c r="M424" s="135"/>
      <c r="N424" s="136"/>
      <c r="O424" s="136"/>
      <c r="P424" s="136"/>
      <c r="Q424" s="136"/>
      <c r="R424" s="136"/>
      <c r="S424" s="136"/>
      <c r="T424" s="136"/>
      <c r="U424" s="136"/>
    </row>
    <row r="425" spans="13:21" x14ac:dyDescent="0.35">
      <c r="M425" s="135"/>
      <c r="N425" s="136"/>
      <c r="O425" s="136"/>
      <c r="P425" s="136"/>
      <c r="Q425" s="136"/>
      <c r="R425" s="136"/>
      <c r="S425" s="136"/>
      <c r="T425" s="136"/>
      <c r="U425" s="136"/>
    </row>
    <row r="426" spans="13:21" x14ac:dyDescent="0.35">
      <c r="M426" s="135"/>
      <c r="N426" s="136"/>
      <c r="O426" s="136"/>
      <c r="P426" s="136"/>
      <c r="Q426" s="136"/>
      <c r="R426" s="136"/>
      <c r="S426" s="136"/>
      <c r="T426" s="136"/>
      <c r="U426" s="136"/>
    </row>
    <row r="427" spans="13:21" x14ac:dyDescent="0.35">
      <c r="M427" s="135"/>
      <c r="N427" s="136"/>
      <c r="O427" s="136"/>
      <c r="P427" s="136"/>
      <c r="Q427" s="136"/>
      <c r="R427" s="136"/>
      <c r="S427" s="136"/>
      <c r="T427" s="136"/>
      <c r="U427" s="136"/>
    </row>
    <row r="428" spans="13:21" x14ac:dyDescent="0.35">
      <c r="M428" s="135"/>
      <c r="N428" s="136"/>
      <c r="O428" s="136"/>
      <c r="P428" s="136"/>
      <c r="Q428" s="136"/>
      <c r="R428" s="136"/>
      <c r="S428" s="136"/>
      <c r="T428" s="136"/>
      <c r="U428" s="136"/>
    </row>
    <row r="429" spans="13:21" x14ac:dyDescent="0.35">
      <c r="M429" s="135"/>
      <c r="N429" s="136"/>
      <c r="O429" s="136"/>
      <c r="P429" s="136"/>
      <c r="Q429" s="136"/>
      <c r="R429" s="136"/>
      <c r="S429" s="136"/>
      <c r="T429" s="136"/>
      <c r="U429" s="136"/>
    </row>
    <row r="430" spans="13:21" x14ac:dyDescent="0.35">
      <c r="M430" s="135"/>
      <c r="N430" s="136"/>
      <c r="O430" s="136"/>
      <c r="P430" s="136"/>
      <c r="Q430" s="136"/>
      <c r="R430" s="136"/>
      <c r="S430" s="136"/>
      <c r="T430" s="136"/>
      <c r="U430" s="136"/>
    </row>
    <row r="431" spans="13:21" x14ac:dyDescent="0.35">
      <c r="M431" s="135"/>
      <c r="N431" s="136"/>
      <c r="O431" s="136"/>
      <c r="P431" s="136"/>
      <c r="Q431" s="136"/>
      <c r="R431" s="136"/>
      <c r="S431" s="136"/>
      <c r="T431" s="136"/>
      <c r="U431" s="136"/>
    </row>
    <row r="432" spans="13:21" x14ac:dyDescent="0.35">
      <c r="M432" s="135"/>
      <c r="N432" s="136"/>
      <c r="O432" s="136"/>
      <c r="P432" s="136"/>
      <c r="Q432" s="136"/>
      <c r="R432" s="136"/>
      <c r="S432" s="136"/>
      <c r="T432" s="136"/>
      <c r="U432" s="136"/>
    </row>
    <row r="433" spans="13:21" x14ac:dyDescent="0.35">
      <c r="M433" s="135"/>
      <c r="N433" s="136"/>
      <c r="O433" s="136"/>
      <c r="P433" s="136"/>
      <c r="Q433" s="136"/>
      <c r="R433" s="136"/>
      <c r="S433" s="136"/>
      <c r="T433" s="136"/>
      <c r="U433" s="136"/>
    </row>
    <row r="434" spans="13:21" x14ac:dyDescent="0.35">
      <c r="M434" s="135"/>
      <c r="N434" s="136"/>
      <c r="O434" s="136"/>
      <c r="P434" s="136"/>
      <c r="Q434" s="136"/>
      <c r="R434" s="136"/>
      <c r="S434" s="136"/>
      <c r="T434" s="136"/>
      <c r="U434" s="136"/>
    </row>
    <row r="435" spans="13:21" x14ac:dyDescent="0.35">
      <c r="M435" s="135"/>
      <c r="N435" s="136"/>
      <c r="O435" s="136"/>
      <c r="P435" s="136"/>
      <c r="Q435" s="136"/>
      <c r="R435" s="136"/>
      <c r="S435" s="136"/>
      <c r="T435" s="136"/>
      <c r="U435" s="136"/>
    </row>
    <row r="436" spans="13:21" x14ac:dyDescent="0.35">
      <c r="M436" s="135"/>
      <c r="N436" s="136"/>
      <c r="O436" s="136"/>
      <c r="P436" s="136"/>
      <c r="Q436" s="136"/>
      <c r="R436" s="136"/>
      <c r="S436" s="136"/>
      <c r="T436" s="136"/>
      <c r="U436" s="136"/>
    </row>
    <row r="437" spans="13:21" x14ac:dyDescent="0.35">
      <c r="M437" s="135"/>
      <c r="N437" s="136"/>
      <c r="O437" s="136"/>
      <c r="P437" s="136"/>
      <c r="Q437" s="136"/>
      <c r="R437" s="136"/>
      <c r="S437" s="136"/>
      <c r="T437" s="136"/>
      <c r="U437" s="136"/>
    </row>
    <row r="438" spans="13:21" x14ac:dyDescent="0.35">
      <c r="M438" s="135"/>
      <c r="N438" s="136"/>
      <c r="O438" s="136"/>
      <c r="P438" s="136"/>
      <c r="Q438" s="136"/>
      <c r="R438" s="136"/>
      <c r="S438" s="136"/>
      <c r="T438" s="136"/>
      <c r="U438" s="136"/>
    </row>
    <row r="439" spans="13:21" x14ac:dyDescent="0.35">
      <c r="M439" s="135"/>
      <c r="N439" s="136"/>
      <c r="O439" s="136"/>
      <c r="P439" s="136"/>
      <c r="Q439" s="136"/>
      <c r="R439" s="136"/>
      <c r="S439" s="136"/>
      <c r="T439" s="136"/>
      <c r="U439" s="136"/>
    </row>
    <row r="440" spans="13:21" x14ac:dyDescent="0.35">
      <c r="M440" s="135"/>
      <c r="N440" s="136"/>
      <c r="O440" s="136"/>
      <c r="P440" s="136"/>
      <c r="Q440" s="136"/>
      <c r="R440" s="136"/>
      <c r="S440" s="136"/>
      <c r="T440" s="136"/>
      <c r="U440" s="136"/>
    </row>
    <row r="441" spans="13:21" x14ac:dyDescent="0.35">
      <c r="M441" s="135"/>
      <c r="N441" s="136"/>
      <c r="O441" s="136"/>
      <c r="P441" s="136"/>
      <c r="Q441" s="136"/>
      <c r="R441" s="136"/>
      <c r="S441" s="136"/>
      <c r="T441" s="136"/>
      <c r="U441" s="136"/>
    </row>
    <row r="442" spans="13:21" x14ac:dyDescent="0.35">
      <c r="M442" s="135"/>
      <c r="N442" s="136"/>
      <c r="O442" s="136"/>
      <c r="P442" s="136"/>
      <c r="Q442" s="136"/>
      <c r="R442" s="136"/>
      <c r="S442" s="136"/>
      <c r="T442" s="136"/>
      <c r="U442" s="136"/>
    </row>
    <row r="443" spans="13:21" x14ac:dyDescent="0.35">
      <c r="M443" s="135"/>
      <c r="N443" s="136"/>
      <c r="O443" s="136"/>
      <c r="P443" s="136"/>
      <c r="Q443" s="136"/>
      <c r="R443" s="136"/>
      <c r="S443" s="136"/>
      <c r="T443" s="136"/>
      <c r="U443" s="136"/>
    </row>
    <row r="444" spans="13:21" x14ac:dyDescent="0.35">
      <c r="M444" s="135"/>
      <c r="N444" s="136"/>
      <c r="O444" s="136"/>
      <c r="P444" s="136"/>
      <c r="Q444" s="136"/>
      <c r="R444" s="136"/>
      <c r="S444" s="136"/>
      <c r="T444" s="136"/>
      <c r="U444" s="136"/>
    </row>
    <row r="445" spans="13:21" x14ac:dyDescent="0.35">
      <c r="M445" s="135"/>
      <c r="N445" s="136"/>
      <c r="O445" s="136"/>
      <c r="P445" s="136"/>
      <c r="Q445" s="136"/>
      <c r="R445" s="136"/>
      <c r="S445" s="136"/>
      <c r="T445" s="136"/>
      <c r="U445" s="136"/>
    </row>
    <row r="446" spans="13:21" x14ac:dyDescent="0.35">
      <c r="M446" s="135"/>
      <c r="N446" s="136"/>
      <c r="O446" s="136"/>
      <c r="P446" s="136"/>
      <c r="Q446" s="136"/>
      <c r="R446" s="136"/>
      <c r="S446" s="136"/>
      <c r="T446" s="136"/>
      <c r="U446" s="136"/>
    </row>
    <row r="447" spans="13:21" x14ac:dyDescent="0.35">
      <c r="M447" s="135"/>
      <c r="N447" s="136"/>
      <c r="O447" s="136"/>
      <c r="P447" s="136"/>
      <c r="Q447" s="136"/>
      <c r="R447" s="136"/>
      <c r="S447" s="136"/>
      <c r="T447" s="136"/>
      <c r="U447" s="136"/>
    </row>
    <row r="448" spans="13:21" x14ac:dyDescent="0.35">
      <c r="M448" s="135"/>
      <c r="N448" s="136"/>
      <c r="O448" s="136"/>
      <c r="P448" s="136"/>
      <c r="Q448" s="136"/>
      <c r="R448" s="136"/>
      <c r="S448" s="136"/>
      <c r="T448" s="136"/>
      <c r="U448" s="136"/>
    </row>
    <row r="449" spans="13:21" x14ac:dyDescent="0.35">
      <c r="M449" s="135"/>
      <c r="N449" s="136"/>
      <c r="O449" s="136"/>
      <c r="P449" s="136"/>
      <c r="Q449" s="136"/>
      <c r="R449" s="136"/>
      <c r="S449" s="136"/>
      <c r="T449" s="136"/>
      <c r="U449" s="136"/>
    </row>
    <row r="450" spans="13:21" x14ac:dyDescent="0.35">
      <c r="M450" s="135"/>
      <c r="N450" s="136"/>
      <c r="O450" s="136"/>
      <c r="P450" s="136"/>
      <c r="Q450" s="136"/>
      <c r="R450" s="136"/>
      <c r="S450" s="136"/>
      <c r="T450" s="136"/>
      <c r="U450" s="136"/>
    </row>
    <row r="451" spans="13:21" x14ac:dyDescent="0.35">
      <c r="M451" s="135"/>
      <c r="N451" s="136"/>
      <c r="O451" s="136"/>
      <c r="P451" s="136"/>
      <c r="Q451" s="136"/>
      <c r="R451" s="136"/>
      <c r="S451" s="136"/>
      <c r="T451" s="136"/>
      <c r="U451" s="136"/>
    </row>
    <row r="452" spans="13:21" x14ac:dyDescent="0.35">
      <c r="M452" s="135"/>
      <c r="N452" s="136"/>
      <c r="O452" s="136"/>
      <c r="P452" s="136"/>
      <c r="Q452" s="136"/>
      <c r="R452" s="136"/>
      <c r="S452" s="136"/>
      <c r="T452" s="136"/>
      <c r="U452" s="136"/>
    </row>
    <row r="453" spans="13:21" x14ac:dyDescent="0.35">
      <c r="M453" s="135"/>
      <c r="N453" s="136"/>
      <c r="O453" s="136"/>
      <c r="P453" s="136"/>
      <c r="Q453" s="136"/>
      <c r="R453" s="136"/>
      <c r="S453" s="136"/>
      <c r="T453" s="136"/>
      <c r="U453" s="136"/>
    </row>
    <row r="454" spans="13:21" x14ac:dyDescent="0.35">
      <c r="M454" s="135"/>
      <c r="N454" s="136"/>
      <c r="O454" s="136"/>
      <c r="P454" s="136"/>
      <c r="Q454" s="136"/>
      <c r="R454" s="136"/>
      <c r="S454" s="136"/>
      <c r="T454" s="136"/>
      <c r="U454" s="136"/>
    </row>
    <row r="455" spans="13:21" x14ac:dyDescent="0.35">
      <c r="M455" s="135"/>
      <c r="N455" s="136"/>
      <c r="O455" s="136"/>
      <c r="P455" s="136"/>
      <c r="Q455" s="136"/>
      <c r="R455" s="136"/>
      <c r="S455" s="136"/>
      <c r="T455" s="136"/>
      <c r="U455" s="136"/>
    </row>
    <row r="456" spans="13:21" x14ac:dyDescent="0.35">
      <c r="M456" s="135"/>
      <c r="N456" s="136"/>
      <c r="O456" s="136"/>
      <c r="P456" s="136"/>
      <c r="Q456" s="136"/>
      <c r="R456" s="136"/>
      <c r="S456" s="136"/>
      <c r="T456" s="136"/>
      <c r="U456" s="136"/>
    </row>
    <row r="457" spans="13:21" x14ac:dyDescent="0.35">
      <c r="M457" s="135"/>
      <c r="N457" s="136"/>
      <c r="O457" s="136"/>
      <c r="P457" s="136"/>
      <c r="Q457" s="136"/>
      <c r="R457" s="136"/>
      <c r="S457" s="136"/>
      <c r="T457" s="136"/>
      <c r="U457" s="136"/>
    </row>
    <row r="458" spans="13:21" x14ac:dyDescent="0.35">
      <c r="M458" s="135"/>
      <c r="N458" s="136"/>
      <c r="O458" s="136"/>
      <c r="P458" s="136"/>
      <c r="Q458" s="136"/>
      <c r="R458" s="136"/>
      <c r="S458" s="136"/>
      <c r="T458" s="136"/>
      <c r="U458" s="136"/>
    </row>
    <row r="459" spans="13:21" x14ac:dyDescent="0.35">
      <c r="M459" s="135"/>
      <c r="N459" s="136"/>
      <c r="O459" s="136"/>
      <c r="P459" s="136"/>
      <c r="Q459" s="136"/>
      <c r="R459" s="136"/>
      <c r="S459" s="136"/>
      <c r="T459" s="136"/>
      <c r="U459" s="136"/>
    </row>
    <row r="460" spans="13:21" x14ac:dyDescent="0.35">
      <c r="M460" s="135"/>
      <c r="N460" s="136"/>
      <c r="O460" s="136"/>
      <c r="P460" s="136"/>
      <c r="Q460" s="136"/>
      <c r="R460" s="136"/>
      <c r="S460" s="136"/>
      <c r="T460" s="136"/>
      <c r="U460" s="136"/>
    </row>
    <row r="461" spans="13:21" x14ac:dyDescent="0.35">
      <c r="M461" s="135"/>
      <c r="N461" s="136"/>
      <c r="O461" s="136"/>
      <c r="P461" s="136"/>
      <c r="Q461" s="136"/>
      <c r="R461" s="136"/>
      <c r="S461" s="136"/>
      <c r="T461" s="136"/>
      <c r="U461" s="136"/>
    </row>
    <row r="462" spans="13:21" x14ac:dyDescent="0.35">
      <c r="M462" s="135"/>
      <c r="N462" s="136"/>
      <c r="O462" s="136"/>
      <c r="P462" s="136"/>
      <c r="Q462" s="136"/>
      <c r="R462" s="136"/>
      <c r="S462" s="136"/>
      <c r="T462" s="136"/>
      <c r="U462" s="136"/>
    </row>
    <row r="463" spans="13:21" x14ac:dyDescent="0.35">
      <c r="M463" s="135"/>
      <c r="N463" s="136"/>
      <c r="O463" s="136"/>
      <c r="P463" s="136"/>
      <c r="Q463" s="136"/>
      <c r="R463" s="136"/>
      <c r="S463" s="136"/>
      <c r="T463" s="136"/>
      <c r="U463" s="136"/>
    </row>
    <row r="464" spans="13:21" x14ac:dyDescent="0.35">
      <c r="M464" s="135"/>
      <c r="N464" s="136"/>
      <c r="O464" s="136"/>
      <c r="P464" s="136"/>
      <c r="Q464" s="136"/>
      <c r="R464" s="136"/>
      <c r="S464" s="136"/>
      <c r="T464" s="136"/>
      <c r="U464" s="136"/>
    </row>
    <row r="465" spans="13:21" x14ac:dyDescent="0.35">
      <c r="M465" s="135"/>
      <c r="N465" s="136"/>
      <c r="O465" s="136"/>
      <c r="P465" s="136"/>
      <c r="Q465" s="136"/>
      <c r="R465" s="136"/>
      <c r="S465" s="136"/>
      <c r="T465" s="136"/>
      <c r="U465" s="136"/>
    </row>
    <row r="466" spans="13:21" x14ac:dyDescent="0.35">
      <c r="M466" s="135"/>
      <c r="N466" s="136"/>
      <c r="O466" s="136"/>
      <c r="P466" s="136"/>
      <c r="Q466" s="136"/>
      <c r="R466" s="136"/>
      <c r="S466" s="136"/>
      <c r="T466" s="136"/>
      <c r="U466" s="136"/>
    </row>
    <row r="467" spans="13:21" x14ac:dyDescent="0.35">
      <c r="M467" s="135"/>
      <c r="N467" s="136"/>
      <c r="O467" s="136"/>
      <c r="P467" s="136"/>
      <c r="Q467" s="136"/>
      <c r="R467" s="136"/>
      <c r="S467" s="136"/>
      <c r="T467" s="136"/>
      <c r="U467" s="136"/>
    </row>
    <row r="468" spans="13:21" x14ac:dyDescent="0.35">
      <c r="M468" s="135"/>
      <c r="N468" s="136"/>
      <c r="O468" s="136"/>
      <c r="P468" s="136"/>
      <c r="Q468" s="136"/>
      <c r="R468" s="136"/>
      <c r="S468" s="136"/>
      <c r="T468" s="136"/>
      <c r="U468" s="136"/>
    </row>
    <row r="469" spans="13:21" x14ac:dyDescent="0.35">
      <c r="M469" s="135"/>
      <c r="N469" s="136"/>
      <c r="O469" s="136"/>
      <c r="P469" s="136"/>
      <c r="Q469" s="136"/>
      <c r="R469" s="136"/>
      <c r="S469" s="136"/>
      <c r="T469" s="136"/>
      <c r="U469" s="136"/>
    </row>
    <row r="470" spans="13:21" x14ac:dyDescent="0.35">
      <c r="M470" s="135"/>
      <c r="N470" s="136"/>
      <c r="O470" s="136"/>
      <c r="P470" s="136"/>
      <c r="Q470" s="136"/>
      <c r="R470" s="136"/>
      <c r="S470" s="136"/>
      <c r="T470" s="136"/>
      <c r="U470" s="136"/>
    </row>
    <row r="471" spans="13:21" x14ac:dyDescent="0.35">
      <c r="M471" s="135"/>
      <c r="N471" s="136"/>
      <c r="O471" s="136"/>
      <c r="P471" s="136"/>
      <c r="Q471" s="136"/>
      <c r="R471" s="136"/>
      <c r="S471" s="136"/>
      <c r="T471" s="136"/>
      <c r="U471" s="136"/>
    </row>
    <row r="472" spans="13:21" x14ac:dyDescent="0.35">
      <c r="M472" s="135"/>
      <c r="N472" s="136"/>
      <c r="O472" s="136"/>
      <c r="P472" s="136"/>
      <c r="Q472" s="136"/>
      <c r="R472" s="136"/>
      <c r="S472" s="136"/>
      <c r="T472" s="136"/>
      <c r="U472" s="136"/>
    </row>
    <row r="473" spans="13:21" x14ac:dyDescent="0.35">
      <c r="M473" s="135"/>
      <c r="N473" s="136"/>
      <c r="O473" s="136"/>
      <c r="P473" s="136"/>
      <c r="Q473" s="136"/>
      <c r="R473" s="136"/>
      <c r="S473" s="136"/>
      <c r="T473" s="136"/>
      <c r="U473" s="136"/>
    </row>
    <row r="474" spans="13:21" x14ac:dyDescent="0.35">
      <c r="M474" s="135"/>
      <c r="N474" s="136"/>
      <c r="O474" s="136"/>
      <c r="P474" s="136"/>
      <c r="Q474" s="136"/>
      <c r="R474" s="136"/>
      <c r="S474" s="136"/>
      <c r="T474" s="136"/>
      <c r="U474" s="136"/>
    </row>
    <row r="475" spans="13:21" x14ac:dyDescent="0.35">
      <c r="M475" s="135"/>
      <c r="N475" s="136"/>
      <c r="O475" s="136"/>
      <c r="P475" s="136"/>
      <c r="Q475" s="136"/>
      <c r="R475" s="136"/>
      <c r="S475" s="136"/>
      <c r="T475" s="136"/>
      <c r="U475" s="136"/>
    </row>
    <row r="476" spans="13:21" x14ac:dyDescent="0.35">
      <c r="M476" s="135"/>
      <c r="N476" s="136"/>
      <c r="O476" s="136"/>
      <c r="P476" s="136"/>
      <c r="Q476" s="136"/>
      <c r="R476" s="136"/>
      <c r="S476" s="136"/>
      <c r="T476" s="136"/>
      <c r="U476" s="136"/>
    </row>
    <row r="477" spans="13:21" x14ac:dyDescent="0.35">
      <c r="M477" s="135"/>
      <c r="N477" s="136"/>
      <c r="O477" s="136"/>
      <c r="P477" s="136"/>
      <c r="Q477" s="136"/>
      <c r="R477" s="136"/>
      <c r="S477" s="136"/>
      <c r="T477" s="136"/>
      <c r="U477" s="136"/>
    </row>
    <row r="478" spans="13:21" x14ac:dyDescent="0.35">
      <c r="M478" s="135"/>
      <c r="N478" s="136"/>
      <c r="O478" s="136"/>
      <c r="P478" s="136"/>
      <c r="Q478" s="136"/>
      <c r="R478" s="136"/>
      <c r="S478" s="136"/>
      <c r="T478" s="136"/>
      <c r="U478" s="136"/>
    </row>
    <row r="479" spans="13:21" x14ac:dyDescent="0.35">
      <c r="M479" s="135"/>
      <c r="N479" s="136"/>
      <c r="O479" s="136"/>
      <c r="P479" s="136"/>
      <c r="Q479" s="136"/>
      <c r="R479" s="136"/>
      <c r="S479" s="136"/>
      <c r="T479" s="136"/>
      <c r="U479" s="136"/>
    </row>
    <row r="480" spans="13:21" x14ac:dyDescent="0.35">
      <c r="M480" s="135"/>
      <c r="N480" s="136"/>
      <c r="O480" s="136"/>
      <c r="P480" s="136"/>
      <c r="Q480" s="136"/>
      <c r="R480" s="136"/>
      <c r="S480" s="136"/>
      <c r="T480" s="136"/>
      <c r="U480" s="136"/>
    </row>
    <row r="481" spans="13:21" x14ac:dyDescent="0.35">
      <c r="M481" s="135"/>
      <c r="N481" s="136"/>
      <c r="O481" s="136"/>
      <c r="P481" s="136"/>
      <c r="Q481" s="136"/>
      <c r="R481" s="136"/>
      <c r="S481" s="136"/>
      <c r="T481" s="136"/>
      <c r="U481" s="136"/>
    </row>
    <row r="482" spans="13:21" x14ac:dyDescent="0.35">
      <c r="M482" s="135"/>
      <c r="N482" s="136"/>
      <c r="O482" s="136"/>
      <c r="P482" s="136"/>
      <c r="Q482" s="136"/>
      <c r="R482" s="136"/>
      <c r="S482" s="136"/>
      <c r="T482" s="136"/>
      <c r="U482" s="136"/>
    </row>
    <row r="483" spans="13:21" x14ac:dyDescent="0.35">
      <c r="M483" s="135"/>
      <c r="N483" s="136"/>
      <c r="O483" s="136"/>
      <c r="P483" s="136"/>
      <c r="Q483" s="136"/>
      <c r="R483" s="136"/>
      <c r="S483" s="136"/>
      <c r="T483" s="136"/>
      <c r="U483" s="136"/>
    </row>
    <row r="484" spans="13:21" x14ac:dyDescent="0.35">
      <c r="M484" s="135"/>
      <c r="N484" s="136"/>
      <c r="O484" s="136"/>
      <c r="P484" s="136"/>
      <c r="Q484" s="136"/>
      <c r="R484" s="136"/>
      <c r="S484" s="136"/>
      <c r="T484" s="136"/>
      <c r="U484" s="136"/>
    </row>
    <row r="485" spans="13:21" x14ac:dyDescent="0.35">
      <c r="M485" s="135"/>
      <c r="N485" s="136"/>
      <c r="O485" s="136"/>
      <c r="P485" s="136"/>
      <c r="Q485" s="136"/>
      <c r="R485" s="136"/>
      <c r="S485" s="136"/>
      <c r="T485" s="136"/>
      <c r="U485" s="136"/>
    </row>
    <row r="486" spans="13:21" x14ac:dyDescent="0.35">
      <c r="M486" s="135"/>
      <c r="N486" s="136"/>
      <c r="O486" s="136"/>
      <c r="P486" s="136"/>
      <c r="Q486" s="136"/>
      <c r="R486" s="136"/>
      <c r="S486" s="136"/>
      <c r="T486" s="136"/>
      <c r="U486" s="136"/>
    </row>
    <row r="487" spans="13:21" x14ac:dyDescent="0.35">
      <c r="M487" s="135"/>
      <c r="N487" s="136"/>
      <c r="O487" s="136"/>
      <c r="P487" s="136"/>
      <c r="Q487" s="136"/>
      <c r="R487" s="136"/>
      <c r="S487" s="136"/>
      <c r="T487" s="136"/>
      <c r="U487" s="136"/>
    </row>
    <row r="488" spans="13:21" x14ac:dyDescent="0.35">
      <c r="M488" s="135"/>
      <c r="N488" s="136"/>
      <c r="O488" s="136"/>
      <c r="P488" s="136"/>
      <c r="Q488" s="136"/>
      <c r="R488" s="136"/>
      <c r="S488" s="136"/>
      <c r="T488" s="136"/>
      <c r="U488" s="136"/>
    </row>
    <row r="489" spans="13:21" x14ac:dyDescent="0.35">
      <c r="M489" s="135"/>
      <c r="N489" s="136"/>
      <c r="O489" s="136"/>
      <c r="P489" s="136"/>
      <c r="Q489" s="136"/>
      <c r="R489" s="136"/>
      <c r="S489" s="136"/>
      <c r="T489" s="136"/>
      <c r="U489" s="136"/>
    </row>
    <row r="490" spans="13:21" x14ac:dyDescent="0.35">
      <c r="M490" s="135"/>
      <c r="N490" s="136"/>
      <c r="O490" s="136"/>
      <c r="P490" s="136"/>
      <c r="Q490" s="136"/>
      <c r="R490" s="136"/>
      <c r="S490" s="136"/>
      <c r="T490" s="136"/>
      <c r="U490" s="136"/>
    </row>
    <row r="491" spans="13:21" x14ac:dyDescent="0.35">
      <c r="M491" s="135"/>
      <c r="N491" s="136"/>
      <c r="O491" s="136"/>
      <c r="P491" s="136"/>
      <c r="Q491" s="136"/>
      <c r="R491" s="136"/>
      <c r="S491" s="136"/>
      <c r="T491" s="136"/>
      <c r="U491" s="136"/>
    </row>
    <row r="492" spans="13:21" x14ac:dyDescent="0.35">
      <c r="M492" s="135"/>
      <c r="N492" s="136"/>
      <c r="O492" s="136"/>
      <c r="P492" s="136"/>
      <c r="Q492" s="136"/>
      <c r="R492" s="136"/>
      <c r="S492" s="136"/>
      <c r="T492" s="136"/>
      <c r="U492" s="136"/>
    </row>
    <row r="493" spans="13:21" x14ac:dyDescent="0.35">
      <c r="M493" s="135"/>
      <c r="N493" s="136"/>
      <c r="O493" s="136"/>
      <c r="P493" s="136"/>
      <c r="Q493" s="136"/>
      <c r="R493" s="136"/>
      <c r="S493" s="136"/>
      <c r="T493" s="136"/>
      <c r="U493" s="136"/>
    </row>
    <row r="494" spans="13:21" x14ac:dyDescent="0.35">
      <c r="M494" s="135"/>
      <c r="N494" s="136"/>
      <c r="O494" s="136"/>
      <c r="P494" s="136"/>
      <c r="Q494" s="136"/>
      <c r="R494" s="136"/>
      <c r="S494" s="136"/>
      <c r="T494" s="136"/>
      <c r="U494" s="136"/>
    </row>
    <row r="495" spans="13:21" x14ac:dyDescent="0.35">
      <c r="M495" s="135"/>
      <c r="N495" s="136"/>
      <c r="O495" s="136"/>
      <c r="P495" s="136"/>
      <c r="Q495" s="136"/>
      <c r="R495" s="136"/>
      <c r="S495" s="136"/>
      <c r="T495" s="136"/>
      <c r="U495" s="136"/>
    </row>
    <row r="496" spans="13:21" x14ac:dyDescent="0.35">
      <c r="M496" s="135"/>
      <c r="N496" s="136"/>
      <c r="O496" s="136"/>
      <c r="P496" s="136"/>
      <c r="Q496" s="136"/>
      <c r="R496" s="136"/>
      <c r="S496" s="136"/>
      <c r="T496" s="136"/>
      <c r="U496" s="136"/>
    </row>
    <row r="497" spans="13:21" x14ac:dyDescent="0.35">
      <c r="M497" s="135"/>
      <c r="N497" s="136"/>
      <c r="O497" s="136"/>
      <c r="P497" s="136"/>
      <c r="Q497" s="136"/>
      <c r="R497" s="136"/>
      <c r="S497" s="136"/>
      <c r="T497" s="136"/>
      <c r="U497" s="136"/>
    </row>
    <row r="498" spans="13:21" x14ac:dyDescent="0.35">
      <c r="M498" s="135"/>
      <c r="N498" s="136"/>
      <c r="O498" s="136"/>
      <c r="P498" s="136"/>
      <c r="Q498" s="136"/>
      <c r="R498" s="136"/>
      <c r="S498" s="136"/>
      <c r="T498" s="136"/>
      <c r="U498" s="136"/>
    </row>
    <row r="499" spans="13:21" x14ac:dyDescent="0.35">
      <c r="M499" s="135"/>
      <c r="N499" s="136"/>
      <c r="O499" s="136"/>
      <c r="P499" s="136"/>
      <c r="Q499" s="136"/>
      <c r="R499" s="136"/>
      <c r="S499" s="136"/>
      <c r="T499" s="136"/>
      <c r="U499" s="136"/>
    </row>
    <row r="500" spans="13:21" x14ac:dyDescent="0.35">
      <c r="M500" s="135"/>
      <c r="N500" s="136"/>
      <c r="O500" s="136"/>
      <c r="P500" s="136"/>
      <c r="Q500" s="136"/>
      <c r="R500" s="136"/>
      <c r="S500" s="136"/>
      <c r="T500" s="136"/>
      <c r="U500" s="136"/>
    </row>
    <row r="501" spans="13:21" x14ac:dyDescent="0.35">
      <c r="M501" s="135"/>
      <c r="N501" s="136"/>
      <c r="O501" s="136"/>
      <c r="P501" s="136"/>
      <c r="Q501" s="136"/>
      <c r="R501" s="136"/>
      <c r="S501" s="136"/>
      <c r="T501" s="136"/>
      <c r="U501" s="136"/>
    </row>
    <row r="502" spans="13:21" x14ac:dyDescent="0.35">
      <c r="M502" s="135"/>
      <c r="N502" s="136"/>
      <c r="O502" s="136"/>
      <c r="P502" s="136"/>
      <c r="Q502" s="136"/>
      <c r="R502" s="136"/>
      <c r="S502" s="136"/>
      <c r="T502" s="136"/>
      <c r="U502" s="136"/>
    </row>
    <row r="503" spans="13:21" x14ac:dyDescent="0.35">
      <c r="M503" s="135"/>
      <c r="N503" s="136"/>
      <c r="O503" s="136"/>
      <c r="P503" s="136"/>
      <c r="Q503" s="136"/>
      <c r="R503" s="136"/>
      <c r="S503" s="136"/>
      <c r="T503" s="136"/>
      <c r="U503" s="136"/>
    </row>
    <row r="504" spans="13:21" x14ac:dyDescent="0.35">
      <c r="M504" s="135"/>
      <c r="N504" s="136"/>
      <c r="O504" s="136"/>
      <c r="P504" s="136"/>
      <c r="Q504" s="136"/>
      <c r="R504" s="136"/>
      <c r="S504" s="136"/>
      <c r="T504" s="136"/>
      <c r="U504" s="136"/>
    </row>
    <row r="505" spans="13:21" x14ac:dyDescent="0.35">
      <c r="M505" s="135"/>
      <c r="N505" s="136"/>
      <c r="O505" s="136"/>
      <c r="P505" s="136"/>
      <c r="Q505" s="136"/>
      <c r="R505" s="136"/>
      <c r="S505" s="136"/>
      <c r="T505" s="136"/>
      <c r="U505" s="136"/>
    </row>
    <row r="506" spans="13:21" x14ac:dyDescent="0.35">
      <c r="M506" s="135"/>
      <c r="N506" s="136"/>
      <c r="O506" s="136"/>
      <c r="P506" s="136"/>
      <c r="Q506" s="136"/>
      <c r="R506" s="136"/>
      <c r="S506" s="136"/>
      <c r="T506" s="136"/>
      <c r="U506" s="136"/>
    </row>
    <row r="507" spans="13:21" x14ac:dyDescent="0.35">
      <c r="M507" s="135"/>
      <c r="N507" s="136"/>
      <c r="O507" s="136"/>
      <c r="P507" s="136"/>
      <c r="Q507" s="136"/>
      <c r="R507" s="136"/>
      <c r="S507" s="136"/>
      <c r="T507" s="136"/>
      <c r="U507" s="136"/>
    </row>
    <row r="508" spans="13:21" x14ac:dyDescent="0.35">
      <c r="M508" s="135"/>
      <c r="N508" s="136"/>
      <c r="O508" s="136"/>
      <c r="P508" s="136"/>
      <c r="Q508" s="136"/>
      <c r="R508" s="136"/>
      <c r="S508" s="136"/>
      <c r="T508" s="136"/>
      <c r="U508" s="136"/>
    </row>
    <row r="509" spans="13:21" x14ac:dyDescent="0.35">
      <c r="M509" s="135"/>
      <c r="N509" s="136"/>
      <c r="O509" s="136"/>
      <c r="P509" s="136"/>
      <c r="Q509" s="136"/>
      <c r="R509" s="136"/>
      <c r="S509" s="136"/>
      <c r="T509" s="136"/>
      <c r="U509" s="136"/>
    </row>
    <row r="510" spans="13:21" x14ac:dyDescent="0.35">
      <c r="M510" s="135"/>
      <c r="N510" s="136"/>
      <c r="O510" s="136"/>
      <c r="P510" s="136"/>
      <c r="Q510" s="136"/>
      <c r="R510" s="136"/>
      <c r="S510" s="136"/>
      <c r="T510" s="136"/>
      <c r="U510" s="136"/>
    </row>
    <row r="511" spans="13:21" x14ac:dyDescent="0.35">
      <c r="M511" s="135"/>
      <c r="N511" s="136"/>
      <c r="O511" s="136"/>
      <c r="P511" s="136"/>
      <c r="Q511" s="136"/>
      <c r="R511" s="136"/>
      <c r="S511" s="136"/>
      <c r="T511" s="136"/>
      <c r="U511" s="136"/>
    </row>
    <row r="512" spans="13:21" x14ac:dyDescent="0.35">
      <c r="M512" s="135"/>
      <c r="N512" s="136"/>
      <c r="O512" s="136"/>
      <c r="P512" s="136"/>
      <c r="Q512" s="136"/>
      <c r="R512" s="136"/>
      <c r="S512" s="136"/>
      <c r="T512" s="136"/>
      <c r="U512" s="136"/>
    </row>
    <row r="513" spans="13:21" x14ac:dyDescent="0.35">
      <c r="M513" s="135"/>
      <c r="N513" s="136"/>
      <c r="O513" s="136"/>
      <c r="P513" s="136"/>
      <c r="Q513" s="136"/>
      <c r="R513" s="136"/>
      <c r="S513" s="136"/>
      <c r="T513" s="136"/>
      <c r="U513" s="136"/>
    </row>
    <row r="514" spans="13:21" x14ac:dyDescent="0.35">
      <c r="M514" s="135"/>
      <c r="N514" s="136"/>
      <c r="O514" s="136"/>
      <c r="P514" s="136"/>
      <c r="Q514" s="136"/>
      <c r="R514" s="136"/>
      <c r="S514" s="136"/>
      <c r="T514" s="136"/>
      <c r="U514" s="136"/>
    </row>
    <row r="515" spans="13:21" x14ac:dyDescent="0.35">
      <c r="M515" s="135"/>
      <c r="N515" s="136"/>
      <c r="O515" s="136"/>
      <c r="P515" s="136"/>
      <c r="Q515" s="136"/>
      <c r="R515" s="136"/>
      <c r="S515" s="136"/>
      <c r="T515" s="136"/>
      <c r="U515" s="136"/>
    </row>
    <row r="516" spans="13:21" x14ac:dyDescent="0.35">
      <c r="M516" s="135"/>
      <c r="N516" s="136"/>
      <c r="O516" s="136"/>
      <c r="P516" s="136"/>
      <c r="Q516" s="136"/>
      <c r="R516" s="136"/>
      <c r="S516" s="136"/>
      <c r="T516" s="136"/>
      <c r="U516" s="136"/>
    </row>
    <row r="517" spans="13:21" x14ac:dyDescent="0.35">
      <c r="M517" s="135"/>
      <c r="N517" s="136"/>
      <c r="O517" s="136"/>
      <c r="P517" s="136"/>
      <c r="Q517" s="136"/>
      <c r="R517" s="136"/>
      <c r="S517" s="136"/>
      <c r="T517" s="136"/>
      <c r="U517" s="136"/>
    </row>
    <row r="518" spans="13:21" x14ac:dyDescent="0.35">
      <c r="M518" s="135"/>
      <c r="N518" s="136"/>
      <c r="O518" s="136"/>
      <c r="P518" s="136"/>
      <c r="Q518" s="136"/>
      <c r="R518" s="136"/>
      <c r="S518" s="136"/>
      <c r="T518" s="136"/>
      <c r="U518" s="136"/>
    </row>
    <row r="519" spans="13:21" x14ac:dyDescent="0.35">
      <c r="M519" s="135"/>
      <c r="N519" s="136"/>
      <c r="O519" s="136"/>
      <c r="P519" s="136"/>
      <c r="Q519" s="136"/>
      <c r="R519" s="136"/>
      <c r="S519" s="136"/>
      <c r="T519" s="136"/>
      <c r="U519" s="136"/>
    </row>
    <row r="520" spans="13:21" x14ac:dyDescent="0.35">
      <c r="M520" s="135"/>
      <c r="N520" s="136"/>
      <c r="O520" s="136"/>
      <c r="P520" s="136"/>
      <c r="Q520" s="136"/>
      <c r="R520" s="136"/>
      <c r="S520" s="136"/>
      <c r="T520" s="136"/>
      <c r="U520" s="136"/>
    </row>
    <row r="521" spans="13:21" x14ac:dyDescent="0.35">
      <c r="M521" s="135"/>
      <c r="N521" s="136"/>
      <c r="O521" s="136"/>
      <c r="P521" s="136"/>
      <c r="Q521" s="136"/>
      <c r="R521" s="136"/>
      <c r="S521" s="136"/>
      <c r="T521" s="136"/>
      <c r="U521" s="136"/>
    </row>
    <row r="522" spans="13:21" x14ac:dyDescent="0.35">
      <c r="M522" s="135"/>
      <c r="N522" s="136"/>
      <c r="O522" s="136"/>
      <c r="P522" s="136"/>
      <c r="Q522" s="136"/>
      <c r="R522" s="136"/>
      <c r="S522" s="136"/>
      <c r="T522" s="136"/>
      <c r="U522" s="136"/>
    </row>
    <row r="523" spans="13:21" x14ac:dyDescent="0.35">
      <c r="M523" s="135"/>
      <c r="N523" s="136"/>
      <c r="O523" s="136"/>
      <c r="P523" s="136"/>
      <c r="Q523" s="136"/>
      <c r="R523" s="136"/>
      <c r="S523" s="136"/>
      <c r="T523" s="136"/>
      <c r="U523" s="136"/>
    </row>
    <row r="524" spans="13:21" x14ac:dyDescent="0.35">
      <c r="M524" s="135"/>
      <c r="N524" s="136"/>
      <c r="O524" s="136"/>
      <c r="P524" s="136"/>
      <c r="Q524" s="136"/>
      <c r="R524" s="136"/>
      <c r="S524" s="136"/>
      <c r="T524" s="136"/>
      <c r="U524" s="136"/>
    </row>
    <row r="525" spans="13:21" x14ac:dyDescent="0.35">
      <c r="M525" s="135"/>
      <c r="N525" s="136"/>
      <c r="O525" s="136"/>
      <c r="P525" s="136"/>
      <c r="Q525" s="136"/>
      <c r="R525" s="136"/>
      <c r="S525" s="136"/>
      <c r="T525" s="136"/>
      <c r="U525" s="136"/>
    </row>
    <row r="526" spans="13:21" x14ac:dyDescent="0.35">
      <c r="M526" s="135"/>
      <c r="N526" s="136"/>
      <c r="O526" s="136"/>
      <c r="P526" s="136"/>
      <c r="Q526" s="136"/>
      <c r="R526" s="136"/>
      <c r="S526" s="136"/>
      <c r="T526" s="136"/>
      <c r="U526" s="136"/>
    </row>
    <row r="527" spans="13:21" x14ac:dyDescent="0.35">
      <c r="M527" s="135"/>
      <c r="N527" s="136"/>
      <c r="O527" s="136"/>
      <c r="P527" s="136"/>
      <c r="Q527" s="136"/>
      <c r="R527" s="136"/>
      <c r="S527" s="136"/>
      <c r="T527" s="136"/>
      <c r="U527" s="136"/>
    </row>
    <row r="528" spans="13:21" x14ac:dyDescent="0.35">
      <c r="M528" s="135"/>
      <c r="N528" s="136"/>
      <c r="O528" s="136"/>
      <c r="P528" s="136"/>
      <c r="Q528" s="136"/>
      <c r="R528" s="136"/>
      <c r="S528" s="136"/>
      <c r="T528" s="136"/>
      <c r="U528" s="136"/>
    </row>
    <row r="529" spans="13:21" x14ac:dyDescent="0.35">
      <c r="M529" s="135"/>
      <c r="N529" s="136"/>
      <c r="O529" s="136"/>
      <c r="P529" s="136"/>
      <c r="Q529" s="136"/>
      <c r="R529" s="136"/>
      <c r="S529" s="136"/>
      <c r="T529" s="136"/>
      <c r="U529" s="136"/>
    </row>
    <row r="530" spans="13:21" x14ac:dyDescent="0.35">
      <c r="M530" s="135"/>
      <c r="N530" s="136"/>
      <c r="O530" s="136"/>
      <c r="P530" s="136"/>
      <c r="Q530" s="136"/>
      <c r="R530" s="136"/>
      <c r="S530" s="136"/>
      <c r="T530" s="136"/>
      <c r="U530" s="136"/>
    </row>
    <row r="531" spans="13:21" x14ac:dyDescent="0.35">
      <c r="M531" s="135"/>
      <c r="N531" s="136"/>
      <c r="O531" s="136"/>
      <c r="P531" s="136"/>
      <c r="Q531" s="136"/>
      <c r="R531" s="136"/>
      <c r="S531" s="136"/>
      <c r="T531" s="136"/>
      <c r="U531" s="136"/>
    </row>
    <row r="532" spans="13:21" x14ac:dyDescent="0.35">
      <c r="M532" s="135"/>
      <c r="N532" s="136"/>
      <c r="O532" s="136"/>
      <c r="P532" s="136"/>
      <c r="Q532" s="136"/>
      <c r="R532" s="136"/>
      <c r="S532" s="136"/>
      <c r="T532" s="136"/>
      <c r="U532" s="136"/>
    </row>
    <row r="533" spans="13:21" x14ac:dyDescent="0.35">
      <c r="M533" s="135"/>
      <c r="N533" s="136"/>
      <c r="O533" s="136"/>
      <c r="P533" s="136"/>
      <c r="Q533" s="136"/>
      <c r="R533" s="136"/>
      <c r="S533" s="136"/>
      <c r="T533" s="136"/>
      <c r="U533" s="136"/>
    </row>
    <row r="534" spans="13:21" x14ac:dyDescent="0.35">
      <c r="M534" s="135"/>
      <c r="N534" s="136"/>
      <c r="O534" s="136"/>
      <c r="P534" s="136"/>
      <c r="Q534" s="136"/>
      <c r="R534" s="136"/>
      <c r="S534" s="136"/>
      <c r="T534" s="136"/>
      <c r="U534" s="136"/>
    </row>
    <row r="535" spans="13:21" x14ac:dyDescent="0.35">
      <c r="M535" s="135"/>
      <c r="N535" s="136"/>
      <c r="O535" s="136"/>
      <c r="P535" s="136"/>
      <c r="Q535" s="136"/>
      <c r="R535" s="136"/>
      <c r="S535" s="136"/>
      <c r="T535" s="136"/>
      <c r="U535" s="136"/>
    </row>
    <row r="536" spans="13:21" x14ac:dyDescent="0.35">
      <c r="M536" s="135"/>
      <c r="N536" s="136"/>
      <c r="O536" s="136"/>
      <c r="P536" s="136"/>
      <c r="Q536" s="136"/>
      <c r="R536" s="136"/>
      <c r="S536" s="136"/>
      <c r="T536" s="136"/>
      <c r="U536" s="136"/>
    </row>
    <row r="537" spans="13:21" x14ac:dyDescent="0.35">
      <c r="M537" s="135"/>
      <c r="N537" s="136"/>
      <c r="O537" s="136"/>
      <c r="P537" s="136"/>
      <c r="Q537" s="136"/>
      <c r="R537" s="136"/>
      <c r="S537" s="136"/>
      <c r="T537" s="136"/>
      <c r="U537" s="136"/>
    </row>
    <row r="538" spans="13:21" x14ac:dyDescent="0.35">
      <c r="M538" s="135"/>
      <c r="N538" s="136"/>
      <c r="O538" s="136"/>
      <c r="P538" s="136"/>
      <c r="Q538" s="136"/>
      <c r="R538" s="136"/>
      <c r="S538" s="136"/>
      <c r="T538" s="136"/>
      <c r="U538" s="136"/>
    </row>
    <row r="539" spans="13:21" x14ac:dyDescent="0.35">
      <c r="M539" s="135"/>
      <c r="N539" s="136"/>
      <c r="O539" s="136"/>
      <c r="P539" s="136"/>
      <c r="Q539" s="136"/>
      <c r="R539" s="136"/>
      <c r="S539" s="136"/>
      <c r="T539" s="136"/>
      <c r="U539" s="136"/>
    </row>
    <row r="540" spans="13:21" x14ac:dyDescent="0.35">
      <c r="M540" s="135"/>
      <c r="N540" s="136"/>
      <c r="O540" s="136"/>
      <c r="P540" s="136"/>
      <c r="Q540" s="136"/>
      <c r="R540" s="136"/>
      <c r="S540" s="136"/>
      <c r="T540" s="136"/>
      <c r="U540" s="136"/>
    </row>
    <row r="541" spans="13:21" x14ac:dyDescent="0.35">
      <c r="M541" s="135"/>
      <c r="N541" s="136"/>
      <c r="O541" s="136"/>
      <c r="P541" s="136"/>
      <c r="Q541" s="136"/>
      <c r="R541" s="136"/>
      <c r="S541" s="136"/>
      <c r="T541" s="136"/>
      <c r="U541" s="136"/>
    </row>
    <row r="542" spans="13:21" x14ac:dyDescent="0.35">
      <c r="M542" s="135"/>
      <c r="N542" s="136"/>
      <c r="O542" s="136"/>
      <c r="P542" s="136"/>
      <c r="Q542" s="136"/>
      <c r="R542" s="136"/>
      <c r="S542" s="136"/>
      <c r="T542" s="136"/>
      <c r="U542" s="136"/>
    </row>
    <row r="543" spans="13:21" x14ac:dyDescent="0.35">
      <c r="M543" s="135"/>
      <c r="N543" s="136"/>
      <c r="O543" s="136"/>
      <c r="P543" s="136"/>
      <c r="Q543" s="136"/>
      <c r="R543" s="136"/>
      <c r="S543" s="136"/>
      <c r="T543" s="136"/>
      <c r="U543" s="136"/>
    </row>
    <row r="544" spans="13:21" x14ac:dyDescent="0.35">
      <c r="M544" s="135"/>
      <c r="N544" s="136"/>
      <c r="O544" s="136"/>
      <c r="P544" s="136"/>
      <c r="Q544" s="136"/>
      <c r="R544" s="136"/>
      <c r="S544" s="136"/>
      <c r="T544" s="136"/>
      <c r="U544" s="136"/>
    </row>
    <row r="545" spans="13:21" x14ac:dyDescent="0.35">
      <c r="M545" s="135"/>
      <c r="N545" s="136"/>
      <c r="O545" s="136"/>
      <c r="P545" s="136"/>
      <c r="Q545" s="136"/>
      <c r="R545" s="136"/>
      <c r="S545" s="136"/>
      <c r="T545" s="136"/>
      <c r="U545" s="136"/>
    </row>
    <row r="546" spans="13:21" x14ac:dyDescent="0.35">
      <c r="M546" s="135"/>
      <c r="N546" s="136"/>
      <c r="O546" s="136"/>
      <c r="P546" s="136"/>
      <c r="Q546" s="136"/>
      <c r="R546" s="136"/>
      <c r="S546" s="136"/>
      <c r="T546" s="136"/>
      <c r="U546" s="136"/>
    </row>
    <row r="547" spans="13:21" x14ac:dyDescent="0.35">
      <c r="M547" s="135"/>
      <c r="N547" s="136"/>
      <c r="O547" s="136"/>
      <c r="P547" s="136"/>
      <c r="Q547" s="136"/>
      <c r="R547" s="136"/>
      <c r="S547" s="136"/>
      <c r="T547" s="136"/>
      <c r="U547" s="136"/>
    </row>
    <row r="548" spans="13:21" x14ac:dyDescent="0.35">
      <c r="M548" s="135"/>
      <c r="N548" s="136"/>
      <c r="O548" s="136"/>
      <c r="P548" s="136"/>
      <c r="Q548" s="136"/>
      <c r="R548" s="136"/>
      <c r="S548" s="136"/>
      <c r="T548" s="136"/>
      <c r="U548" s="136"/>
    </row>
    <row r="549" spans="13:21" x14ac:dyDescent="0.35">
      <c r="M549" s="135"/>
      <c r="N549" s="136"/>
      <c r="O549" s="136"/>
      <c r="P549" s="136"/>
      <c r="Q549" s="136"/>
      <c r="R549" s="136"/>
      <c r="S549" s="136"/>
      <c r="T549" s="136"/>
      <c r="U549" s="136"/>
    </row>
    <row r="550" spans="13:21" x14ac:dyDescent="0.35">
      <c r="M550" s="135"/>
      <c r="N550" s="136"/>
      <c r="O550" s="136"/>
      <c r="P550" s="136"/>
      <c r="Q550" s="136"/>
      <c r="R550" s="136"/>
      <c r="S550" s="136"/>
      <c r="T550" s="136"/>
      <c r="U550" s="136"/>
    </row>
    <row r="551" spans="13:21" x14ac:dyDescent="0.35">
      <c r="M551" s="135"/>
      <c r="N551" s="136"/>
      <c r="O551" s="136"/>
      <c r="P551" s="136"/>
      <c r="Q551" s="136"/>
      <c r="R551" s="136"/>
      <c r="S551" s="136"/>
      <c r="T551" s="136"/>
      <c r="U551" s="136"/>
    </row>
    <row r="552" spans="13:21" x14ac:dyDescent="0.35">
      <c r="M552" s="135"/>
      <c r="N552" s="136"/>
      <c r="O552" s="136"/>
      <c r="P552" s="136"/>
      <c r="Q552" s="136"/>
      <c r="R552" s="136"/>
      <c r="S552" s="136"/>
      <c r="T552" s="136"/>
      <c r="U552" s="136"/>
    </row>
    <row r="553" spans="13:21" x14ac:dyDescent="0.35">
      <c r="M553" s="135"/>
      <c r="N553" s="136"/>
      <c r="O553" s="136"/>
      <c r="P553" s="136"/>
      <c r="Q553" s="136"/>
      <c r="R553" s="136"/>
      <c r="S553" s="136"/>
      <c r="T553" s="136"/>
      <c r="U553" s="136"/>
    </row>
    <row r="554" spans="13:21" x14ac:dyDescent="0.35">
      <c r="M554" s="135"/>
      <c r="N554" s="136"/>
      <c r="O554" s="136"/>
      <c r="P554" s="136"/>
      <c r="Q554" s="136"/>
      <c r="R554" s="136"/>
      <c r="S554" s="136"/>
      <c r="T554" s="136"/>
      <c r="U554" s="136"/>
    </row>
    <row r="555" spans="13:21" x14ac:dyDescent="0.35">
      <c r="M555" s="135"/>
      <c r="N555" s="136"/>
      <c r="O555" s="136"/>
      <c r="P555" s="136"/>
      <c r="Q555" s="136"/>
      <c r="R555" s="136"/>
      <c r="S555" s="136"/>
      <c r="T555" s="136"/>
      <c r="U555" s="136"/>
    </row>
    <row r="556" spans="13:21" x14ac:dyDescent="0.35">
      <c r="M556" s="135"/>
      <c r="N556" s="136"/>
      <c r="O556" s="136"/>
      <c r="P556" s="136"/>
      <c r="Q556" s="136"/>
      <c r="R556" s="136"/>
      <c r="S556" s="136"/>
      <c r="T556" s="136"/>
      <c r="U556" s="136"/>
    </row>
    <row r="557" spans="13:21" x14ac:dyDescent="0.35">
      <c r="M557" s="135"/>
      <c r="N557" s="136"/>
      <c r="O557" s="136"/>
      <c r="P557" s="136"/>
      <c r="Q557" s="136"/>
      <c r="R557" s="136"/>
      <c r="S557" s="136"/>
      <c r="T557" s="136"/>
      <c r="U557" s="136"/>
    </row>
    <row r="558" spans="13:21" x14ac:dyDescent="0.35">
      <c r="M558" s="135"/>
      <c r="N558" s="136"/>
      <c r="O558" s="136"/>
      <c r="P558" s="136"/>
      <c r="Q558" s="136"/>
      <c r="R558" s="136"/>
      <c r="S558" s="136"/>
      <c r="T558" s="136"/>
      <c r="U558" s="136"/>
    </row>
    <row r="559" spans="13:21" x14ac:dyDescent="0.35">
      <c r="M559" s="135"/>
      <c r="N559" s="136"/>
      <c r="O559" s="136"/>
      <c r="P559" s="136"/>
      <c r="Q559" s="136"/>
      <c r="R559" s="136"/>
      <c r="S559" s="136"/>
      <c r="T559" s="136"/>
      <c r="U559" s="136"/>
    </row>
    <row r="560" spans="13:21" x14ac:dyDescent="0.35">
      <c r="M560" s="135"/>
      <c r="N560" s="136"/>
      <c r="O560" s="136"/>
      <c r="P560" s="136"/>
      <c r="Q560" s="136"/>
      <c r="R560" s="136"/>
      <c r="S560" s="136"/>
      <c r="T560" s="136"/>
      <c r="U560" s="136"/>
    </row>
    <row r="561" spans="13:21" x14ac:dyDescent="0.35">
      <c r="M561" s="135"/>
      <c r="N561" s="136"/>
      <c r="O561" s="136"/>
      <c r="P561" s="136"/>
      <c r="Q561" s="136"/>
      <c r="R561" s="136"/>
      <c r="S561" s="136"/>
      <c r="T561" s="136"/>
      <c r="U561" s="136"/>
    </row>
    <row r="562" spans="13:21" x14ac:dyDescent="0.35">
      <c r="M562" s="135"/>
      <c r="N562" s="136"/>
      <c r="O562" s="136"/>
      <c r="P562" s="136"/>
      <c r="Q562" s="136"/>
      <c r="R562" s="136"/>
      <c r="S562" s="136"/>
      <c r="T562" s="136"/>
      <c r="U562" s="136"/>
    </row>
    <row r="563" spans="13:21" x14ac:dyDescent="0.35">
      <c r="M563" s="135"/>
      <c r="N563" s="136"/>
      <c r="O563" s="136"/>
      <c r="P563" s="136"/>
      <c r="Q563" s="136"/>
      <c r="R563" s="136"/>
      <c r="S563" s="136"/>
      <c r="T563" s="136"/>
      <c r="U563" s="136"/>
    </row>
    <row r="564" spans="13:21" x14ac:dyDescent="0.35">
      <c r="M564" s="135"/>
      <c r="N564" s="136"/>
      <c r="O564" s="136"/>
      <c r="P564" s="136"/>
      <c r="Q564" s="136"/>
      <c r="R564" s="136"/>
      <c r="S564" s="136"/>
      <c r="T564" s="136"/>
      <c r="U564" s="136"/>
    </row>
    <row r="565" spans="13:21" x14ac:dyDescent="0.35">
      <c r="M565" s="135"/>
      <c r="N565" s="136"/>
      <c r="O565" s="136"/>
      <c r="P565" s="136"/>
      <c r="Q565" s="136"/>
      <c r="R565" s="136"/>
      <c r="S565" s="136"/>
      <c r="T565" s="136"/>
      <c r="U565" s="136"/>
    </row>
    <row r="566" spans="13:21" x14ac:dyDescent="0.35">
      <c r="M566" s="135"/>
      <c r="N566" s="136"/>
      <c r="O566" s="136"/>
      <c r="P566" s="136"/>
      <c r="Q566" s="136"/>
      <c r="R566" s="136"/>
      <c r="S566" s="136"/>
      <c r="T566" s="136"/>
      <c r="U566" s="136"/>
    </row>
    <row r="567" spans="13:21" x14ac:dyDescent="0.35">
      <c r="M567" s="135"/>
      <c r="N567" s="136"/>
      <c r="O567" s="136"/>
      <c r="P567" s="136"/>
      <c r="Q567" s="136"/>
      <c r="R567" s="136"/>
      <c r="S567" s="136"/>
      <c r="T567" s="136"/>
      <c r="U567" s="136"/>
    </row>
    <row r="568" spans="13:21" x14ac:dyDescent="0.35">
      <c r="M568" s="135"/>
      <c r="N568" s="136"/>
      <c r="O568" s="136"/>
      <c r="P568" s="136"/>
      <c r="Q568" s="136"/>
      <c r="R568" s="136"/>
      <c r="S568" s="136"/>
      <c r="T568" s="136"/>
      <c r="U568" s="136"/>
    </row>
    <row r="569" spans="13:21" x14ac:dyDescent="0.35">
      <c r="M569" s="135"/>
      <c r="N569" s="136"/>
      <c r="O569" s="136"/>
      <c r="P569" s="136"/>
      <c r="Q569" s="136"/>
      <c r="R569" s="136"/>
      <c r="S569" s="136"/>
      <c r="T569" s="136"/>
      <c r="U569" s="136"/>
    </row>
    <row r="570" spans="13:21" x14ac:dyDescent="0.35">
      <c r="M570" s="135"/>
      <c r="N570" s="136"/>
      <c r="O570" s="136"/>
      <c r="P570" s="136"/>
      <c r="Q570" s="136"/>
      <c r="R570" s="136"/>
      <c r="S570" s="136"/>
      <c r="T570" s="136"/>
      <c r="U570" s="136"/>
    </row>
    <row r="571" spans="13:21" x14ac:dyDescent="0.35">
      <c r="M571" s="135"/>
      <c r="N571" s="136"/>
      <c r="O571" s="136"/>
      <c r="P571" s="136"/>
      <c r="Q571" s="136"/>
      <c r="R571" s="136"/>
      <c r="S571" s="136"/>
      <c r="T571" s="136"/>
      <c r="U571" s="136"/>
    </row>
    <row r="572" spans="13:21" x14ac:dyDescent="0.35">
      <c r="M572" s="135"/>
      <c r="N572" s="136"/>
      <c r="O572" s="136"/>
      <c r="P572" s="136"/>
      <c r="Q572" s="136"/>
      <c r="R572" s="136"/>
      <c r="S572" s="136"/>
      <c r="T572" s="136"/>
      <c r="U572" s="136"/>
    </row>
    <row r="573" spans="13:21" x14ac:dyDescent="0.35">
      <c r="M573" s="135"/>
      <c r="N573" s="136"/>
      <c r="O573" s="136"/>
      <c r="P573" s="136"/>
      <c r="Q573" s="136"/>
      <c r="R573" s="136"/>
      <c r="S573" s="136"/>
      <c r="T573" s="136"/>
      <c r="U573" s="136"/>
    </row>
    <row r="574" spans="13:21" x14ac:dyDescent="0.35">
      <c r="M574" s="135"/>
      <c r="N574" s="136"/>
      <c r="O574" s="136"/>
      <c r="P574" s="136"/>
      <c r="Q574" s="136"/>
      <c r="R574" s="136"/>
      <c r="S574" s="136"/>
      <c r="T574" s="136"/>
      <c r="U574" s="136"/>
    </row>
    <row r="575" spans="13:21" x14ac:dyDescent="0.35">
      <c r="M575" s="135"/>
      <c r="N575" s="136"/>
      <c r="O575" s="136"/>
      <c r="P575" s="136"/>
      <c r="Q575" s="136"/>
      <c r="R575" s="136"/>
      <c r="S575" s="136"/>
      <c r="T575" s="136"/>
      <c r="U575" s="136"/>
    </row>
    <row r="576" spans="13:21" x14ac:dyDescent="0.35">
      <c r="M576" s="135"/>
      <c r="N576" s="136"/>
      <c r="O576" s="136"/>
      <c r="P576" s="136"/>
      <c r="Q576" s="136"/>
      <c r="R576" s="136"/>
      <c r="S576" s="136"/>
      <c r="T576" s="136"/>
      <c r="U576" s="136"/>
    </row>
    <row r="577" spans="13:21" x14ac:dyDescent="0.35">
      <c r="M577" s="135"/>
      <c r="N577" s="136"/>
      <c r="O577" s="136"/>
      <c r="P577" s="136"/>
      <c r="Q577" s="136"/>
      <c r="R577" s="136"/>
      <c r="S577" s="136"/>
      <c r="T577" s="136"/>
      <c r="U577" s="136"/>
    </row>
    <row r="578" spans="13:21" x14ac:dyDescent="0.35">
      <c r="M578" s="135"/>
      <c r="N578" s="136"/>
      <c r="O578" s="136"/>
      <c r="P578" s="136"/>
      <c r="Q578" s="136"/>
      <c r="R578" s="136"/>
      <c r="S578" s="136"/>
      <c r="T578" s="136"/>
      <c r="U578" s="136"/>
    </row>
    <row r="579" spans="13:21" x14ac:dyDescent="0.35">
      <c r="M579" s="135"/>
      <c r="N579" s="136"/>
      <c r="O579" s="136"/>
      <c r="P579" s="136"/>
      <c r="Q579" s="136"/>
      <c r="R579" s="136"/>
      <c r="S579" s="136"/>
      <c r="T579" s="136"/>
      <c r="U579" s="136"/>
    </row>
    <row r="580" spans="13:21" x14ac:dyDescent="0.35">
      <c r="M580" s="135"/>
      <c r="N580" s="136"/>
      <c r="O580" s="136"/>
      <c r="P580" s="136"/>
      <c r="Q580" s="136"/>
      <c r="R580" s="136"/>
      <c r="S580" s="136"/>
      <c r="T580" s="136"/>
      <c r="U580" s="136"/>
    </row>
    <row r="581" spans="13:21" x14ac:dyDescent="0.35">
      <c r="M581" s="135"/>
      <c r="N581" s="136"/>
      <c r="O581" s="136"/>
      <c r="P581" s="136"/>
      <c r="Q581" s="136"/>
      <c r="R581" s="136"/>
      <c r="S581" s="136"/>
      <c r="T581" s="136"/>
      <c r="U581" s="136"/>
    </row>
    <row r="582" spans="13:21" x14ac:dyDescent="0.35">
      <c r="M582" s="135"/>
      <c r="N582" s="136"/>
      <c r="O582" s="136"/>
      <c r="P582" s="136"/>
      <c r="Q582" s="136"/>
      <c r="R582" s="136"/>
      <c r="S582" s="136"/>
      <c r="T582" s="136"/>
      <c r="U582" s="136"/>
    </row>
    <row r="583" spans="13:21" x14ac:dyDescent="0.35">
      <c r="M583" s="135"/>
      <c r="N583" s="136"/>
      <c r="O583" s="136"/>
      <c r="P583" s="136"/>
      <c r="Q583" s="136"/>
      <c r="R583" s="136"/>
      <c r="S583" s="136"/>
      <c r="T583" s="136"/>
      <c r="U583" s="136"/>
    </row>
    <row r="584" spans="13:21" x14ac:dyDescent="0.35">
      <c r="M584" s="135"/>
      <c r="N584" s="136"/>
      <c r="O584" s="136"/>
      <c r="P584" s="136"/>
      <c r="Q584" s="136"/>
      <c r="R584" s="136"/>
      <c r="S584" s="136"/>
      <c r="T584" s="136"/>
      <c r="U584" s="136"/>
    </row>
    <row r="585" spans="13:21" x14ac:dyDescent="0.35">
      <c r="M585" s="135"/>
      <c r="N585" s="136"/>
      <c r="O585" s="136"/>
      <c r="P585" s="136"/>
      <c r="Q585" s="136"/>
      <c r="R585" s="136"/>
      <c r="S585" s="136"/>
      <c r="T585" s="136"/>
      <c r="U585" s="136"/>
    </row>
    <row r="586" spans="13:21" x14ac:dyDescent="0.35">
      <c r="M586" s="135"/>
      <c r="N586" s="136"/>
      <c r="O586" s="136"/>
      <c r="P586" s="136"/>
      <c r="Q586" s="136"/>
      <c r="R586" s="136"/>
      <c r="S586" s="136"/>
      <c r="T586" s="136"/>
      <c r="U586" s="136"/>
    </row>
    <row r="587" spans="13:21" x14ac:dyDescent="0.35">
      <c r="M587" s="135"/>
      <c r="N587" s="136"/>
      <c r="O587" s="136"/>
      <c r="P587" s="136"/>
      <c r="Q587" s="136"/>
      <c r="R587" s="136"/>
      <c r="S587" s="136"/>
      <c r="T587" s="136"/>
      <c r="U587" s="136"/>
    </row>
    <row r="588" spans="13:21" x14ac:dyDescent="0.35">
      <c r="M588" s="135"/>
      <c r="N588" s="136"/>
      <c r="O588" s="136"/>
      <c r="P588" s="136"/>
      <c r="Q588" s="136"/>
      <c r="R588" s="136"/>
      <c r="S588" s="136"/>
      <c r="T588" s="136"/>
      <c r="U588" s="136"/>
    </row>
    <row r="589" spans="13:21" x14ac:dyDescent="0.35">
      <c r="M589" s="135"/>
      <c r="N589" s="136"/>
      <c r="O589" s="136"/>
      <c r="P589" s="136"/>
      <c r="Q589" s="136"/>
      <c r="R589" s="136"/>
      <c r="S589" s="136"/>
      <c r="T589" s="136"/>
      <c r="U589" s="136"/>
    </row>
    <row r="590" spans="13:21" x14ac:dyDescent="0.35">
      <c r="M590" s="135"/>
      <c r="N590" s="136"/>
      <c r="O590" s="136"/>
      <c r="P590" s="136"/>
      <c r="Q590" s="136"/>
      <c r="R590" s="136"/>
      <c r="S590" s="136"/>
      <c r="T590" s="136"/>
      <c r="U590" s="136"/>
    </row>
    <row r="591" spans="13:21" x14ac:dyDescent="0.35">
      <c r="M591" s="135"/>
      <c r="N591" s="136"/>
      <c r="O591" s="136"/>
      <c r="P591" s="136"/>
      <c r="Q591" s="136"/>
      <c r="R591" s="136"/>
      <c r="S591" s="136"/>
      <c r="T591" s="136"/>
      <c r="U591" s="136"/>
    </row>
    <row r="592" spans="13:21" x14ac:dyDescent="0.35">
      <c r="M592" s="135"/>
      <c r="N592" s="136"/>
      <c r="O592" s="136"/>
      <c r="P592" s="136"/>
      <c r="Q592" s="136"/>
      <c r="R592" s="136"/>
      <c r="S592" s="136"/>
      <c r="T592" s="136"/>
      <c r="U592" s="136"/>
    </row>
    <row r="593" spans="13:21" x14ac:dyDescent="0.35">
      <c r="M593" s="135"/>
      <c r="N593" s="136"/>
      <c r="O593" s="136"/>
      <c r="P593" s="136"/>
      <c r="Q593" s="136"/>
      <c r="R593" s="136"/>
      <c r="S593" s="136"/>
      <c r="T593" s="136"/>
      <c r="U593" s="136"/>
    </row>
    <row r="594" spans="13:21" x14ac:dyDescent="0.35">
      <c r="M594" s="135"/>
      <c r="N594" s="136"/>
      <c r="O594" s="136"/>
      <c r="P594" s="136"/>
      <c r="Q594" s="136"/>
      <c r="R594" s="136"/>
      <c r="S594" s="136"/>
      <c r="T594" s="136"/>
      <c r="U594" s="136"/>
    </row>
    <row r="595" spans="13:21" x14ac:dyDescent="0.35">
      <c r="M595" s="135"/>
      <c r="N595" s="136"/>
      <c r="O595" s="136"/>
      <c r="P595" s="136"/>
      <c r="Q595" s="136"/>
      <c r="R595" s="136"/>
      <c r="S595" s="136"/>
      <c r="T595" s="136"/>
      <c r="U595" s="136"/>
    </row>
    <row r="596" spans="13:21" x14ac:dyDescent="0.35">
      <c r="M596" s="135"/>
      <c r="N596" s="136"/>
      <c r="O596" s="136"/>
      <c r="P596" s="136"/>
      <c r="Q596" s="136"/>
      <c r="R596" s="136"/>
      <c r="S596" s="136"/>
      <c r="T596" s="136"/>
      <c r="U596" s="136"/>
    </row>
    <row r="597" spans="13:21" x14ac:dyDescent="0.35">
      <c r="M597" s="135"/>
      <c r="N597" s="136"/>
      <c r="O597" s="136"/>
      <c r="P597" s="136"/>
      <c r="Q597" s="136"/>
      <c r="R597" s="136"/>
      <c r="S597" s="136"/>
      <c r="T597" s="136"/>
      <c r="U597" s="136"/>
    </row>
    <row r="598" spans="13:21" x14ac:dyDescent="0.35">
      <c r="M598" s="135"/>
      <c r="N598" s="136"/>
      <c r="O598" s="136"/>
      <c r="P598" s="136"/>
      <c r="Q598" s="136"/>
      <c r="R598" s="136"/>
      <c r="S598" s="136"/>
      <c r="T598" s="136"/>
      <c r="U598" s="136"/>
    </row>
    <row r="599" spans="13:21" x14ac:dyDescent="0.35">
      <c r="M599" s="135"/>
      <c r="N599" s="136"/>
      <c r="O599" s="136"/>
      <c r="P599" s="136"/>
      <c r="Q599" s="136"/>
      <c r="R599" s="136"/>
      <c r="S599" s="136"/>
      <c r="T599" s="136"/>
      <c r="U599" s="136"/>
    </row>
    <row r="600" spans="13:21" x14ac:dyDescent="0.35">
      <c r="M600" s="135"/>
      <c r="N600" s="136"/>
      <c r="O600" s="136"/>
      <c r="P600" s="136"/>
      <c r="Q600" s="136"/>
      <c r="R600" s="136"/>
      <c r="S600" s="136"/>
      <c r="T600" s="136"/>
      <c r="U600" s="136"/>
    </row>
    <row r="601" spans="13:21" x14ac:dyDescent="0.35">
      <c r="M601" s="135"/>
      <c r="N601" s="136"/>
      <c r="O601" s="136"/>
      <c r="P601" s="136"/>
      <c r="Q601" s="136"/>
      <c r="R601" s="136"/>
      <c r="S601" s="136"/>
      <c r="T601" s="136"/>
      <c r="U601" s="136"/>
    </row>
    <row r="602" spans="13:21" x14ac:dyDescent="0.35">
      <c r="M602" s="135"/>
      <c r="N602" s="136"/>
      <c r="O602" s="136"/>
      <c r="P602" s="136"/>
      <c r="Q602" s="136"/>
      <c r="R602" s="136"/>
      <c r="S602" s="136"/>
      <c r="T602" s="136"/>
      <c r="U602" s="136"/>
    </row>
    <row r="603" spans="13:21" x14ac:dyDescent="0.35">
      <c r="M603" s="135"/>
      <c r="N603" s="136"/>
      <c r="O603" s="136"/>
      <c r="P603" s="136"/>
      <c r="Q603" s="136"/>
      <c r="R603" s="136"/>
      <c r="S603" s="136"/>
      <c r="T603" s="136"/>
      <c r="U603" s="136"/>
    </row>
    <row r="604" spans="13:21" x14ac:dyDescent="0.35">
      <c r="M604" s="135"/>
      <c r="N604" s="136"/>
      <c r="O604" s="136"/>
      <c r="P604" s="136"/>
      <c r="Q604" s="136"/>
      <c r="R604" s="136"/>
      <c r="S604" s="136"/>
      <c r="T604" s="136"/>
      <c r="U604" s="136"/>
    </row>
    <row r="605" spans="13:21" x14ac:dyDescent="0.35">
      <c r="M605" s="135"/>
      <c r="N605" s="136"/>
      <c r="O605" s="136"/>
      <c r="P605" s="136"/>
      <c r="Q605" s="136"/>
      <c r="R605" s="136"/>
      <c r="S605" s="136"/>
      <c r="T605" s="136"/>
      <c r="U605" s="136"/>
    </row>
    <row r="606" spans="13:21" x14ac:dyDescent="0.35">
      <c r="M606" s="135"/>
      <c r="N606" s="136"/>
      <c r="O606" s="136"/>
      <c r="P606" s="136"/>
      <c r="Q606" s="136"/>
      <c r="R606" s="136"/>
      <c r="S606" s="136"/>
      <c r="T606" s="136"/>
      <c r="U606" s="136"/>
    </row>
    <row r="607" spans="13:21" x14ac:dyDescent="0.35">
      <c r="M607" s="135"/>
      <c r="N607" s="136"/>
      <c r="O607" s="136"/>
      <c r="P607" s="136"/>
      <c r="Q607" s="136"/>
      <c r="R607" s="136"/>
      <c r="S607" s="136"/>
      <c r="T607" s="136"/>
      <c r="U607" s="136"/>
    </row>
    <row r="608" spans="13:21" x14ac:dyDescent="0.35">
      <c r="M608" s="135"/>
      <c r="N608" s="136"/>
      <c r="O608" s="136"/>
      <c r="P608" s="136"/>
      <c r="Q608" s="136"/>
      <c r="R608" s="136"/>
      <c r="S608" s="136"/>
      <c r="T608" s="136"/>
      <c r="U608" s="136"/>
    </row>
    <row r="609" spans="13:21" x14ac:dyDescent="0.35">
      <c r="M609" s="135"/>
      <c r="N609" s="136"/>
      <c r="O609" s="136"/>
      <c r="P609" s="136"/>
      <c r="Q609" s="136"/>
      <c r="R609" s="136"/>
      <c r="S609" s="136"/>
      <c r="T609" s="136"/>
      <c r="U609" s="136"/>
    </row>
    <row r="610" spans="13:21" x14ac:dyDescent="0.35">
      <c r="M610" s="135"/>
      <c r="N610" s="136"/>
      <c r="O610" s="136"/>
      <c r="P610" s="136"/>
      <c r="Q610" s="136"/>
      <c r="R610" s="136"/>
      <c r="S610" s="136"/>
      <c r="T610" s="136"/>
      <c r="U610" s="136"/>
    </row>
    <row r="611" spans="13:21" x14ac:dyDescent="0.35">
      <c r="M611" s="135"/>
      <c r="N611" s="136"/>
      <c r="O611" s="136"/>
      <c r="P611" s="136"/>
      <c r="Q611" s="136"/>
      <c r="R611" s="136"/>
      <c r="S611" s="136"/>
      <c r="T611" s="136"/>
      <c r="U611" s="136"/>
    </row>
    <row r="612" spans="13:21" x14ac:dyDescent="0.35">
      <c r="M612" s="135"/>
      <c r="N612" s="136"/>
      <c r="O612" s="136"/>
      <c r="P612" s="136"/>
      <c r="Q612" s="136"/>
      <c r="R612" s="136"/>
      <c r="S612" s="136"/>
      <c r="T612" s="136"/>
      <c r="U612" s="136"/>
    </row>
    <row r="613" spans="13:21" x14ac:dyDescent="0.35">
      <c r="M613" s="135"/>
      <c r="N613" s="136"/>
      <c r="O613" s="136"/>
      <c r="P613" s="136"/>
      <c r="Q613" s="136"/>
      <c r="R613" s="136"/>
      <c r="S613" s="136"/>
      <c r="T613" s="136"/>
      <c r="U613" s="136"/>
    </row>
    <row r="614" spans="13:21" x14ac:dyDescent="0.35">
      <c r="M614" s="135"/>
      <c r="N614" s="136"/>
      <c r="O614" s="136"/>
      <c r="P614" s="136"/>
      <c r="Q614" s="136"/>
      <c r="R614" s="136"/>
      <c r="S614" s="136"/>
      <c r="T614" s="136"/>
      <c r="U614" s="136"/>
    </row>
    <row r="615" spans="13:21" x14ac:dyDescent="0.35">
      <c r="M615" s="135"/>
      <c r="N615" s="136"/>
      <c r="O615" s="136"/>
      <c r="P615" s="136"/>
      <c r="Q615" s="136"/>
      <c r="R615" s="136"/>
      <c r="S615" s="136"/>
      <c r="T615" s="136"/>
      <c r="U615" s="136"/>
    </row>
    <row r="616" spans="13:21" x14ac:dyDescent="0.35">
      <c r="M616" s="135"/>
      <c r="N616" s="136"/>
      <c r="O616" s="136"/>
      <c r="P616" s="136"/>
      <c r="Q616" s="136"/>
      <c r="R616" s="136"/>
      <c r="S616" s="136"/>
      <c r="T616" s="136"/>
      <c r="U616" s="136"/>
    </row>
    <row r="617" spans="13:21" x14ac:dyDescent="0.35">
      <c r="M617" s="135"/>
      <c r="N617" s="136"/>
      <c r="O617" s="136"/>
      <c r="P617" s="136"/>
      <c r="Q617" s="136"/>
      <c r="R617" s="136"/>
      <c r="S617" s="136"/>
      <c r="T617" s="136"/>
      <c r="U617" s="136"/>
    </row>
    <row r="618" spans="13:21" x14ac:dyDescent="0.35">
      <c r="M618" s="135"/>
      <c r="N618" s="136"/>
      <c r="O618" s="136"/>
      <c r="P618" s="136"/>
      <c r="Q618" s="136"/>
      <c r="R618" s="136"/>
      <c r="S618" s="136"/>
      <c r="T618" s="136"/>
      <c r="U618" s="136"/>
    </row>
    <row r="619" spans="13:21" x14ac:dyDescent="0.35">
      <c r="M619" s="135"/>
      <c r="N619" s="136"/>
      <c r="O619" s="136"/>
      <c r="P619" s="136"/>
      <c r="Q619" s="136"/>
      <c r="R619" s="136"/>
      <c r="S619" s="136"/>
      <c r="T619" s="136"/>
      <c r="U619" s="136"/>
    </row>
    <row r="620" spans="13:21" x14ac:dyDescent="0.35">
      <c r="M620" s="135"/>
      <c r="N620" s="136"/>
      <c r="O620" s="136"/>
      <c r="P620" s="136"/>
      <c r="Q620" s="136"/>
      <c r="R620" s="136"/>
      <c r="S620" s="136"/>
      <c r="T620" s="136"/>
      <c r="U620" s="136"/>
    </row>
    <row r="621" spans="13:21" x14ac:dyDescent="0.35">
      <c r="M621" s="135"/>
      <c r="N621" s="136"/>
      <c r="O621" s="136"/>
      <c r="P621" s="136"/>
      <c r="Q621" s="136"/>
      <c r="R621" s="136"/>
      <c r="S621" s="136"/>
      <c r="T621" s="136"/>
      <c r="U621" s="136"/>
    </row>
    <row r="622" spans="13:21" x14ac:dyDescent="0.35">
      <c r="M622" s="135"/>
      <c r="N622" s="136"/>
      <c r="O622" s="136"/>
      <c r="P622" s="136"/>
      <c r="Q622" s="136"/>
      <c r="R622" s="136"/>
      <c r="S622" s="136"/>
      <c r="T622" s="136"/>
      <c r="U622" s="136"/>
    </row>
    <row r="623" spans="13:21" x14ac:dyDescent="0.35">
      <c r="M623" s="135"/>
      <c r="N623" s="136"/>
      <c r="O623" s="136"/>
      <c r="P623" s="136"/>
      <c r="Q623" s="136"/>
      <c r="R623" s="136"/>
      <c r="S623" s="136"/>
      <c r="T623" s="136"/>
      <c r="U623" s="136"/>
    </row>
    <row r="624" spans="13:21" x14ac:dyDescent="0.35">
      <c r="M624" s="135"/>
      <c r="N624" s="136"/>
      <c r="O624" s="136"/>
      <c r="P624" s="136"/>
      <c r="Q624" s="136"/>
      <c r="R624" s="136"/>
      <c r="S624" s="136"/>
      <c r="T624" s="136"/>
      <c r="U624" s="136"/>
    </row>
    <row r="625" spans="13:21" x14ac:dyDescent="0.35">
      <c r="M625" s="135"/>
      <c r="N625" s="136"/>
      <c r="O625" s="136"/>
      <c r="P625" s="136"/>
      <c r="Q625" s="136"/>
      <c r="R625" s="136"/>
      <c r="S625" s="136"/>
      <c r="T625" s="136"/>
      <c r="U625" s="136"/>
    </row>
    <row r="626" spans="13:21" x14ac:dyDescent="0.35">
      <c r="M626" s="135"/>
      <c r="N626" s="136"/>
      <c r="O626" s="136"/>
      <c r="P626" s="136"/>
      <c r="Q626" s="136"/>
      <c r="R626" s="136"/>
      <c r="S626" s="136"/>
      <c r="T626" s="136"/>
      <c r="U626" s="136"/>
    </row>
    <row r="627" spans="13:21" x14ac:dyDescent="0.35">
      <c r="M627" s="135"/>
      <c r="N627" s="136"/>
      <c r="O627" s="136"/>
      <c r="P627" s="136"/>
      <c r="Q627" s="136"/>
      <c r="R627" s="136"/>
      <c r="S627" s="136"/>
      <c r="T627" s="136"/>
      <c r="U627" s="136"/>
    </row>
    <row r="628" spans="13:21" x14ac:dyDescent="0.35">
      <c r="M628" s="135"/>
      <c r="N628" s="136"/>
      <c r="O628" s="136"/>
      <c r="P628" s="136"/>
      <c r="Q628" s="136"/>
      <c r="R628" s="136"/>
      <c r="S628" s="136"/>
      <c r="T628" s="136"/>
      <c r="U628" s="136"/>
    </row>
    <row r="629" spans="13:21" x14ac:dyDescent="0.35">
      <c r="M629" s="135"/>
      <c r="N629" s="136"/>
      <c r="O629" s="136"/>
      <c r="P629" s="136"/>
      <c r="Q629" s="136"/>
      <c r="R629" s="136"/>
      <c r="S629" s="136"/>
      <c r="T629" s="136"/>
      <c r="U629" s="136"/>
    </row>
    <row r="630" spans="13:21" x14ac:dyDescent="0.35">
      <c r="M630" s="135"/>
      <c r="N630" s="136"/>
      <c r="O630" s="136"/>
      <c r="P630" s="136"/>
      <c r="Q630" s="136"/>
      <c r="R630" s="136"/>
      <c r="S630" s="136"/>
      <c r="T630" s="136"/>
      <c r="U630" s="136"/>
    </row>
    <row r="631" spans="13:21" x14ac:dyDescent="0.35">
      <c r="M631" s="135"/>
      <c r="N631" s="136"/>
      <c r="O631" s="136"/>
      <c r="P631" s="136"/>
      <c r="Q631" s="136"/>
      <c r="R631" s="136"/>
      <c r="S631" s="136"/>
      <c r="T631" s="136"/>
      <c r="U631" s="136"/>
    </row>
    <row r="632" spans="13:21" x14ac:dyDescent="0.35">
      <c r="M632" s="135"/>
      <c r="N632" s="136"/>
      <c r="O632" s="136"/>
      <c r="P632" s="136"/>
      <c r="Q632" s="136"/>
      <c r="R632" s="136"/>
      <c r="S632" s="136"/>
      <c r="T632" s="136"/>
      <c r="U632" s="136"/>
    </row>
    <row r="633" spans="13:21" x14ac:dyDescent="0.35">
      <c r="M633" s="135"/>
      <c r="N633" s="136"/>
      <c r="O633" s="136"/>
      <c r="P633" s="136"/>
      <c r="Q633" s="136"/>
      <c r="R633" s="136"/>
      <c r="S633" s="136"/>
      <c r="T633" s="136"/>
      <c r="U633" s="136"/>
    </row>
    <row r="634" spans="13:21" x14ac:dyDescent="0.35">
      <c r="M634" s="135"/>
      <c r="N634" s="136"/>
      <c r="O634" s="136"/>
      <c r="P634" s="136"/>
      <c r="Q634" s="136"/>
      <c r="R634" s="136"/>
      <c r="S634" s="136"/>
      <c r="T634" s="136"/>
      <c r="U634" s="136"/>
    </row>
    <row r="635" spans="13:21" x14ac:dyDescent="0.35">
      <c r="M635" s="135"/>
      <c r="N635" s="136"/>
      <c r="O635" s="136"/>
      <c r="P635" s="136"/>
      <c r="Q635" s="136"/>
      <c r="R635" s="136"/>
      <c r="S635" s="136"/>
      <c r="T635" s="136"/>
      <c r="U635" s="136"/>
    </row>
    <row r="636" spans="13:21" x14ac:dyDescent="0.35">
      <c r="M636" s="135"/>
      <c r="N636" s="136"/>
      <c r="O636" s="136"/>
      <c r="P636" s="136"/>
      <c r="Q636" s="136"/>
      <c r="R636" s="136"/>
      <c r="S636" s="136"/>
      <c r="T636" s="136"/>
      <c r="U636" s="136"/>
    </row>
    <row r="637" spans="13:21" x14ac:dyDescent="0.35">
      <c r="M637" s="135"/>
      <c r="N637" s="136"/>
      <c r="O637" s="136"/>
      <c r="P637" s="136"/>
      <c r="Q637" s="136"/>
      <c r="R637" s="136"/>
      <c r="S637" s="136"/>
      <c r="T637" s="136"/>
      <c r="U637" s="136"/>
    </row>
    <row r="638" spans="13:21" x14ac:dyDescent="0.35">
      <c r="M638" s="135"/>
      <c r="N638" s="136"/>
      <c r="O638" s="136"/>
      <c r="P638" s="136"/>
      <c r="Q638" s="136"/>
      <c r="R638" s="136"/>
      <c r="S638" s="136"/>
      <c r="T638" s="136"/>
      <c r="U638" s="136"/>
    </row>
    <row r="639" spans="13:21" x14ac:dyDescent="0.35">
      <c r="M639" s="135"/>
      <c r="N639" s="136"/>
      <c r="O639" s="136"/>
      <c r="P639" s="136"/>
      <c r="Q639" s="136"/>
      <c r="R639" s="136"/>
      <c r="S639" s="136"/>
      <c r="T639" s="136"/>
      <c r="U639" s="136"/>
    </row>
    <row r="640" spans="13:21" x14ac:dyDescent="0.35">
      <c r="M640" s="135"/>
      <c r="N640" s="136"/>
      <c r="O640" s="136"/>
      <c r="P640" s="136"/>
      <c r="Q640" s="136"/>
      <c r="R640" s="136"/>
      <c r="S640" s="136"/>
      <c r="T640" s="136"/>
      <c r="U640" s="136"/>
    </row>
    <row r="641" spans="13:21" x14ac:dyDescent="0.35">
      <c r="M641" s="135"/>
      <c r="N641" s="136"/>
      <c r="O641" s="136"/>
      <c r="P641" s="136"/>
      <c r="Q641" s="136"/>
      <c r="R641" s="136"/>
      <c r="S641" s="136"/>
      <c r="T641" s="136"/>
      <c r="U641" s="136"/>
    </row>
    <row r="642" spans="13:21" x14ac:dyDescent="0.35">
      <c r="M642" s="135"/>
      <c r="N642" s="136"/>
      <c r="O642" s="136"/>
      <c r="P642" s="136"/>
      <c r="Q642" s="136"/>
      <c r="R642" s="136"/>
      <c r="S642" s="136"/>
      <c r="T642" s="136"/>
      <c r="U642" s="136"/>
    </row>
    <row r="643" spans="13:21" x14ac:dyDescent="0.35">
      <c r="M643" s="135"/>
      <c r="N643" s="136"/>
      <c r="O643" s="136"/>
      <c r="P643" s="136"/>
      <c r="Q643" s="136"/>
      <c r="R643" s="136"/>
      <c r="S643" s="136"/>
      <c r="T643" s="136"/>
      <c r="U643" s="136"/>
    </row>
    <row r="644" spans="13:21" x14ac:dyDescent="0.35">
      <c r="M644" s="135"/>
      <c r="N644" s="136"/>
      <c r="O644" s="136"/>
      <c r="P644" s="136"/>
      <c r="Q644" s="136"/>
      <c r="R644" s="136"/>
      <c r="S644" s="136"/>
      <c r="T644" s="136"/>
      <c r="U644" s="136"/>
    </row>
    <row r="645" spans="13:21" x14ac:dyDescent="0.35">
      <c r="M645" s="135"/>
      <c r="N645" s="136"/>
      <c r="O645" s="136"/>
      <c r="P645" s="136"/>
      <c r="Q645" s="136"/>
      <c r="R645" s="136"/>
      <c r="S645" s="136"/>
      <c r="T645" s="136"/>
      <c r="U645" s="136"/>
    </row>
    <row r="646" spans="13:21" x14ac:dyDescent="0.35">
      <c r="M646" s="135"/>
      <c r="N646" s="136"/>
      <c r="O646" s="136"/>
      <c r="P646" s="136"/>
      <c r="Q646" s="136"/>
      <c r="R646" s="136"/>
      <c r="S646" s="136"/>
      <c r="T646" s="136"/>
      <c r="U646" s="136"/>
    </row>
    <row r="647" spans="13:21" x14ac:dyDescent="0.35">
      <c r="M647" s="135"/>
      <c r="N647" s="136"/>
      <c r="O647" s="136"/>
      <c r="P647" s="136"/>
      <c r="Q647" s="136"/>
      <c r="R647" s="136"/>
      <c r="S647" s="136"/>
      <c r="T647" s="136"/>
      <c r="U647" s="136"/>
    </row>
    <row r="648" spans="13:21" x14ac:dyDescent="0.35">
      <c r="M648" s="135"/>
      <c r="N648" s="136"/>
      <c r="O648" s="136"/>
      <c r="P648" s="136"/>
      <c r="Q648" s="136"/>
      <c r="R648" s="136"/>
      <c r="S648" s="136"/>
      <c r="T648" s="136"/>
      <c r="U648" s="136"/>
    </row>
    <row r="649" spans="13:21" x14ac:dyDescent="0.35">
      <c r="M649" s="135"/>
      <c r="N649" s="136"/>
      <c r="O649" s="136"/>
      <c r="P649" s="136"/>
      <c r="Q649" s="136"/>
      <c r="R649" s="136"/>
      <c r="S649" s="136"/>
      <c r="T649" s="136"/>
      <c r="U649" s="136"/>
    </row>
    <row r="650" spans="13:21" x14ac:dyDescent="0.35">
      <c r="M650" s="135"/>
      <c r="N650" s="136"/>
      <c r="O650" s="136"/>
      <c r="P650" s="136"/>
      <c r="Q650" s="136"/>
      <c r="R650" s="136"/>
      <c r="S650" s="136"/>
      <c r="T650" s="136"/>
      <c r="U650" s="136"/>
    </row>
    <row r="651" spans="13:21" x14ac:dyDescent="0.35">
      <c r="M651" s="135"/>
      <c r="N651" s="136"/>
      <c r="O651" s="136"/>
      <c r="P651" s="136"/>
      <c r="Q651" s="136"/>
      <c r="R651" s="136"/>
      <c r="S651" s="136"/>
      <c r="T651" s="136"/>
      <c r="U651" s="136"/>
    </row>
    <row r="652" spans="13:21" x14ac:dyDescent="0.35">
      <c r="M652" s="135"/>
      <c r="N652" s="136"/>
      <c r="O652" s="136"/>
      <c r="P652" s="136"/>
      <c r="Q652" s="136"/>
      <c r="R652" s="136"/>
      <c r="S652" s="136"/>
      <c r="T652" s="136"/>
      <c r="U652" s="136"/>
    </row>
    <row r="653" spans="13:21" x14ac:dyDescent="0.35">
      <c r="M653" s="135"/>
      <c r="N653" s="136"/>
      <c r="O653" s="136"/>
      <c r="P653" s="136"/>
      <c r="Q653" s="136"/>
      <c r="R653" s="136"/>
      <c r="S653" s="136"/>
      <c r="T653" s="136"/>
      <c r="U653" s="136"/>
    </row>
    <row r="654" spans="13:21" x14ac:dyDescent="0.35">
      <c r="M654" s="135"/>
      <c r="N654" s="136"/>
      <c r="O654" s="136"/>
      <c r="P654" s="136"/>
      <c r="Q654" s="136"/>
      <c r="R654" s="136"/>
      <c r="S654" s="136"/>
      <c r="T654" s="136"/>
      <c r="U654" s="136"/>
    </row>
    <row r="655" spans="13:21" x14ac:dyDescent="0.35">
      <c r="M655" s="135"/>
      <c r="N655" s="136"/>
      <c r="O655" s="136"/>
      <c r="P655" s="136"/>
      <c r="Q655" s="136"/>
      <c r="R655" s="136"/>
      <c r="S655" s="136"/>
      <c r="T655" s="136"/>
      <c r="U655" s="136"/>
    </row>
    <row r="656" spans="13:21" x14ac:dyDescent="0.35">
      <c r="M656" s="135"/>
      <c r="N656" s="136"/>
      <c r="O656" s="136"/>
      <c r="P656" s="136"/>
      <c r="Q656" s="136"/>
      <c r="R656" s="136"/>
      <c r="S656" s="136"/>
      <c r="T656" s="136"/>
      <c r="U656" s="136"/>
    </row>
    <row r="657" spans="13:21" x14ac:dyDescent="0.35">
      <c r="M657" s="135"/>
      <c r="N657" s="136"/>
      <c r="O657" s="136"/>
      <c r="P657" s="136"/>
      <c r="Q657" s="136"/>
      <c r="R657" s="136"/>
      <c r="S657" s="136"/>
      <c r="T657" s="136"/>
      <c r="U657" s="136"/>
    </row>
    <row r="658" spans="13:21" x14ac:dyDescent="0.35">
      <c r="M658" s="135"/>
      <c r="N658" s="136"/>
      <c r="O658" s="136"/>
      <c r="P658" s="136"/>
      <c r="Q658" s="136"/>
      <c r="R658" s="136"/>
      <c r="S658" s="136"/>
      <c r="T658" s="136"/>
      <c r="U658" s="136"/>
    </row>
    <row r="659" spans="13:21" x14ac:dyDescent="0.35">
      <c r="M659" s="135"/>
      <c r="N659" s="136"/>
      <c r="O659" s="136"/>
      <c r="P659" s="136"/>
      <c r="Q659" s="136"/>
      <c r="R659" s="136"/>
      <c r="S659" s="136"/>
      <c r="T659" s="136"/>
      <c r="U659" s="136"/>
    </row>
    <row r="660" spans="13:21" x14ac:dyDescent="0.35">
      <c r="M660" s="135"/>
      <c r="N660" s="136"/>
      <c r="O660" s="136"/>
      <c r="P660" s="136"/>
      <c r="Q660" s="136"/>
      <c r="R660" s="136"/>
      <c r="S660" s="136"/>
      <c r="T660" s="136"/>
      <c r="U660" s="136"/>
    </row>
    <row r="661" spans="13:21" x14ac:dyDescent="0.35">
      <c r="M661" s="135"/>
      <c r="N661" s="136"/>
      <c r="O661" s="136"/>
      <c r="P661" s="136"/>
      <c r="Q661" s="136"/>
      <c r="R661" s="136"/>
      <c r="S661" s="136"/>
      <c r="T661" s="136"/>
      <c r="U661" s="136"/>
    </row>
    <row r="662" spans="13:21" x14ac:dyDescent="0.35">
      <c r="M662" s="135"/>
      <c r="N662" s="136"/>
      <c r="O662" s="136"/>
      <c r="P662" s="136"/>
      <c r="Q662" s="136"/>
      <c r="R662" s="136"/>
      <c r="S662" s="136"/>
      <c r="T662" s="136"/>
      <c r="U662" s="136"/>
    </row>
    <row r="663" spans="13:21" x14ac:dyDescent="0.35">
      <c r="M663" s="135"/>
      <c r="N663" s="136"/>
      <c r="O663" s="136"/>
      <c r="P663" s="136"/>
      <c r="Q663" s="136"/>
      <c r="R663" s="136"/>
      <c r="S663" s="136"/>
      <c r="T663" s="136"/>
      <c r="U663" s="136"/>
    </row>
    <row r="664" spans="13:21" x14ac:dyDescent="0.35">
      <c r="M664" s="135"/>
      <c r="N664" s="136"/>
      <c r="O664" s="136"/>
      <c r="P664" s="136"/>
      <c r="Q664" s="136"/>
      <c r="R664" s="136"/>
      <c r="S664" s="136"/>
      <c r="T664" s="136"/>
      <c r="U664" s="136"/>
    </row>
    <row r="665" spans="13:21" x14ac:dyDescent="0.35">
      <c r="M665" s="135"/>
      <c r="N665" s="136"/>
      <c r="O665" s="136"/>
      <c r="P665" s="136"/>
      <c r="Q665" s="136"/>
      <c r="R665" s="136"/>
      <c r="S665" s="136"/>
      <c r="T665" s="136"/>
      <c r="U665" s="136"/>
    </row>
    <row r="666" spans="13:21" x14ac:dyDescent="0.35">
      <c r="M666" s="135"/>
      <c r="N666" s="136"/>
      <c r="O666" s="136"/>
      <c r="P666" s="136"/>
      <c r="Q666" s="136"/>
      <c r="R666" s="136"/>
      <c r="S666" s="136"/>
      <c r="T666" s="136"/>
      <c r="U666" s="136"/>
    </row>
    <row r="667" spans="13:21" x14ac:dyDescent="0.35">
      <c r="M667" s="135"/>
      <c r="N667" s="136"/>
      <c r="O667" s="136"/>
      <c r="P667" s="136"/>
      <c r="Q667" s="136"/>
      <c r="R667" s="136"/>
      <c r="S667" s="136"/>
      <c r="T667" s="136"/>
      <c r="U667" s="136"/>
    </row>
    <row r="668" spans="13:21" x14ac:dyDescent="0.35">
      <c r="M668" s="135"/>
      <c r="N668" s="136"/>
      <c r="O668" s="136"/>
      <c r="P668" s="136"/>
      <c r="Q668" s="136"/>
      <c r="R668" s="136"/>
      <c r="S668" s="136"/>
      <c r="T668" s="136"/>
      <c r="U668" s="136"/>
    </row>
    <row r="669" spans="13:21" x14ac:dyDescent="0.35">
      <c r="M669" s="135"/>
      <c r="N669" s="136"/>
      <c r="O669" s="136"/>
      <c r="P669" s="136"/>
      <c r="Q669" s="136"/>
      <c r="R669" s="136"/>
      <c r="S669" s="136"/>
      <c r="T669" s="136"/>
      <c r="U669" s="136"/>
    </row>
    <row r="670" spans="13:21" x14ac:dyDescent="0.35">
      <c r="M670" s="135"/>
      <c r="N670" s="136"/>
      <c r="O670" s="136"/>
      <c r="P670" s="136"/>
      <c r="Q670" s="136"/>
      <c r="R670" s="136"/>
      <c r="S670" s="136"/>
      <c r="T670" s="136"/>
      <c r="U670" s="136"/>
    </row>
    <row r="671" spans="13:21" x14ac:dyDescent="0.35">
      <c r="M671" s="135"/>
      <c r="N671" s="136"/>
      <c r="O671" s="136"/>
      <c r="P671" s="136"/>
      <c r="Q671" s="136"/>
      <c r="R671" s="136"/>
      <c r="S671" s="136"/>
      <c r="T671" s="136"/>
      <c r="U671" s="136"/>
    </row>
    <row r="672" spans="13:21" x14ac:dyDescent="0.35">
      <c r="M672" s="135"/>
      <c r="N672" s="136"/>
      <c r="O672" s="136"/>
      <c r="P672" s="136"/>
      <c r="Q672" s="136"/>
      <c r="R672" s="136"/>
      <c r="S672" s="136"/>
      <c r="T672" s="136"/>
      <c r="U672" s="136"/>
    </row>
    <row r="673" spans="13:21" x14ac:dyDescent="0.35">
      <c r="M673" s="135"/>
      <c r="N673" s="136"/>
      <c r="O673" s="136"/>
      <c r="P673" s="136"/>
      <c r="Q673" s="136"/>
      <c r="R673" s="136"/>
      <c r="S673" s="136"/>
      <c r="T673" s="136"/>
      <c r="U673" s="136"/>
    </row>
    <row r="674" spans="13:21" x14ac:dyDescent="0.35">
      <c r="M674" s="135"/>
      <c r="N674" s="136"/>
      <c r="O674" s="136"/>
      <c r="P674" s="136"/>
      <c r="Q674" s="136"/>
      <c r="R674" s="136"/>
      <c r="S674" s="136"/>
      <c r="T674" s="136"/>
      <c r="U674" s="136"/>
    </row>
    <row r="675" spans="13:21" x14ac:dyDescent="0.35">
      <c r="M675" s="135"/>
      <c r="N675" s="136"/>
      <c r="O675" s="136"/>
      <c r="P675" s="136"/>
      <c r="Q675" s="136"/>
      <c r="R675" s="136"/>
      <c r="S675" s="136"/>
      <c r="T675" s="136"/>
      <c r="U675" s="136"/>
    </row>
    <row r="676" spans="13:21" x14ac:dyDescent="0.35">
      <c r="M676" s="135"/>
      <c r="N676" s="136"/>
      <c r="O676" s="136"/>
      <c r="P676" s="136"/>
      <c r="Q676" s="136"/>
      <c r="R676" s="136"/>
      <c r="S676" s="136"/>
      <c r="T676" s="136"/>
      <c r="U676" s="136"/>
    </row>
    <row r="677" spans="13:21" x14ac:dyDescent="0.35">
      <c r="M677" s="135"/>
      <c r="N677" s="136"/>
      <c r="O677" s="136"/>
      <c r="P677" s="136"/>
      <c r="Q677" s="136"/>
      <c r="R677" s="136"/>
      <c r="S677" s="136"/>
      <c r="T677" s="136"/>
      <c r="U677" s="136"/>
    </row>
    <row r="678" spans="13:21" x14ac:dyDescent="0.35">
      <c r="M678" s="135"/>
      <c r="N678" s="136"/>
      <c r="O678" s="136"/>
      <c r="P678" s="136"/>
      <c r="Q678" s="136"/>
      <c r="R678" s="136"/>
      <c r="S678" s="136"/>
      <c r="T678" s="136"/>
      <c r="U678" s="136"/>
    </row>
    <row r="679" spans="13:21" x14ac:dyDescent="0.35">
      <c r="M679" s="135"/>
      <c r="N679" s="136"/>
      <c r="O679" s="136"/>
      <c r="P679" s="136"/>
      <c r="Q679" s="136"/>
      <c r="R679" s="136"/>
      <c r="S679" s="136"/>
      <c r="T679" s="136"/>
      <c r="U679" s="136"/>
    </row>
    <row r="680" spans="13:21" x14ac:dyDescent="0.35">
      <c r="M680" s="135"/>
      <c r="N680" s="136"/>
      <c r="O680" s="136"/>
      <c r="P680" s="136"/>
      <c r="Q680" s="136"/>
      <c r="R680" s="136"/>
      <c r="S680" s="136"/>
      <c r="T680" s="136"/>
      <c r="U680" s="136"/>
    </row>
    <row r="681" spans="13:21" x14ac:dyDescent="0.35">
      <c r="M681" s="135"/>
      <c r="N681" s="136"/>
      <c r="O681" s="136"/>
      <c r="P681" s="136"/>
      <c r="Q681" s="136"/>
      <c r="R681" s="136"/>
      <c r="S681" s="136"/>
      <c r="T681" s="136"/>
      <c r="U681" s="136"/>
    </row>
    <row r="682" spans="13:21" x14ac:dyDescent="0.35">
      <c r="M682" s="135"/>
      <c r="N682" s="136"/>
      <c r="O682" s="136"/>
      <c r="P682" s="136"/>
      <c r="Q682" s="136"/>
      <c r="R682" s="136"/>
      <c r="S682" s="136"/>
      <c r="T682" s="136"/>
      <c r="U682" s="136"/>
    </row>
    <row r="683" spans="13:21" x14ac:dyDescent="0.35">
      <c r="M683" s="135"/>
      <c r="N683" s="136"/>
      <c r="O683" s="136"/>
      <c r="P683" s="136"/>
      <c r="Q683" s="136"/>
      <c r="R683" s="136"/>
      <c r="S683" s="136"/>
      <c r="T683" s="136"/>
      <c r="U683" s="136"/>
    </row>
    <row r="684" spans="13:21" x14ac:dyDescent="0.35">
      <c r="M684" s="135"/>
      <c r="N684" s="136"/>
      <c r="O684" s="136"/>
      <c r="P684" s="136"/>
      <c r="Q684" s="136"/>
      <c r="R684" s="136"/>
      <c r="S684" s="136"/>
      <c r="T684" s="136"/>
      <c r="U684" s="136"/>
    </row>
    <row r="685" spans="13:21" x14ac:dyDescent="0.35">
      <c r="M685" s="135"/>
      <c r="N685" s="136"/>
      <c r="O685" s="136"/>
      <c r="P685" s="136"/>
      <c r="Q685" s="136"/>
      <c r="R685" s="136"/>
      <c r="S685" s="136"/>
      <c r="T685" s="136"/>
      <c r="U685" s="136"/>
    </row>
    <row r="686" spans="13:21" x14ac:dyDescent="0.35">
      <c r="M686" s="135"/>
      <c r="N686" s="136"/>
      <c r="O686" s="136"/>
      <c r="P686" s="136"/>
      <c r="Q686" s="136"/>
      <c r="R686" s="136"/>
      <c r="S686" s="136"/>
      <c r="T686" s="136"/>
      <c r="U686" s="136"/>
    </row>
    <row r="687" spans="13:21" x14ac:dyDescent="0.35">
      <c r="M687" s="135"/>
      <c r="N687" s="136"/>
      <c r="O687" s="136"/>
      <c r="P687" s="136"/>
      <c r="Q687" s="136"/>
      <c r="R687" s="136"/>
      <c r="S687" s="136"/>
      <c r="T687" s="136"/>
      <c r="U687" s="136"/>
    </row>
    <row r="688" spans="13:21" x14ac:dyDescent="0.35">
      <c r="M688" s="135"/>
      <c r="N688" s="136"/>
      <c r="O688" s="136"/>
      <c r="P688" s="136"/>
      <c r="Q688" s="136"/>
      <c r="R688" s="136"/>
      <c r="S688" s="136"/>
      <c r="T688" s="136"/>
      <c r="U688" s="136"/>
    </row>
    <row r="689" spans="13:21" x14ac:dyDescent="0.35">
      <c r="M689" s="135"/>
      <c r="N689" s="136"/>
      <c r="O689" s="136"/>
      <c r="P689" s="136"/>
      <c r="Q689" s="136"/>
      <c r="R689" s="136"/>
      <c r="S689" s="136"/>
      <c r="T689" s="136"/>
      <c r="U689" s="136"/>
    </row>
    <row r="690" spans="13:21" x14ac:dyDescent="0.35">
      <c r="M690" s="135"/>
      <c r="N690" s="136"/>
      <c r="O690" s="136"/>
      <c r="P690" s="136"/>
      <c r="Q690" s="136"/>
      <c r="R690" s="136"/>
      <c r="S690" s="136"/>
      <c r="T690" s="136"/>
      <c r="U690" s="136"/>
    </row>
    <row r="691" spans="13:21" x14ac:dyDescent="0.35">
      <c r="M691" s="135"/>
      <c r="N691" s="136"/>
      <c r="O691" s="136"/>
      <c r="P691" s="136"/>
      <c r="Q691" s="136"/>
      <c r="R691" s="136"/>
      <c r="S691" s="136"/>
      <c r="T691" s="136"/>
      <c r="U691" s="136"/>
    </row>
    <row r="692" spans="13:21" x14ac:dyDescent="0.35">
      <c r="M692" s="135"/>
      <c r="N692" s="136"/>
      <c r="O692" s="136"/>
      <c r="P692" s="136"/>
      <c r="Q692" s="136"/>
      <c r="R692" s="136"/>
      <c r="S692" s="136"/>
      <c r="T692" s="136"/>
      <c r="U692" s="136"/>
    </row>
    <row r="693" spans="13:21" x14ac:dyDescent="0.35">
      <c r="M693" s="135"/>
      <c r="N693" s="136"/>
      <c r="O693" s="136"/>
      <c r="P693" s="136"/>
      <c r="Q693" s="136"/>
      <c r="R693" s="136"/>
      <c r="S693" s="136"/>
      <c r="T693" s="136"/>
      <c r="U693" s="136"/>
    </row>
    <row r="694" spans="13:21" x14ac:dyDescent="0.35">
      <c r="M694" s="135"/>
      <c r="N694" s="136"/>
      <c r="O694" s="136"/>
      <c r="P694" s="136"/>
      <c r="Q694" s="136"/>
      <c r="R694" s="136"/>
      <c r="S694" s="136"/>
      <c r="T694" s="136"/>
      <c r="U694" s="136"/>
    </row>
    <row r="695" spans="13:21" x14ac:dyDescent="0.35">
      <c r="M695" s="135"/>
      <c r="N695" s="136"/>
      <c r="O695" s="136"/>
      <c r="P695" s="136"/>
      <c r="Q695" s="136"/>
      <c r="R695" s="136"/>
      <c r="S695" s="136"/>
      <c r="T695" s="136"/>
      <c r="U695" s="136"/>
    </row>
    <row r="696" spans="13:21" x14ac:dyDescent="0.35">
      <c r="M696" s="135"/>
      <c r="N696" s="136"/>
      <c r="O696" s="136"/>
      <c r="P696" s="136"/>
      <c r="Q696" s="136"/>
      <c r="R696" s="136"/>
      <c r="S696" s="136"/>
      <c r="T696" s="136"/>
      <c r="U696" s="136"/>
    </row>
    <row r="697" spans="13:21" x14ac:dyDescent="0.35">
      <c r="M697" s="135"/>
      <c r="N697" s="136"/>
      <c r="O697" s="136"/>
      <c r="P697" s="136"/>
      <c r="Q697" s="136"/>
      <c r="R697" s="136"/>
      <c r="S697" s="136"/>
      <c r="T697" s="136"/>
      <c r="U697" s="136"/>
    </row>
    <row r="698" spans="13:21" x14ac:dyDescent="0.35">
      <c r="M698" s="135"/>
      <c r="N698" s="136"/>
      <c r="O698" s="136"/>
      <c r="P698" s="136"/>
      <c r="Q698" s="136"/>
      <c r="R698" s="136"/>
      <c r="S698" s="136"/>
      <c r="T698" s="136"/>
      <c r="U698" s="136"/>
    </row>
    <row r="699" spans="13:21" x14ac:dyDescent="0.35">
      <c r="M699" s="135"/>
      <c r="N699" s="136"/>
      <c r="O699" s="136"/>
      <c r="P699" s="136"/>
      <c r="Q699" s="136"/>
      <c r="R699" s="136"/>
      <c r="S699" s="136"/>
      <c r="T699" s="136"/>
      <c r="U699" s="136"/>
    </row>
    <row r="700" spans="13:21" x14ac:dyDescent="0.35">
      <c r="M700" s="135"/>
      <c r="N700" s="136"/>
      <c r="O700" s="136"/>
      <c r="P700" s="136"/>
      <c r="Q700" s="136"/>
      <c r="R700" s="136"/>
      <c r="S700" s="136"/>
      <c r="T700" s="136"/>
      <c r="U700" s="136"/>
    </row>
    <row r="701" spans="13:21" x14ac:dyDescent="0.35">
      <c r="M701" s="135"/>
      <c r="N701" s="136"/>
      <c r="O701" s="136"/>
      <c r="P701" s="136"/>
      <c r="Q701" s="136"/>
      <c r="R701" s="136"/>
      <c r="S701" s="136"/>
      <c r="T701" s="136"/>
      <c r="U701" s="136"/>
    </row>
    <row r="702" spans="13:21" x14ac:dyDescent="0.35">
      <c r="M702" s="135"/>
      <c r="N702" s="136"/>
      <c r="O702" s="136"/>
      <c r="P702" s="136"/>
      <c r="Q702" s="136"/>
      <c r="R702" s="136"/>
      <c r="S702" s="136"/>
      <c r="T702" s="136"/>
      <c r="U702" s="136"/>
    </row>
    <row r="703" spans="13:21" x14ac:dyDescent="0.35">
      <c r="M703" s="135"/>
      <c r="N703" s="136"/>
      <c r="O703" s="136"/>
      <c r="P703" s="136"/>
      <c r="Q703" s="136"/>
      <c r="R703" s="136"/>
      <c r="S703" s="136"/>
      <c r="T703" s="136"/>
      <c r="U703" s="136"/>
    </row>
    <row r="704" spans="13:21" x14ac:dyDescent="0.35">
      <c r="M704" s="135"/>
      <c r="N704" s="136"/>
      <c r="O704" s="136"/>
      <c r="P704" s="136"/>
      <c r="Q704" s="136"/>
      <c r="R704" s="136"/>
      <c r="S704" s="136"/>
      <c r="T704" s="136"/>
      <c r="U704" s="136"/>
    </row>
    <row r="705" spans="13:21" x14ac:dyDescent="0.35">
      <c r="M705" s="135"/>
      <c r="N705" s="136"/>
      <c r="O705" s="136"/>
      <c r="P705" s="136"/>
      <c r="Q705" s="136"/>
      <c r="R705" s="136"/>
      <c r="S705" s="136"/>
      <c r="T705" s="136"/>
      <c r="U705" s="136"/>
    </row>
    <row r="706" spans="13:21" x14ac:dyDescent="0.35">
      <c r="M706" s="135"/>
      <c r="N706" s="136"/>
      <c r="O706" s="136"/>
      <c r="P706" s="136"/>
      <c r="Q706" s="136"/>
      <c r="R706" s="136"/>
      <c r="S706" s="136"/>
      <c r="T706" s="136"/>
      <c r="U706" s="136"/>
    </row>
    <row r="707" spans="13:21" x14ac:dyDescent="0.35">
      <c r="M707" s="135"/>
      <c r="N707" s="136"/>
      <c r="O707" s="136"/>
      <c r="P707" s="136"/>
      <c r="Q707" s="136"/>
      <c r="R707" s="136"/>
      <c r="S707" s="136"/>
      <c r="T707" s="136"/>
      <c r="U707" s="136"/>
    </row>
    <row r="708" spans="13:21" x14ac:dyDescent="0.35">
      <c r="M708" s="135"/>
      <c r="N708" s="136"/>
      <c r="O708" s="136"/>
      <c r="P708" s="136"/>
      <c r="Q708" s="136"/>
      <c r="R708" s="136"/>
      <c r="S708" s="136"/>
      <c r="T708" s="136"/>
      <c r="U708" s="136"/>
    </row>
    <row r="709" spans="13:21" x14ac:dyDescent="0.35">
      <c r="M709" s="135"/>
      <c r="N709" s="136"/>
      <c r="O709" s="136"/>
      <c r="P709" s="136"/>
      <c r="Q709" s="136"/>
      <c r="R709" s="136"/>
      <c r="S709" s="136"/>
      <c r="T709" s="136"/>
      <c r="U709" s="136"/>
    </row>
    <row r="710" spans="13:21" x14ac:dyDescent="0.35">
      <c r="M710" s="135"/>
      <c r="N710" s="136"/>
      <c r="O710" s="136"/>
      <c r="P710" s="136"/>
      <c r="Q710" s="136"/>
      <c r="R710" s="136"/>
      <c r="S710" s="136"/>
      <c r="T710" s="136"/>
      <c r="U710" s="136"/>
    </row>
    <row r="711" spans="13:21" x14ac:dyDescent="0.35">
      <c r="M711" s="135"/>
      <c r="N711" s="136"/>
      <c r="O711" s="136"/>
      <c r="P711" s="136"/>
      <c r="Q711" s="136"/>
      <c r="R711" s="136"/>
      <c r="S711" s="136"/>
      <c r="T711" s="136"/>
      <c r="U711" s="136"/>
    </row>
    <row r="712" spans="13:21" x14ac:dyDescent="0.35">
      <c r="M712" s="135"/>
      <c r="N712" s="136"/>
      <c r="O712" s="136"/>
      <c r="P712" s="136"/>
      <c r="Q712" s="136"/>
      <c r="R712" s="136"/>
      <c r="S712" s="136"/>
      <c r="T712" s="136"/>
      <c r="U712" s="136"/>
    </row>
    <row r="713" spans="13:21" x14ac:dyDescent="0.35">
      <c r="M713" s="135"/>
      <c r="N713" s="136"/>
      <c r="O713" s="136"/>
      <c r="P713" s="136"/>
      <c r="Q713" s="136"/>
      <c r="R713" s="136"/>
      <c r="S713" s="136"/>
      <c r="T713" s="136"/>
      <c r="U713" s="136"/>
    </row>
    <row r="714" spans="13:21" x14ac:dyDescent="0.35">
      <c r="M714" s="135"/>
      <c r="N714" s="136"/>
      <c r="O714" s="136"/>
      <c r="P714" s="136"/>
      <c r="Q714" s="136"/>
      <c r="R714" s="136"/>
      <c r="S714" s="136"/>
      <c r="T714" s="136"/>
      <c r="U714" s="136"/>
    </row>
    <row r="715" spans="13:21" x14ac:dyDescent="0.35">
      <c r="M715" s="135"/>
      <c r="N715" s="136"/>
      <c r="O715" s="136"/>
      <c r="P715" s="136"/>
      <c r="Q715" s="136"/>
      <c r="R715" s="136"/>
      <c r="S715" s="136"/>
      <c r="T715" s="136"/>
      <c r="U715" s="136"/>
    </row>
    <row r="716" spans="13:21" x14ac:dyDescent="0.35">
      <c r="M716" s="135"/>
      <c r="N716" s="136"/>
      <c r="O716" s="136"/>
      <c r="P716" s="136"/>
      <c r="Q716" s="136"/>
      <c r="R716" s="136"/>
      <c r="S716" s="136"/>
      <c r="T716" s="136"/>
      <c r="U716" s="136"/>
    </row>
    <row r="717" spans="13:21" x14ac:dyDescent="0.35">
      <c r="M717" s="135"/>
      <c r="N717" s="136"/>
      <c r="O717" s="136"/>
      <c r="P717" s="136"/>
      <c r="Q717" s="136"/>
      <c r="R717" s="136"/>
      <c r="S717" s="136"/>
      <c r="T717" s="136"/>
      <c r="U717" s="136"/>
    </row>
    <row r="718" spans="13:21" x14ac:dyDescent="0.35">
      <c r="M718" s="135"/>
      <c r="N718" s="136"/>
      <c r="O718" s="136"/>
      <c r="P718" s="136"/>
      <c r="Q718" s="136"/>
      <c r="R718" s="136"/>
      <c r="S718" s="136"/>
      <c r="T718" s="136"/>
      <c r="U718" s="136"/>
    </row>
    <row r="719" spans="13:21" x14ac:dyDescent="0.35">
      <c r="M719" s="135"/>
      <c r="N719" s="136"/>
      <c r="O719" s="136"/>
      <c r="P719" s="136"/>
      <c r="Q719" s="136"/>
      <c r="R719" s="136"/>
      <c r="S719" s="136"/>
      <c r="T719" s="136"/>
      <c r="U719" s="136"/>
    </row>
    <row r="720" spans="13:21" x14ac:dyDescent="0.35">
      <c r="M720" s="135"/>
      <c r="N720" s="136"/>
      <c r="O720" s="136"/>
      <c r="P720" s="136"/>
      <c r="Q720" s="136"/>
      <c r="R720" s="136"/>
      <c r="S720" s="136"/>
      <c r="T720" s="136"/>
      <c r="U720" s="136"/>
    </row>
    <row r="721" spans="13:21" x14ac:dyDescent="0.35">
      <c r="M721" s="135"/>
      <c r="N721" s="136"/>
      <c r="O721" s="136"/>
      <c r="P721" s="136"/>
      <c r="Q721" s="136"/>
      <c r="R721" s="136"/>
      <c r="S721" s="136"/>
      <c r="T721" s="136"/>
      <c r="U721" s="136"/>
    </row>
    <row r="722" spans="13:21" x14ac:dyDescent="0.35">
      <c r="M722" s="135"/>
      <c r="N722" s="136"/>
      <c r="O722" s="136"/>
      <c r="P722" s="136"/>
      <c r="Q722" s="136"/>
      <c r="R722" s="136"/>
      <c r="S722" s="136"/>
      <c r="T722" s="136"/>
      <c r="U722" s="136"/>
    </row>
    <row r="723" spans="13:21" x14ac:dyDescent="0.35">
      <c r="M723" s="135"/>
      <c r="N723" s="136"/>
      <c r="O723" s="136"/>
      <c r="P723" s="136"/>
      <c r="Q723" s="136"/>
      <c r="R723" s="136"/>
      <c r="S723" s="136"/>
      <c r="T723" s="136"/>
      <c r="U723" s="136"/>
    </row>
    <row r="724" spans="13:21" x14ac:dyDescent="0.35">
      <c r="M724" s="135"/>
      <c r="N724" s="136"/>
      <c r="O724" s="136"/>
      <c r="P724" s="136"/>
      <c r="Q724" s="136"/>
      <c r="R724" s="136"/>
      <c r="S724" s="136"/>
      <c r="T724" s="136"/>
      <c r="U724" s="136"/>
    </row>
    <row r="725" spans="13:21" x14ac:dyDescent="0.35">
      <c r="M725" s="135"/>
      <c r="N725" s="136"/>
      <c r="O725" s="136"/>
      <c r="P725" s="136"/>
      <c r="Q725" s="136"/>
      <c r="R725" s="136"/>
      <c r="S725" s="136"/>
      <c r="T725" s="136"/>
      <c r="U725" s="136"/>
    </row>
    <row r="726" spans="13:21" x14ac:dyDescent="0.35">
      <c r="M726" s="135"/>
      <c r="N726" s="136"/>
      <c r="O726" s="136"/>
      <c r="P726" s="136"/>
      <c r="Q726" s="136"/>
      <c r="R726" s="136"/>
      <c r="S726" s="136"/>
      <c r="T726" s="136"/>
      <c r="U726" s="136"/>
    </row>
    <row r="727" spans="13:21" x14ac:dyDescent="0.35">
      <c r="M727" s="135"/>
      <c r="N727" s="136"/>
      <c r="O727" s="136"/>
      <c r="P727" s="136"/>
      <c r="Q727" s="136"/>
      <c r="R727" s="136"/>
      <c r="S727" s="136"/>
      <c r="T727" s="136"/>
      <c r="U727" s="136"/>
    </row>
    <row r="728" spans="13:21" x14ac:dyDescent="0.35">
      <c r="M728" s="135"/>
      <c r="N728" s="136"/>
      <c r="O728" s="136"/>
      <c r="P728" s="136"/>
      <c r="Q728" s="136"/>
      <c r="R728" s="136"/>
      <c r="S728" s="136"/>
      <c r="T728" s="136"/>
      <c r="U728" s="136"/>
    </row>
    <row r="729" spans="13:21" x14ac:dyDescent="0.35">
      <c r="M729" s="135"/>
      <c r="N729" s="136"/>
      <c r="O729" s="136"/>
      <c r="P729" s="136"/>
      <c r="Q729" s="136"/>
      <c r="R729" s="136"/>
      <c r="S729" s="136"/>
      <c r="T729" s="136"/>
      <c r="U729" s="136"/>
    </row>
    <row r="730" spans="13:21" x14ac:dyDescent="0.35">
      <c r="M730" s="135"/>
      <c r="N730" s="136"/>
      <c r="O730" s="136"/>
      <c r="P730" s="136"/>
      <c r="Q730" s="136"/>
      <c r="R730" s="136"/>
      <c r="S730" s="136"/>
      <c r="T730" s="136"/>
      <c r="U730" s="136"/>
    </row>
    <row r="731" spans="13:21" x14ac:dyDescent="0.35">
      <c r="M731" s="135"/>
      <c r="N731" s="136"/>
      <c r="O731" s="136"/>
      <c r="P731" s="136"/>
      <c r="Q731" s="136"/>
      <c r="R731" s="136"/>
      <c r="S731" s="136"/>
      <c r="T731" s="136"/>
      <c r="U731" s="136"/>
    </row>
    <row r="732" spans="13:21" x14ac:dyDescent="0.35">
      <c r="M732" s="135"/>
      <c r="N732" s="136"/>
      <c r="O732" s="136"/>
      <c r="P732" s="136"/>
      <c r="Q732" s="136"/>
      <c r="R732" s="136"/>
      <c r="S732" s="136"/>
      <c r="T732" s="136"/>
      <c r="U732" s="136"/>
    </row>
    <row r="733" spans="13:21" x14ac:dyDescent="0.35">
      <c r="M733" s="135"/>
      <c r="N733" s="136"/>
      <c r="O733" s="136"/>
      <c r="P733" s="136"/>
      <c r="Q733" s="136"/>
      <c r="R733" s="136"/>
      <c r="S733" s="136"/>
      <c r="T733" s="136"/>
      <c r="U733" s="136"/>
    </row>
    <row r="734" spans="13:21" x14ac:dyDescent="0.35">
      <c r="M734" s="135"/>
      <c r="N734" s="136"/>
      <c r="O734" s="136"/>
      <c r="P734" s="136"/>
      <c r="Q734" s="136"/>
      <c r="R734" s="136"/>
      <c r="S734" s="136"/>
      <c r="T734" s="136"/>
      <c r="U734" s="136"/>
    </row>
    <row r="735" spans="13:21" x14ac:dyDescent="0.35">
      <c r="M735" s="135"/>
      <c r="N735" s="136"/>
      <c r="O735" s="136"/>
      <c r="P735" s="136"/>
      <c r="Q735" s="136"/>
      <c r="R735" s="136"/>
      <c r="S735" s="136"/>
      <c r="T735" s="136"/>
      <c r="U735" s="136"/>
    </row>
    <row r="736" spans="13:21" x14ac:dyDescent="0.35">
      <c r="M736" s="135"/>
      <c r="N736" s="136"/>
      <c r="O736" s="136"/>
      <c r="P736" s="136"/>
      <c r="Q736" s="136"/>
      <c r="R736" s="136"/>
      <c r="S736" s="136"/>
      <c r="T736" s="136"/>
      <c r="U736" s="136"/>
    </row>
    <row r="737" spans="13:21" x14ac:dyDescent="0.35">
      <c r="M737" s="135"/>
      <c r="N737" s="136"/>
      <c r="O737" s="136"/>
      <c r="P737" s="136"/>
      <c r="Q737" s="136"/>
      <c r="R737" s="136"/>
      <c r="S737" s="136"/>
      <c r="T737" s="136"/>
      <c r="U737" s="136"/>
    </row>
    <row r="738" spans="13:21" x14ac:dyDescent="0.35">
      <c r="M738" s="135"/>
      <c r="N738" s="136"/>
      <c r="O738" s="136"/>
      <c r="P738" s="136"/>
      <c r="Q738" s="136"/>
      <c r="R738" s="136"/>
      <c r="S738" s="136"/>
      <c r="T738" s="136"/>
      <c r="U738" s="136"/>
    </row>
    <row r="739" spans="13:21" x14ac:dyDescent="0.35">
      <c r="M739" s="135"/>
      <c r="N739" s="136"/>
      <c r="O739" s="136"/>
      <c r="P739" s="136"/>
      <c r="Q739" s="136"/>
      <c r="R739" s="136"/>
      <c r="S739" s="136"/>
      <c r="T739" s="136"/>
      <c r="U739" s="136"/>
    </row>
    <row r="740" spans="13:21" x14ac:dyDescent="0.35">
      <c r="M740" s="135"/>
      <c r="N740" s="136"/>
      <c r="O740" s="136"/>
      <c r="P740" s="136"/>
      <c r="Q740" s="136"/>
      <c r="R740" s="136"/>
      <c r="S740" s="136"/>
      <c r="T740" s="136"/>
      <c r="U740" s="136"/>
    </row>
    <row r="741" spans="13:21" x14ac:dyDescent="0.35">
      <c r="M741" s="135"/>
      <c r="N741" s="136"/>
      <c r="O741" s="136"/>
      <c r="P741" s="136"/>
      <c r="Q741" s="136"/>
      <c r="R741" s="136"/>
      <c r="S741" s="136"/>
      <c r="T741" s="136"/>
      <c r="U741" s="136"/>
    </row>
    <row r="742" spans="13:21" x14ac:dyDescent="0.35">
      <c r="M742" s="135"/>
      <c r="N742" s="136"/>
      <c r="O742" s="136"/>
      <c r="P742" s="136"/>
      <c r="Q742" s="136"/>
      <c r="R742" s="136"/>
      <c r="S742" s="136"/>
      <c r="T742" s="136"/>
      <c r="U742" s="136"/>
    </row>
    <row r="743" spans="13:21" x14ac:dyDescent="0.35">
      <c r="M743" s="135"/>
      <c r="N743" s="136"/>
      <c r="O743" s="136"/>
      <c r="P743" s="136"/>
      <c r="Q743" s="136"/>
      <c r="R743" s="136"/>
      <c r="S743" s="136"/>
      <c r="T743" s="136"/>
      <c r="U743" s="136"/>
    </row>
    <row r="744" spans="13:21" x14ac:dyDescent="0.35">
      <c r="M744" s="135"/>
      <c r="N744" s="136"/>
      <c r="O744" s="136"/>
      <c r="P744" s="136"/>
      <c r="Q744" s="136"/>
      <c r="R744" s="136"/>
      <c r="S744" s="136"/>
      <c r="T744" s="136"/>
      <c r="U744" s="136"/>
    </row>
    <row r="745" spans="13:21" x14ac:dyDescent="0.35">
      <c r="M745" s="135"/>
      <c r="N745" s="136"/>
      <c r="O745" s="136"/>
      <c r="P745" s="136"/>
      <c r="Q745" s="136"/>
      <c r="R745" s="136"/>
      <c r="S745" s="136"/>
      <c r="T745" s="136"/>
      <c r="U745" s="136"/>
    </row>
    <row r="746" spans="13:21" x14ac:dyDescent="0.35">
      <c r="M746" s="135"/>
      <c r="N746" s="136"/>
      <c r="O746" s="136"/>
      <c r="P746" s="136"/>
      <c r="Q746" s="136"/>
      <c r="R746" s="136"/>
      <c r="S746" s="136"/>
      <c r="T746" s="136"/>
      <c r="U746" s="136"/>
    </row>
    <row r="747" spans="13:21" x14ac:dyDescent="0.35">
      <c r="M747" s="135"/>
      <c r="N747" s="136"/>
      <c r="O747" s="136"/>
      <c r="P747" s="136"/>
      <c r="Q747" s="136"/>
      <c r="R747" s="136"/>
      <c r="S747" s="136"/>
      <c r="T747" s="136"/>
      <c r="U747" s="136"/>
    </row>
    <row r="748" spans="13:21" x14ac:dyDescent="0.35">
      <c r="M748" s="135"/>
      <c r="N748" s="136"/>
      <c r="O748" s="136"/>
      <c r="P748" s="136"/>
      <c r="Q748" s="136"/>
      <c r="R748" s="136"/>
      <c r="S748" s="136"/>
      <c r="T748" s="136"/>
      <c r="U748" s="136"/>
    </row>
    <row r="749" spans="13:21" x14ac:dyDescent="0.35">
      <c r="M749" s="135"/>
      <c r="N749" s="136"/>
      <c r="O749" s="136"/>
      <c r="P749" s="136"/>
      <c r="Q749" s="136"/>
      <c r="R749" s="136"/>
      <c r="S749" s="136"/>
      <c r="T749" s="136"/>
      <c r="U749" s="136"/>
    </row>
    <row r="750" spans="13:21" x14ac:dyDescent="0.35">
      <c r="M750" s="135"/>
      <c r="N750" s="136"/>
      <c r="O750" s="136"/>
      <c r="P750" s="136"/>
      <c r="Q750" s="136"/>
      <c r="R750" s="136"/>
      <c r="S750" s="136"/>
      <c r="T750" s="136"/>
      <c r="U750" s="136"/>
    </row>
    <row r="751" spans="13:21" x14ac:dyDescent="0.35">
      <c r="M751" s="135"/>
      <c r="N751" s="136"/>
      <c r="O751" s="136"/>
      <c r="P751" s="136"/>
      <c r="Q751" s="136"/>
      <c r="R751" s="136"/>
      <c r="S751" s="136"/>
      <c r="T751" s="136"/>
      <c r="U751" s="136"/>
    </row>
    <row r="752" spans="13:21" x14ac:dyDescent="0.35">
      <c r="M752" s="135"/>
      <c r="N752" s="136"/>
      <c r="O752" s="136"/>
      <c r="P752" s="136"/>
      <c r="Q752" s="136"/>
      <c r="R752" s="136"/>
      <c r="S752" s="136"/>
      <c r="T752" s="136"/>
      <c r="U752" s="136"/>
    </row>
    <row r="753" spans="13:21" x14ac:dyDescent="0.35">
      <c r="M753" s="135"/>
      <c r="N753" s="136"/>
      <c r="O753" s="136"/>
      <c r="P753" s="136"/>
      <c r="Q753" s="136"/>
      <c r="R753" s="136"/>
      <c r="S753" s="136"/>
      <c r="T753" s="136"/>
      <c r="U753" s="136"/>
    </row>
    <row r="754" spans="13:21" x14ac:dyDescent="0.35">
      <c r="M754" s="135"/>
      <c r="N754" s="136"/>
      <c r="O754" s="136"/>
      <c r="P754" s="136"/>
      <c r="Q754" s="136"/>
      <c r="R754" s="136"/>
      <c r="S754" s="136"/>
      <c r="T754" s="136"/>
      <c r="U754" s="136"/>
    </row>
    <row r="755" spans="13:21" x14ac:dyDescent="0.35">
      <c r="M755" s="135"/>
      <c r="N755" s="136"/>
      <c r="O755" s="136"/>
      <c r="P755" s="136"/>
      <c r="Q755" s="136"/>
      <c r="R755" s="136"/>
      <c r="S755" s="136"/>
      <c r="T755" s="136"/>
      <c r="U755" s="136"/>
    </row>
    <row r="756" spans="13:21" x14ac:dyDescent="0.35">
      <c r="M756" s="135"/>
      <c r="N756" s="136"/>
      <c r="O756" s="136"/>
      <c r="P756" s="136"/>
      <c r="Q756" s="136"/>
      <c r="R756" s="136"/>
      <c r="S756" s="136"/>
      <c r="T756" s="136"/>
      <c r="U756" s="136"/>
    </row>
    <row r="757" spans="13:21" x14ac:dyDescent="0.35">
      <c r="M757" s="135"/>
      <c r="N757" s="136"/>
      <c r="O757" s="136"/>
      <c r="P757" s="136"/>
      <c r="Q757" s="136"/>
      <c r="R757" s="136"/>
      <c r="S757" s="136"/>
      <c r="T757" s="136"/>
      <c r="U757" s="136"/>
    </row>
    <row r="758" spans="13:21" x14ac:dyDescent="0.35">
      <c r="M758" s="135"/>
      <c r="N758" s="136"/>
      <c r="O758" s="136"/>
      <c r="P758" s="136"/>
      <c r="Q758" s="136"/>
      <c r="R758" s="136"/>
      <c r="S758" s="136"/>
      <c r="T758" s="136"/>
      <c r="U758" s="136"/>
    </row>
    <row r="759" spans="13:21" x14ac:dyDescent="0.35">
      <c r="M759" s="135"/>
      <c r="N759" s="136"/>
      <c r="O759" s="136"/>
      <c r="P759" s="136"/>
      <c r="Q759" s="136"/>
      <c r="R759" s="136"/>
      <c r="S759" s="136"/>
      <c r="T759" s="136"/>
      <c r="U759" s="136"/>
    </row>
    <row r="760" spans="13:21" x14ac:dyDescent="0.35">
      <c r="M760" s="135"/>
      <c r="N760" s="136"/>
      <c r="O760" s="136"/>
      <c r="P760" s="136"/>
      <c r="Q760" s="136"/>
      <c r="R760" s="136"/>
      <c r="S760" s="136"/>
      <c r="T760" s="136"/>
      <c r="U760" s="136"/>
    </row>
    <row r="761" spans="13:21" x14ac:dyDescent="0.35">
      <c r="M761" s="135"/>
      <c r="N761" s="136"/>
      <c r="O761" s="136"/>
      <c r="P761" s="136"/>
      <c r="Q761" s="136"/>
      <c r="R761" s="136"/>
      <c r="S761" s="136"/>
      <c r="T761" s="136"/>
      <c r="U761" s="136"/>
    </row>
    <row r="762" spans="13:21" x14ac:dyDescent="0.35">
      <c r="M762" s="135"/>
      <c r="N762" s="136"/>
      <c r="O762" s="136"/>
      <c r="P762" s="136"/>
      <c r="Q762" s="136"/>
      <c r="R762" s="136"/>
      <c r="S762" s="136"/>
      <c r="T762" s="136"/>
      <c r="U762" s="136"/>
    </row>
    <row r="763" spans="13:21" x14ac:dyDescent="0.35">
      <c r="M763" s="135"/>
      <c r="N763" s="136"/>
      <c r="O763" s="136"/>
      <c r="P763" s="136"/>
      <c r="Q763" s="136"/>
      <c r="R763" s="136"/>
      <c r="S763" s="136"/>
      <c r="T763" s="136"/>
      <c r="U763" s="136"/>
    </row>
    <row r="764" spans="13:21" x14ac:dyDescent="0.35">
      <c r="M764" s="135"/>
      <c r="N764" s="136"/>
      <c r="O764" s="136"/>
      <c r="P764" s="136"/>
      <c r="Q764" s="136"/>
      <c r="R764" s="136"/>
      <c r="S764" s="136"/>
      <c r="T764" s="136"/>
      <c r="U764" s="136"/>
    </row>
    <row r="765" spans="13:21" x14ac:dyDescent="0.35">
      <c r="M765" s="135"/>
      <c r="N765" s="136"/>
      <c r="O765" s="136"/>
      <c r="P765" s="136"/>
      <c r="Q765" s="136"/>
      <c r="R765" s="136"/>
      <c r="S765" s="136"/>
      <c r="T765" s="136"/>
      <c r="U765" s="136"/>
    </row>
    <row r="766" spans="13:21" x14ac:dyDescent="0.35">
      <c r="M766" s="135"/>
      <c r="N766" s="136"/>
      <c r="O766" s="136"/>
      <c r="P766" s="136"/>
      <c r="Q766" s="136"/>
      <c r="R766" s="136"/>
      <c r="S766" s="136"/>
      <c r="T766" s="136"/>
      <c r="U766" s="136"/>
    </row>
    <row r="767" spans="13:21" x14ac:dyDescent="0.35">
      <c r="M767" s="135"/>
      <c r="N767" s="136"/>
      <c r="O767" s="136"/>
      <c r="P767" s="136"/>
      <c r="Q767" s="136"/>
      <c r="R767" s="136"/>
      <c r="S767" s="136"/>
      <c r="T767" s="136"/>
      <c r="U767" s="136"/>
    </row>
    <row r="768" spans="13:21" x14ac:dyDescent="0.35">
      <c r="M768" s="135"/>
      <c r="N768" s="136"/>
      <c r="O768" s="136"/>
      <c r="P768" s="136"/>
      <c r="Q768" s="136"/>
      <c r="R768" s="136"/>
      <c r="S768" s="136"/>
      <c r="T768" s="136"/>
      <c r="U768" s="136"/>
    </row>
    <row r="769" spans="13:21" x14ac:dyDescent="0.35">
      <c r="M769" s="135"/>
      <c r="N769" s="136"/>
      <c r="O769" s="136"/>
      <c r="P769" s="136"/>
      <c r="Q769" s="136"/>
      <c r="R769" s="136"/>
      <c r="S769" s="136"/>
      <c r="T769" s="136"/>
      <c r="U769" s="136"/>
    </row>
    <row r="770" spans="13:21" x14ac:dyDescent="0.35">
      <c r="M770" s="135"/>
      <c r="N770" s="136"/>
      <c r="O770" s="136"/>
      <c r="P770" s="136"/>
      <c r="Q770" s="136"/>
      <c r="R770" s="136"/>
      <c r="S770" s="136"/>
      <c r="T770" s="136"/>
      <c r="U770" s="136"/>
    </row>
    <row r="771" spans="13:21" x14ac:dyDescent="0.35">
      <c r="M771" s="135"/>
      <c r="N771" s="136"/>
      <c r="O771" s="136"/>
      <c r="P771" s="136"/>
      <c r="Q771" s="136"/>
      <c r="R771" s="136"/>
      <c r="S771" s="136"/>
      <c r="T771" s="136"/>
      <c r="U771" s="136"/>
    </row>
    <row r="772" spans="13:21" x14ac:dyDescent="0.35">
      <c r="M772" s="135"/>
      <c r="N772" s="136"/>
      <c r="O772" s="136"/>
      <c r="P772" s="136"/>
      <c r="Q772" s="136"/>
      <c r="R772" s="136"/>
      <c r="S772" s="136"/>
      <c r="T772" s="136"/>
      <c r="U772" s="136"/>
    </row>
    <row r="773" spans="13:21" x14ac:dyDescent="0.35">
      <c r="M773" s="135"/>
      <c r="N773" s="136"/>
      <c r="O773" s="136"/>
      <c r="P773" s="136"/>
      <c r="Q773" s="136"/>
      <c r="R773" s="136"/>
      <c r="S773" s="136"/>
      <c r="T773" s="136"/>
      <c r="U773" s="136"/>
    </row>
    <row r="774" spans="13:21" x14ac:dyDescent="0.35">
      <c r="M774" s="135"/>
      <c r="N774" s="136"/>
      <c r="O774" s="136"/>
      <c r="P774" s="136"/>
      <c r="Q774" s="136"/>
      <c r="R774" s="136"/>
      <c r="S774" s="136"/>
      <c r="T774" s="136"/>
      <c r="U774" s="136"/>
    </row>
    <row r="775" spans="13:21" x14ac:dyDescent="0.35">
      <c r="M775" s="135"/>
      <c r="N775" s="136"/>
      <c r="O775" s="136"/>
      <c r="P775" s="136"/>
      <c r="Q775" s="136"/>
      <c r="R775" s="136"/>
      <c r="S775" s="136"/>
      <c r="T775" s="136"/>
      <c r="U775" s="136"/>
    </row>
    <row r="776" spans="13:21" x14ac:dyDescent="0.35">
      <c r="M776" s="135"/>
      <c r="N776" s="136"/>
      <c r="O776" s="136"/>
      <c r="P776" s="136"/>
      <c r="Q776" s="136"/>
      <c r="R776" s="136"/>
      <c r="S776" s="136"/>
      <c r="T776" s="136"/>
      <c r="U776" s="136"/>
    </row>
    <row r="777" spans="13:21" x14ac:dyDescent="0.35">
      <c r="M777" s="135"/>
      <c r="N777" s="136"/>
      <c r="O777" s="136"/>
      <c r="P777" s="136"/>
      <c r="Q777" s="136"/>
      <c r="R777" s="136"/>
      <c r="S777" s="136"/>
      <c r="T777" s="136"/>
      <c r="U777" s="136"/>
    </row>
    <row r="778" spans="13:21" x14ac:dyDescent="0.35">
      <c r="M778" s="135"/>
      <c r="N778" s="136"/>
      <c r="O778" s="136"/>
      <c r="P778" s="136"/>
      <c r="Q778" s="136"/>
      <c r="R778" s="136"/>
      <c r="S778" s="136"/>
      <c r="T778" s="136"/>
      <c r="U778" s="136"/>
    </row>
    <row r="779" spans="13:21" x14ac:dyDescent="0.35">
      <c r="M779" s="135"/>
      <c r="N779" s="136"/>
      <c r="O779" s="136"/>
      <c r="P779" s="136"/>
      <c r="Q779" s="136"/>
      <c r="R779" s="136"/>
      <c r="S779" s="136"/>
      <c r="T779" s="136"/>
      <c r="U779" s="136"/>
    </row>
    <row r="780" spans="13:21" x14ac:dyDescent="0.35">
      <c r="M780" s="135"/>
      <c r="N780" s="136"/>
      <c r="O780" s="136"/>
      <c r="P780" s="136"/>
      <c r="Q780" s="136"/>
      <c r="R780" s="136"/>
      <c r="S780" s="136"/>
      <c r="T780" s="136"/>
      <c r="U780" s="136"/>
    </row>
    <row r="781" spans="13:21" x14ac:dyDescent="0.35">
      <c r="M781" s="135"/>
      <c r="N781" s="136"/>
      <c r="O781" s="136"/>
      <c r="P781" s="136"/>
      <c r="Q781" s="136"/>
      <c r="R781" s="136"/>
      <c r="S781" s="136"/>
      <c r="T781" s="136"/>
      <c r="U781" s="136"/>
    </row>
    <row r="782" spans="13:21" x14ac:dyDescent="0.35">
      <c r="M782" s="135"/>
      <c r="N782" s="136"/>
      <c r="O782" s="136"/>
      <c r="P782" s="136"/>
      <c r="Q782" s="136"/>
      <c r="R782" s="136"/>
      <c r="S782" s="136"/>
      <c r="T782" s="136"/>
      <c r="U782" s="136"/>
    </row>
    <row r="783" spans="13:21" x14ac:dyDescent="0.35">
      <c r="M783" s="135"/>
      <c r="N783" s="136"/>
      <c r="O783" s="136"/>
      <c r="P783" s="136"/>
      <c r="Q783" s="136"/>
      <c r="R783" s="136"/>
      <c r="S783" s="136"/>
      <c r="T783" s="136"/>
      <c r="U783" s="136"/>
    </row>
    <row r="784" spans="13:21" x14ac:dyDescent="0.35">
      <c r="M784" s="135"/>
      <c r="N784" s="136"/>
      <c r="O784" s="136"/>
      <c r="P784" s="136"/>
      <c r="Q784" s="136"/>
      <c r="R784" s="136"/>
      <c r="S784" s="136"/>
      <c r="T784" s="136"/>
      <c r="U784" s="136"/>
    </row>
    <row r="785" spans="13:21" x14ac:dyDescent="0.35">
      <c r="M785" s="135"/>
      <c r="N785" s="136"/>
      <c r="O785" s="136"/>
      <c r="P785" s="136"/>
      <c r="Q785" s="136"/>
      <c r="R785" s="136"/>
      <c r="S785" s="136"/>
      <c r="T785" s="136"/>
      <c r="U785" s="136"/>
    </row>
    <row r="786" spans="13:21" x14ac:dyDescent="0.35">
      <c r="M786" s="135"/>
      <c r="N786" s="136"/>
      <c r="O786" s="136"/>
      <c r="P786" s="136"/>
      <c r="Q786" s="136"/>
      <c r="R786" s="136"/>
      <c r="S786" s="136"/>
      <c r="T786" s="136"/>
      <c r="U786" s="136"/>
    </row>
    <row r="787" spans="13:21" x14ac:dyDescent="0.35">
      <c r="M787" s="135"/>
      <c r="N787" s="136"/>
      <c r="O787" s="136"/>
      <c r="P787" s="136"/>
      <c r="Q787" s="136"/>
      <c r="R787" s="136"/>
      <c r="S787" s="136"/>
      <c r="T787" s="136"/>
      <c r="U787" s="136"/>
    </row>
    <row r="788" spans="13:21" x14ac:dyDescent="0.35">
      <c r="M788" s="135"/>
      <c r="N788" s="136"/>
      <c r="O788" s="136"/>
      <c r="P788" s="136"/>
      <c r="Q788" s="136"/>
      <c r="R788" s="136"/>
      <c r="S788" s="136"/>
      <c r="T788" s="136"/>
      <c r="U788" s="136"/>
    </row>
    <row r="789" spans="13:21" x14ac:dyDescent="0.35">
      <c r="M789" s="135"/>
      <c r="N789" s="136"/>
      <c r="O789" s="136"/>
      <c r="P789" s="136"/>
      <c r="Q789" s="136"/>
      <c r="R789" s="136"/>
      <c r="S789" s="136"/>
      <c r="T789" s="136"/>
      <c r="U789" s="136"/>
    </row>
    <row r="790" spans="13:21" x14ac:dyDescent="0.35">
      <c r="M790" s="135"/>
      <c r="N790" s="136"/>
      <c r="O790" s="136"/>
      <c r="P790" s="136"/>
      <c r="Q790" s="136"/>
      <c r="R790" s="136"/>
      <c r="S790" s="136"/>
      <c r="T790" s="136"/>
      <c r="U790" s="136"/>
    </row>
    <row r="791" spans="13:21" x14ac:dyDescent="0.35">
      <c r="M791" s="135"/>
      <c r="N791" s="136"/>
      <c r="O791" s="136"/>
      <c r="P791" s="136"/>
      <c r="Q791" s="136"/>
      <c r="R791" s="136"/>
      <c r="S791" s="136"/>
      <c r="T791" s="136"/>
      <c r="U791" s="136"/>
    </row>
    <row r="792" spans="13:21" x14ac:dyDescent="0.35">
      <c r="M792" s="135"/>
      <c r="N792" s="136"/>
      <c r="O792" s="136"/>
      <c r="P792" s="136"/>
      <c r="Q792" s="136"/>
      <c r="R792" s="136"/>
      <c r="S792" s="136"/>
      <c r="T792" s="136"/>
      <c r="U792" s="136"/>
    </row>
    <row r="793" spans="13:21" x14ac:dyDescent="0.35">
      <c r="M793" s="135"/>
      <c r="N793" s="136"/>
      <c r="O793" s="136"/>
      <c r="P793" s="136"/>
      <c r="Q793" s="136"/>
      <c r="R793" s="136"/>
      <c r="S793" s="136"/>
      <c r="T793" s="136"/>
      <c r="U793" s="136"/>
    </row>
    <row r="794" spans="13:21" x14ac:dyDescent="0.35">
      <c r="M794" s="135"/>
      <c r="N794" s="136"/>
      <c r="O794" s="136"/>
      <c r="P794" s="136"/>
      <c r="Q794" s="136"/>
      <c r="R794" s="136"/>
      <c r="S794" s="136"/>
      <c r="T794" s="136"/>
      <c r="U794" s="136"/>
    </row>
    <row r="795" spans="13:21" x14ac:dyDescent="0.35">
      <c r="M795" s="135"/>
      <c r="N795" s="136"/>
      <c r="O795" s="136"/>
      <c r="P795" s="136"/>
      <c r="Q795" s="136"/>
      <c r="R795" s="136"/>
      <c r="S795" s="136"/>
      <c r="T795" s="136"/>
      <c r="U795" s="136"/>
    </row>
    <row r="796" spans="13:21" x14ac:dyDescent="0.35">
      <c r="M796" s="135"/>
      <c r="N796" s="136"/>
      <c r="O796" s="136"/>
      <c r="P796" s="136"/>
      <c r="Q796" s="136"/>
      <c r="R796" s="136"/>
      <c r="S796" s="136"/>
      <c r="T796" s="136"/>
      <c r="U796" s="136"/>
    </row>
    <row r="797" spans="13:21" x14ac:dyDescent="0.35">
      <c r="M797" s="135"/>
      <c r="N797" s="136"/>
      <c r="O797" s="136"/>
      <c r="P797" s="136"/>
      <c r="Q797" s="136"/>
      <c r="R797" s="136"/>
      <c r="S797" s="136"/>
      <c r="T797" s="136"/>
      <c r="U797" s="136"/>
    </row>
    <row r="798" spans="13:21" x14ac:dyDescent="0.35">
      <c r="M798" s="135"/>
      <c r="N798" s="136"/>
      <c r="O798" s="136"/>
      <c r="P798" s="136"/>
      <c r="Q798" s="136"/>
      <c r="R798" s="136"/>
      <c r="S798" s="136"/>
      <c r="T798" s="136"/>
      <c r="U798" s="136"/>
    </row>
    <row r="799" spans="13:21" x14ac:dyDescent="0.35">
      <c r="M799" s="135"/>
      <c r="N799" s="136"/>
      <c r="O799" s="136"/>
      <c r="P799" s="136"/>
      <c r="Q799" s="136"/>
      <c r="R799" s="136"/>
      <c r="S799" s="136"/>
      <c r="T799" s="136"/>
      <c r="U799" s="136"/>
    </row>
    <row r="800" spans="13:21" x14ac:dyDescent="0.35">
      <c r="M800" s="135"/>
      <c r="N800" s="136"/>
      <c r="O800" s="136"/>
      <c r="P800" s="136"/>
      <c r="Q800" s="136"/>
      <c r="R800" s="136"/>
      <c r="S800" s="136"/>
      <c r="T800" s="136"/>
      <c r="U800" s="136"/>
    </row>
    <row r="801" spans="13:21" x14ac:dyDescent="0.35">
      <c r="M801" s="135"/>
      <c r="N801" s="136"/>
      <c r="O801" s="136"/>
      <c r="P801" s="136"/>
      <c r="Q801" s="136"/>
      <c r="R801" s="136"/>
      <c r="S801" s="136"/>
      <c r="T801" s="136"/>
      <c r="U801" s="136"/>
    </row>
    <row r="802" spans="13:21" x14ac:dyDescent="0.35">
      <c r="M802" s="135"/>
      <c r="N802" s="136"/>
      <c r="O802" s="136"/>
      <c r="P802" s="136"/>
      <c r="Q802" s="136"/>
      <c r="R802" s="136"/>
      <c r="S802" s="136"/>
      <c r="T802" s="136"/>
      <c r="U802" s="136"/>
    </row>
    <row r="803" spans="13:21" x14ac:dyDescent="0.35">
      <c r="M803" s="135"/>
      <c r="N803" s="136"/>
      <c r="O803" s="136"/>
      <c r="P803" s="136"/>
      <c r="Q803" s="136"/>
      <c r="R803" s="136"/>
      <c r="S803" s="136"/>
      <c r="T803" s="136"/>
      <c r="U803" s="136"/>
    </row>
    <row r="804" spans="13:21" x14ac:dyDescent="0.35">
      <c r="M804" s="135"/>
      <c r="N804" s="136"/>
      <c r="O804" s="136"/>
      <c r="P804" s="136"/>
      <c r="Q804" s="136"/>
      <c r="R804" s="136"/>
      <c r="S804" s="136"/>
      <c r="T804" s="136"/>
      <c r="U804" s="136"/>
    </row>
    <row r="805" spans="13:21" x14ac:dyDescent="0.35">
      <c r="M805" s="135"/>
      <c r="N805" s="136"/>
      <c r="O805" s="136"/>
      <c r="P805" s="136"/>
      <c r="Q805" s="136"/>
      <c r="R805" s="136"/>
      <c r="S805" s="136"/>
      <c r="T805" s="136"/>
      <c r="U805" s="136"/>
    </row>
    <row r="806" spans="13:21" x14ac:dyDescent="0.35">
      <c r="M806" s="135"/>
      <c r="N806" s="136"/>
      <c r="O806" s="136"/>
      <c r="P806" s="136"/>
      <c r="Q806" s="136"/>
      <c r="R806" s="136"/>
      <c r="S806" s="136"/>
      <c r="T806" s="136"/>
      <c r="U806" s="136"/>
    </row>
    <row r="807" spans="13:21" x14ac:dyDescent="0.35">
      <c r="M807" s="135"/>
      <c r="N807" s="136"/>
      <c r="O807" s="136"/>
      <c r="P807" s="136"/>
      <c r="Q807" s="136"/>
      <c r="R807" s="136"/>
      <c r="S807" s="136"/>
      <c r="T807" s="136"/>
      <c r="U807" s="136"/>
    </row>
    <row r="808" spans="13:21" x14ac:dyDescent="0.35">
      <c r="M808" s="135"/>
      <c r="N808" s="136"/>
      <c r="O808" s="136"/>
      <c r="P808" s="136"/>
      <c r="Q808" s="136"/>
      <c r="R808" s="136"/>
      <c r="S808" s="136"/>
      <c r="T808" s="136"/>
      <c r="U808" s="136"/>
    </row>
    <row r="809" spans="13:21" x14ac:dyDescent="0.35">
      <c r="M809" s="135"/>
      <c r="N809" s="136"/>
      <c r="O809" s="136"/>
      <c r="P809" s="136"/>
      <c r="Q809" s="136"/>
      <c r="R809" s="136"/>
      <c r="S809" s="136"/>
      <c r="T809" s="136"/>
      <c r="U809" s="136"/>
    </row>
    <row r="810" spans="13:21" x14ac:dyDescent="0.35">
      <c r="M810" s="135"/>
      <c r="N810" s="136"/>
      <c r="O810" s="136"/>
      <c r="P810" s="136"/>
      <c r="Q810" s="136"/>
      <c r="R810" s="136"/>
      <c r="S810" s="136"/>
      <c r="T810" s="136"/>
      <c r="U810" s="136"/>
    </row>
    <row r="811" spans="13:21" x14ac:dyDescent="0.35">
      <c r="M811" s="135"/>
      <c r="N811" s="136"/>
      <c r="O811" s="136"/>
      <c r="P811" s="136"/>
      <c r="Q811" s="136"/>
      <c r="R811" s="136"/>
      <c r="S811" s="136"/>
      <c r="T811" s="136"/>
      <c r="U811" s="136"/>
    </row>
    <row r="812" spans="13:21" x14ac:dyDescent="0.35">
      <c r="M812" s="135"/>
      <c r="N812" s="136"/>
      <c r="O812" s="136"/>
      <c r="P812" s="136"/>
      <c r="Q812" s="136"/>
      <c r="R812" s="136"/>
      <c r="S812" s="136"/>
      <c r="T812" s="136"/>
      <c r="U812" s="136"/>
    </row>
    <row r="813" spans="13:21" x14ac:dyDescent="0.35">
      <c r="M813" s="135"/>
      <c r="N813" s="136"/>
      <c r="O813" s="136"/>
      <c r="P813" s="136"/>
      <c r="Q813" s="136"/>
      <c r="R813" s="136"/>
      <c r="S813" s="136"/>
      <c r="T813" s="136"/>
      <c r="U813" s="136"/>
    </row>
    <row r="814" spans="13:21" x14ac:dyDescent="0.35">
      <c r="M814" s="135"/>
      <c r="N814" s="136"/>
      <c r="O814" s="136"/>
      <c r="P814" s="136"/>
      <c r="Q814" s="136"/>
      <c r="R814" s="136"/>
      <c r="S814" s="136"/>
      <c r="T814" s="136"/>
      <c r="U814" s="136"/>
    </row>
    <row r="815" spans="13:21" x14ac:dyDescent="0.35">
      <c r="M815" s="135"/>
      <c r="N815" s="136"/>
      <c r="O815" s="136"/>
      <c r="P815" s="136"/>
      <c r="Q815" s="136"/>
      <c r="R815" s="136"/>
      <c r="S815" s="136"/>
      <c r="T815" s="136"/>
      <c r="U815" s="136"/>
    </row>
    <row r="816" spans="13:21" x14ac:dyDescent="0.35">
      <c r="M816" s="135"/>
      <c r="N816" s="136"/>
      <c r="O816" s="136"/>
      <c r="P816" s="136"/>
      <c r="Q816" s="136"/>
      <c r="R816" s="136"/>
      <c r="S816" s="136"/>
      <c r="T816" s="136"/>
      <c r="U816" s="136"/>
    </row>
    <row r="817" spans="13:21" x14ac:dyDescent="0.35">
      <c r="M817" s="135"/>
      <c r="N817" s="136"/>
      <c r="O817" s="136"/>
      <c r="P817" s="136"/>
      <c r="Q817" s="136"/>
      <c r="R817" s="136"/>
      <c r="S817" s="136"/>
      <c r="T817" s="136"/>
      <c r="U817" s="136"/>
    </row>
    <row r="818" spans="13:21" x14ac:dyDescent="0.35">
      <c r="M818" s="135"/>
      <c r="N818" s="136"/>
      <c r="O818" s="136"/>
      <c r="P818" s="136"/>
      <c r="Q818" s="136"/>
      <c r="R818" s="136"/>
      <c r="S818" s="136"/>
      <c r="T818" s="136"/>
      <c r="U818" s="136"/>
    </row>
    <row r="819" spans="13:21" x14ac:dyDescent="0.35">
      <c r="M819" s="135"/>
      <c r="N819" s="136"/>
      <c r="O819" s="136"/>
      <c r="P819" s="136"/>
      <c r="Q819" s="136"/>
      <c r="R819" s="136"/>
      <c r="S819" s="136"/>
      <c r="T819" s="136"/>
      <c r="U819" s="136"/>
    </row>
    <row r="820" spans="13:21" x14ac:dyDescent="0.35">
      <c r="M820" s="135"/>
      <c r="N820" s="136"/>
      <c r="O820" s="136"/>
      <c r="P820" s="136"/>
      <c r="Q820" s="136"/>
      <c r="R820" s="136"/>
      <c r="S820" s="136"/>
      <c r="T820" s="136"/>
      <c r="U820" s="136"/>
    </row>
    <row r="821" spans="13:21" x14ac:dyDescent="0.35">
      <c r="M821" s="135"/>
      <c r="N821" s="136"/>
      <c r="O821" s="136"/>
      <c r="P821" s="136"/>
      <c r="Q821" s="136"/>
      <c r="R821" s="136"/>
      <c r="S821" s="136"/>
      <c r="T821" s="136"/>
      <c r="U821" s="136"/>
    </row>
    <row r="822" spans="13:21" x14ac:dyDescent="0.35">
      <c r="M822" s="135"/>
      <c r="N822" s="136"/>
      <c r="O822" s="136"/>
      <c r="P822" s="136"/>
      <c r="Q822" s="136"/>
      <c r="R822" s="136"/>
      <c r="S822" s="136"/>
      <c r="T822" s="136"/>
      <c r="U822" s="136"/>
    </row>
    <row r="823" spans="13:21" x14ac:dyDescent="0.35">
      <c r="M823" s="135"/>
      <c r="N823" s="136"/>
      <c r="O823" s="136"/>
      <c r="P823" s="136"/>
      <c r="Q823" s="136"/>
      <c r="R823" s="136"/>
      <c r="S823" s="136"/>
      <c r="T823" s="136"/>
      <c r="U823" s="136"/>
    </row>
    <row r="824" spans="13:21" x14ac:dyDescent="0.35">
      <c r="M824" s="135"/>
      <c r="N824" s="136"/>
      <c r="O824" s="136"/>
      <c r="P824" s="136"/>
      <c r="Q824" s="136"/>
      <c r="R824" s="136"/>
      <c r="S824" s="136"/>
      <c r="T824" s="136"/>
      <c r="U824" s="136"/>
    </row>
    <row r="825" spans="13:21" x14ac:dyDescent="0.35">
      <c r="M825" s="135"/>
      <c r="N825" s="136"/>
      <c r="O825" s="136"/>
      <c r="P825" s="136"/>
      <c r="Q825" s="136"/>
      <c r="R825" s="136"/>
      <c r="S825" s="136"/>
      <c r="T825" s="136"/>
      <c r="U825" s="136"/>
    </row>
    <row r="826" spans="13:21" x14ac:dyDescent="0.35">
      <c r="M826" s="135"/>
      <c r="N826" s="136"/>
      <c r="O826" s="136"/>
      <c r="P826" s="136"/>
      <c r="Q826" s="136"/>
      <c r="R826" s="136"/>
      <c r="S826" s="136"/>
      <c r="T826" s="136"/>
      <c r="U826" s="136"/>
    </row>
    <row r="827" spans="13:21" x14ac:dyDescent="0.35">
      <c r="M827" s="135"/>
      <c r="N827" s="136"/>
      <c r="O827" s="136"/>
      <c r="P827" s="136"/>
      <c r="Q827" s="136"/>
      <c r="R827" s="136"/>
      <c r="S827" s="136"/>
      <c r="T827" s="136"/>
      <c r="U827" s="136"/>
    </row>
    <row r="828" spans="13:21" x14ac:dyDescent="0.35">
      <c r="M828" s="135"/>
      <c r="N828" s="136"/>
      <c r="O828" s="136"/>
      <c r="P828" s="136"/>
      <c r="Q828" s="136"/>
      <c r="R828" s="136"/>
      <c r="S828" s="136"/>
      <c r="T828" s="136"/>
      <c r="U828" s="136"/>
    </row>
    <row r="829" spans="13:21" x14ac:dyDescent="0.35">
      <c r="M829" s="135"/>
      <c r="N829" s="136"/>
      <c r="O829" s="136"/>
      <c r="P829" s="136"/>
      <c r="Q829" s="136"/>
      <c r="R829" s="136"/>
      <c r="S829" s="136"/>
      <c r="T829" s="136"/>
      <c r="U829" s="136"/>
    </row>
    <row r="830" spans="13:21" x14ac:dyDescent="0.35">
      <c r="M830" s="135"/>
      <c r="N830" s="136"/>
      <c r="O830" s="136"/>
      <c r="P830" s="136"/>
      <c r="Q830" s="136"/>
      <c r="R830" s="136"/>
      <c r="S830" s="136"/>
      <c r="T830" s="136"/>
      <c r="U830" s="136"/>
    </row>
    <row r="831" spans="13:21" x14ac:dyDescent="0.35">
      <c r="M831" s="135"/>
      <c r="N831" s="136"/>
      <c r="O831" s="136"/>
      <c r="P831" s="136"/>
      <c r="Q831" s="136"/>
      <c r="R831" s="136"/>
      <c r="S831" s="136"/>
      <c r="T831" s="136"/>
      <c r="U831" s="136"/>
    </row>
    <row r="832" spans="13:21" x14ac:dyDescent="0.35">
      <c r="M832" s="135"/>
      <c r="N832" s="136"/>
      <c r="O832" s="136"/>
      <c r="P832" s="136"/>
      <c r="Q832" s="136"/>
      <c r="R832" s="136"/>
      <c r="S832" s="136"/>
      <c r="T832" s="136"/>
      <c r="U832" s="136"/>
    </row>
    <row r="833" spans="13:21" x14ac:dyDescent="0.35">
      <c r="M833" s="135"/>
      <c r="N833" s="136"/>
      <c r="O833" s="136"/>
      <c r="P833" s="136"/>
      <c r="Q833" s="136"/>
      <c r="R833" s="136"/>
      <c r="S833" s="136"/>
      <c r="T833" s="136"/>
      <c r="U833" s="136"/>
    </row>
    <row r="834" spans="13:21" x14ac:dyDescent="0.35">
      <c r="M834" s="135"/>
      <c r="N834" s="136"/>
      <c r="O834" s="136"/>
      <c r="P834" s="136"/>
      <c r="Q834" s="136"/>
      <c r="R834" s="136"/>
      <c r="S834" s="136"/>
      <c r="T834" s="136"/>
      <c r="U834" s="136"/>
    </row>
    <row r="835" spans="13:21" x14ac:dyDescent="0.35">
      <c r="M835" s="135"/>
      <c r="N835" s="136"/>
      <c r="O835" s="136"/>
      <c r="P835" s="136"/>
      <c r="Q835" s="136"/>
      <c r="R835" s="136"/>
      <c r="S835" s="136"/>
      <c r="T835" s="136"/>
      <c r="U835" s="136"/>
    </row>
    <row r="836" spans="13:21" x14ac:dyDescent="0.35">
      <c r="M836" s="135"/>
      <c r="N836" s="136"/>
      <c r="O836" s="136"/>
      <c r="P836" s="136"/>
      <c r="Q836" s="136"/>
      <c r="R836" s="136"/>
      <c r="S836" s="136"/>
      <c r="T836" s="136"/>
      <c r="U836" s="136"/>
    </row>
    <row r="837" spans="13:21" x14ac:dyDescent="0.35">
      <c r="M837" s="135"/>
      <c r="N837" s="136"/>
      <c r="O837" s="136"/>
      <c r="P837" s="136"/>
      <c r="Q837" s="136"/>
      <c r="R837" s="136"/>
      <c r="S837" s="136"/>
      <c r="T837" s="136"/>
      <c r="U837" s="136"/>
    </row>
    <row r="838" spans="13:21" x14ac:dyDescent="0.35">
      <c r="M838" s="135"/>
      <c r="N838" s="136"/>
      <c r="O838" s="136"/>
      <c r="P838" s="136"/>
      <c r="Q838" s="136"/>
      <c r="R838" s="136"/>
      <c r="S838" s="136"/>
      <c r="T838" s="136"/>
      <c r="U838" s="136"/>
    </row>
    <row r="839" spans="13:21" x14ac:dyDescent="0.35">
      <c r="M839" s="135"/>
      <c r="N839" s="136"/>
      <c r="O839" s="136"/>
      <c r="P839" s="136"/>
      <c r="Q839" s="136"/>
      <c r="R839" s="136"/>
      <c r="S839" s="136"/>
      <c r="T839" s="136"/>
      <c r="U839" s="136"/>
    </row>
    <row r="840" spans="13:21" x14ac:dyDescent="0.35">
      <c r="M840" s="135"/>
      <c r="N840" s="136"/>
      <c r="O840" s="136"/>
      <c r="P840" s="136"/>
      <c r="Q840" s="136"/>
      <c r="R840" s="136"/>
      <c r="S840" s="136"/>
      <c r="T840" s="136"/>
      <c r="U840" s="136"/>
    </row>
    <row r="841" spans="13:21" x14ac:dyDescent="0.35">
      <c r="M841" s="135"/>
      <c r="N841" s="136"/>
      <c r="O841" s="136"/>
      <c r="P841" s="136"/>
      <c r="Q841" s="136"/>
      <c r="R841" s="136"/>
      <c r="S841" s="136"/>
      <c r="T841" s="136"/>
      <c r="U841" s="136"/>
    </row>
    <row r="842" spans="13:21" x14ac:dyDescent="0.35">
      <c r="M842" s="135"/>
      <c r="N842" s="136"/>
      <c r="O842" s="136"/>
      <c r="P842" s="136"/>
      <c r="Q842" s="136"/>
      <c r="R842" s="136"/>
      <c r="S842" s="136"/>
      <c r="T842" s="136"/>
      <c r="U842" s="136"/>
    </row>
    <row r="843" spans="13:21" x14ac:dyDescent="0.35">
      <c r="M843" s="135"/>
      <c r="N843" s="136"/>
      <c r="O843" s="136"/>
      <c r="P843" s="136"/>
      <c r="Q843" s="136"/>
      <c r="R843" s="136"/>
      <c r="S843" s="136"/>
      <c r="T843" s="136"/>
      <c r="U843" s="136"/>
    </row>
    <row r="844" spans="13:21" x14ac:dyDescent="0.35">
      <c r="M844" s="135"/>
      <c r="N844" s="136"/>
      <c r="O844" s="136"/>
      <c r="P844" s="136"/>
      <c r="Q844" s="136"/>
      <c r="R844" s="136"/>
      <c r="S844" s="136"/>
      <c r="T844" s="136"/>
      <c r="U844" s="136"/>
    </row>
    <row r="845" spans="13:21" x14ac:dyDescent="0.35">
      <c r="M845" s="135"/>
      <c r="N845" s="136"/>
      <c r="O845" s="136"/>
      <c r="P845" s="136"/>
      <c r="Q845" s="136"/>
      <c r="R845" s="136"/>
      <c r="S845" s="136"/>
      <c r="T845" s="136"/>
      <c r="U845" s="136"/>
    </row>
    <row r="846" spans="13:21" x14ac:dyDescent="0.35">
      <c r="M846" s="135"/>
      <c r="N846" s="136"/>
      <c r="O846" s="136"/>
      <c r="P846" s="136"/>
      <c r="Q846" s="136"/>
      <c r="R846" s="136"/>
      <c r="S846" s="136"/>
      <c r="T846" s="136"/>
      <c r="U846" s="136"/>
    </row>
    <row r="847" spans="13:21" x14ac:dyDescent="0.35">
      <c r="M847" s="135"/>
      <c r="N847" s="136"/>
      <c r="O847" s="136"/>
      <c r="P847" s="136"/>
      <c r="Q847" s="136"/>
      <c r="R847" s="136"/>
      <c r="S847" s="136"/>
      <c r="T847" s="136"/>
      <c r="U847" s="136"/>
    </row>
    <row r="848" spans="13:21" x14ac:dyDescent="0.35">
      <c r="M848" s="135"/>
      <c r="N848" s="136"/>
      <c r="O848" s="136"/>
      <c r="P848" s="136"/>
      <c r="Q848" s="136"/>
      <c r="R848" s="136"/>
      <c r="S848" s="136"/>
      <c r="T848" s="136"/>
      <c r="U848" s="136"/>
    </row>
    <row r="849" spans="13:21" x14ac:dyDescent="0.35">
      <c r="M849" s="135"/>
      <c r="N849" s="136"/>
      <c r="O849" s="136"/>
      <c r="P849" s="136"/>
      <c r="Q849" s="136"/>
      <c r="R849" s="136"/>
      <c r="S849" s="136"/>
      <c r="T849" s="136"/>
      <c r="U849" s="136"/>
    </row>
    <row r="850" spans="13:21" x14ac:dyDescent="0.35">
      <c r="M850" s="135"/>
      <c r="N850" s="136"/>
      <c r="O850" s="136"/>
      <c r="P850" s="136"/>
      <c r="Q850" s="136"/>
      <c r="R850" s="136"/>
      <c r="S850" s="136"/>
      <c r="T850" s="136"/>
      <c r="U850" s="136"/>
    </row>
    <row r="851" spans="13:21" x14ac:dyDescent="0.35">
      <c r="M851" s="135"/>
      <c r="N851" s="136"/>
      <c r="O851" s="136"/>
      <c r="P851" s="136"/>
      <c r="Q851" s="136"/>
      <c r="R851" s="136"/>
      <c r="S851" s="136"/>
      <c r="T851" s="136"/>
      <c r="U851" s="136"/>
    </row>
    <row r="852" spans="13:21" x14ac:dyDescent="0.35">
      <c r="M852" s="135"/>
      <c r="N852" s="136"/>
      <c r="O852" s="136"/>
      <c r="P852" s="136"/>
      <c r="Q852" s="136"/>
      <c r="R852" s="136"/>
      <c r="S852" s="136"/>
      <c r="T852" s="136"/>
      <c r="U852" s="136"/>
    </row>
    <row r="853" spans="13:21" x14ac:dyDescent="0.35">
      <c r="M853" s="135"/>
      <c r="N853" s="136"/>
      <c r="O853" s="136"/>
      <c r="P853" s="136"/>
      <c r="Q853" s="136"/>
      <c r="R853" s="136"/>
      <c r="S853" s="136"/>
      <c r="T853" s="136"/>
      <c r="U853" s="136"/>
    </row>
    <row r="854" spans="13:21" x14ac:dyDescent="0.35">
      <c r="M854" s="135"/>
      <c r="N854" s="136"/>
      <c r="O854" s="136"/>
      <c r="P854" s="136"/>
      <c r="Q854" s="136"/>
      <c r="R854" s="136"/>
      <c r="S854" s="136"/>
      <c r="T854" s="136"/>
      <c r="U854" s="136"/>
    </row>
    <row r="855" spans="13:21" x14ac:dyDescent="0.35">
      <c r="M855" s="135"/>
      <c r="N855" s="136"/>
      <c r="O855" s="136"/>
      <c r="P855" s="136"/>
      <c r="Q855" s="136"/>
      <c r="R855" s="136"/>
      <c r="S855" s="136"/>
      <c r="T855" s="136"/>
      <c r="U855" s="136"/>
    </row>
    <row r="856" spans="13:21" x14ac:dyDescent="0.35">
      <c r="M856" s="135"/>
      <c r="N856" s="136"/>
      <c r="O856" s="136"/>
      <c r="P856" s="136"/>
      <c r="Q856" s="136"/>
      <c r="R856" s="136"/>
      <c r="S856" s="136"/>
      <c r="T856" s="136"/>
      <c r="U856" s="136"/>
    </row>
    <row r="857" spans="13:21" x14ac:dyDescent="0.35">
      <c r="M857" s="135"/>
      <c r="N857" s="136"/>
      <c r="O857" s="136"/>
      <c r="P857" s="136"/>
      <c r="Q857" s="136"/>
      <c r="R857" s="136"/>
      <c r="S857" s="136"/>
      <c r="T857" s="136"/>
      <c r="U857" s="136"/>
    </row>
    <row r="858" spans="13:21" x14ac:dyDescent="0.35">
      <c r="M858" s="135"/>
      <c r="N858" s="136"/>
      <c r="O858" s="136"/>
      <c r="P858" s="136"/>
      <c r="Q858" s="136"/>
      <c r="R858" s="136"/>
      <c r="S858" s="136"/>
      <c r="T858" s="136"/>
      <c r="U858" s="136"/>
    </row>
    <row r="859" spans="13:21" x14ac:dyDescent="0.35">
      <c r="M859" s="135"/>
      <c r="N859" s="136"/>
      <c r="O859" s="136"/>
      <c r="P859" s="136"/>
      <c r="Q859" s="136"/>
      <c r="R859" s="136"/>
      <c r="S859" s="136"/>
      <c r="T859" s="136"/>
      <c r="U859" s="136"/>
    </row>
    <row r="860" spans="13:21" x14ac:dyDescent="0.35">
      <c r="M860" s="135"/>
      <c r="N860" s="136"/>
      <c r="O860" s="136"/>
      <c r="P860" s="136"/>
      <c r="Q860" s="136"/>
      <c r="R860" s="136"/>
      <c r="S860" s="136"/>
      <c r="T860" s="136"/>
      <c r="U860" s="136"/>
    </row>
    <row r="861" spans="13:21" x14ac:dyDescent="0.35">
      <c r="M861" s="135"/>
      <c r="N861" s="136"/>
      <c r="O861" s="136"/>
      <c r="P861" s="136"/>
      <c r="Q861" s="136"/>
      <c r="R861" s="136"/>
      <c r="S861" s="136"/>
      <c r="T861" s="136"/>
      <c r="U861" s="136"/>
    </row>
    <row r="862" spans="13:21" x14ac:dyDescent="0.35">
      <c r="M862" s="135"/>
      <c r="N862" s="136"/>
      <c r="O862" s="136"/>
      <c r="P862" s="136"/>
      <c r="Q862" s="136"/>
      <c r="R862" s="136"/>
      <c r="S862" s="136"/>
      <c r="T862" s="136"/>
      <c r="U862" s="136"/>
    </row>
    <row r="863" spans="13:21" x14ac:dyDescent="0.35">
      <c r="M863" s="135"/>
      <c r="N863" s="136"/>
      <c r="O863" s="136"/>
      <c r="P863" s="136"/>
      <c r="Q863" s="136"/>
      <c r="R863" s="136"/>
      <c r="S863" s="136"/>
      <c r="T863" s="136"/>
      <c r="U863" s="136"/>
    </row>
    <row r="864" spans="13:21" x14ac:dyDescent="0.35">
      <c r="M864" s="135"/>
      <c r="N864" s="136"/>
      <c r="O864" s="136"/>
      <c r="P864" s="136"/>
      <c r="Q864" s="136"/>
      <c r="R864" s="136"/>
      <c r="S864" s="136"/>
      <c r="T864" s="136"/>
      <c r="U864" s="136"/>
    </row>
    <row r="865" spans="13:21" x14ac:dyDescent="0.35">
      <c r="M865" s="135"/>
      <c r="N865" s="136"/>
      <c r="O865" s="136"/>
      <c r="P865" s="136"/>
      <c r="Q865" s="136"/>
      <c r="R865" s="136"/>
      <c r="S865" s="136"/>
      <c r="T865" s="136"/>
      <c r="U865" s="136"/>
    </row>
    <row r="866" spans="13:21" x14ac:dyDescent="0.35">
      <c r="M866" s="135"/>
      <c r="N866" s="136"/>
      <c r="O866" s="136"/>
      <c r="P866" s="136"/>
      <c r="Q866" s="136"/>
      <c r="R866" s="136"/>
      <c r="S866" s="136"/>
      <c r="T866" s="136"/>
      <c r="U866" s="136"/>
    </row>
    <row r="867" spans="13:21" x14ac:dyDescent="0.35">
      <c r="M867" s="135"/>
      <c r="N867" s="136"/>
      <c r="O867" s="136"/>
      <c r="P867" s="136"/>
      <c r="Q867" s="136"/>
      <c r="R867" s="136"/>
      <c r="S867" s="136"/>
      <c r="T867" s="136"/>
      <c r="U867" s="136"/>
    </row>
    <row r="868" spans="13:21" x14ac:dyDescent="0.35">
      <c r="M868" s="135"/>
      <c r="N868" s="136"/>
      <c r="O868" s="136"/>
      <c r="P868" s="136"/>
      <c r="Q868" s="136"/>
      <c r="R868" s="136"/>
      <c r="S868" s="136"/>
      <c r="T868" s="136"/>
      <c r="U868" s="136"/>
    </row>
    <row r="869" spans="13:21" x14ac:dyDescent="0.35">
      <c r="M869" s="135"/>
      <c r="N869" s="136"/>
      <c r="O869" s="136"/>
      <c r="P869" s="136"/>
      <c r="Q869" s="136"/>
      <c r="R869" s="136"/>
      <c r="S869" s="136"/>
      <c r="T869" s="136"/>
      <c r="U869" s="136"/>
    </row>
    <row r="870" spans="13:21" x14ac:dyDescent="0.35">
      <c r="M870" s="135"/>
      <c r="N870" s="136"/>
      <c r="O870" s="136"/>
      <c r="P870" s="136"/>
      <c r="Q870" s="136"/>
      <c r="R870" s="136"/>
      <c r="S870" s="136"/>
      <c r="T870" s="136"/>
      <c r="U870" s="136"/>
    </row>
    <row r="871" spans="13:21" x14ac:dyDescent="0.35">
      <c r="M871" s="135"/>
      <c r="N871" s="136"/>
      <c r="O871" s="136"/>
      <c r="P871" s="136"/>
      <c r="Q871" s="136"/>
      <c r="R871" s="136"/>
      <c r="S871" s="136"/>
      <c r="T871" s="136"/>
      <c r="U871" s="136"/>
    </row>
    <row r="872" spans="13:21" x14ac:dyDescent="0.35">
      <c r="M872" s="135"/>
      <c r="N872" s="136"/>
      <c r="O872" s="136"/>
      <c r="P872" s="136"/>
      <c r="Q872" s="136"/>
      <c r="R872" s="136"/>
      <c r="S872" s="136"/>
      <c r="T872" s="136"/>
      <c r="U872" s="136"/>
    </row>
    <row r="873" spans="13:21" x14ac:dyDescent="0.35">
      <c r="M873" s="135"/>
      <c r="N873" s="136"/>
      <c r="O873" s="136"/>
      <c r="P873" s="136"/>
      <c r="Q873" s="136"/>
      <c r="R873" s="136"/>
      <c r="S873" s="136"/>
      <c r="T873" s="136"/>
      <c r="U873" s="136"/>
    </row>
    <row r="874" spans="13:21" x14ac:dyDescent="0.35">
      <c r="M874" s="135"/>
      <c r="N874" s="136"/>
      <c r="O874" s="136"/>
      <c r="P874" s="136"/>
      <c r="Q874" s="136"/>
      <c r="R874" s="136"/>
      <c r="S874" s="136"/>
      <c r="T874" s="136"/>
      <c r="U874" s="136"/>
    </row>
    <row r="875" spans="13:21" x14ac:dyDescent="0.35">
      <c r="M875" s="135"/>
      <c r="N875" s="136"/>
      <c r="O875" s="136"/>
      <c r="P875" s="136"/>
      <c r="Q875" s="136"/>
      <c r="R875" s="136"/>
      <c r="S875" s="136"/>
      <c r="T875" s="136"/>
      <c r="U875" s="136"/>
    </row>
    <row r="876" spans="13:21" x14ac:dyDescent="0.35">
      <c r="M876" s="135"/>
      <c r="N876" s="136"/>
      <c r="O876" s="136"/>
      <c r="P876" s="136"/>
      <c r="Q876" s="136"/>
      <c r="R876" s="136"/>
      <c r="S876" s="136"/>
      <c r="T876" s="136"/>
      <c r="U876" s="136"/>
    </row>
    <row r="877" spans="13:21" x14ac:dyDescent="0.35">
      <c r="M877" s="135"/>
      <c r="N877" s="136"/>
      <c r="O877" s="136"/>
      <c r="P877" s="136"/>
      <c r="Q877" s="136"/>
      <c r="R877" s="136"/>
      <c r="S877" s="136"/>
      <c r="T877" s="136"/>
      <c r="U877" s="136"/>
    </row>
    <row r="878" spans="13:21" x14ac:dyDescent="0.35">
      <c r="M878" s="135"/>
      <c r="N878" s="136"/>
      <c r="O878" s="136"/>
      <c r="P878" s="136"/>
      <c r="Q878" s="136"/>
      <c r="R878" s="136"/>
      <c r="S878" s="136"/>
      <c r="T878" s="136"/>
      <c r="U878" s="136"/>
    </row>
    <row r="879" spans="13:21" x14ac:dyDescent="0.35">
      <c r="M879" s="135"/>
      <c r="N879" s="136"/>
      <c r="O879" s="136"/>
      <c r="P879" s="136"/>
      <c r="Q879" s="136"/>
      <c r="R879" s="136"/>
      <c r="S879" s="136"/>
      <c r="T879" s="136"/>
      <c r="U879" s="136"/>
    </row>
    <row r="880" spans="13:21" x14ac:dyDescent="0.35">
      <c r="M880" s="135"/>
      <c r="N880" s="136"/>
      <c r="O880" s="136"/>
      <c r="P880" s="136"/>
      <c r="Q880" s="136"/>
      <c r="R880" s="136"/>
      <c r="S880" s="136"/>
      <c r="T880" s="136"/>
      <c r="U880" s="136"/>
    </row>
    <row r="881" spans="13:21" x14ac:dyDescent="0.35">
      <c r="M881" s="135"/>
      <c r="N881" s="136"/>
      <c r="O881" s="136"/>
      <c r="P881" s="136"/>
      <c r="Q881" s="136"/>
      <c r="R881" s="136"/>
      <c r="S881" s="136"/>
      <c r="T881" s="136"/>
      <c r="U881" s="136"/>
    </row>
    <row r="882" spans="13:21" x14ac:dyDescent="0.35">
      <c r="M882" s="135"/>
      <c r="N882" s="136"/>
      <c r="O882" s="136"/>
      <c r="P882" s="136"/>
      <c r="Q882" s="136"/>
      <c r="R882" s="136"/>
      <c r="S882" s="136"/>
      <c r="T882" s="136"/>
      <c r="U882" s="136"/>
    </row>
    <row r="883" spans="13:21" x14ac:dyDescent="0.35">
      <c r="M883" s="135"/>
      <c r="N883" s="136"/>
      <c r="O883" s="136"/>
      <c r="P883" s="136"/>
      <c r="Q883" s="136"/>
      <c r="R883" s="136"/>
      <c r="S883" s="136"/>
      <c r="T883" s="136"/>
      <c r="U883" s="136"/>
    </row>
    <row r="884" spans="13:21" x14ac:dyDescent="0.35">
      <c r="M884" s="135"/>
      <c r="N884" s="136"/>
      <c r="O884" s="136"/>
      <c r="P884" s="136"/>
      <c r="Q884" s="136"/>
      <c r="R884" s="136"/>
      <c r="S884" s="136"/>
      <c r="T884" s="136"/>
      <c r="U884" s="136"/>
    </row>
    <row r="885" spans="13:21" x14ac:dyDescent="0.35">
      <c r="M885" s="135"/>
      <c r="N885" s="136"/>
      <c r="O885" s="136"/>
      <c r="P885" s="136"/>
      <c r="Q885" s="136"/>
      <c r="R885" s="136"/>
      <c r="S885" s="136"/>
      <c r="T885" s="136"/>
      <c r="U885" s="136"/>
    </row>
    <row r="886" spans="13:21" x14ac:dyDescent="0.35">
      <c r="M886" s="135"/>
      <c r="N886" s="136"/>
      <c r="O886" s="136"/>
      <c r="P886" s="136"/>
      <c r="Q886" s="136"/>
      <c r="R886" s="136"/>
      <c r="S886" s="136"/>
      <c r="T886" s="136"/>
      <c r="U886" s="136"/>
    </row>
    <row r="887" spans="13:21" x14ac:dyDescent="0.35">
      <c r="M887" s="135"/>
      <c r="N887" s="136"/>
      <c r="O887" s="136"/>
      <c r="P887" s="136"/>
      <c r="Q887" s="136"/>
      <c r="R887" s="136"/>
      <c r="S887" s="136"/>
      <c r="T887" s="136"/>
      <c r="U887" s="136"/>
    </row>
    <row r="888" spans="13:21" x14ac:dyDescent="0.35">
      <c r="M888" s="135"/>
      <c r="N888" s="136"/>
      <c r="O888" s="136"/>
      <c r="P888" s="136"/>
      <c r="Q888" s="136"/>
      <c r="R888" s="136"/>
      <c r="S888" s="136"/>
      <c r="T888" s="136"/>
      <c r="U888" s="136"/>
    </row>
    <row r="889" spans="13:21" x14ac:dyDescent="0.35">
      <c r="M889" s="135"/>
      <c r="N889" s="136"/>
      <c r="O889" s="136"/>
      <c r="P889" s="136"/>
      <c r="Q889" s="136"/>
      <c r="R889" s="136"/>
      <c r="S889" s="136"/>
      <c r="T889" s="136"/>
      <c r="U889" s="136"/>
    </row>
    <row r="890" spans="13:21" x14ac:dyDescent="0.35">
      <c r="M890" s="135"/>
      <c r="N890" s="136"/>
      <c r="O890" s="136"/>
      <c r="P890" s="136"/>
      <c r="Q890" s="136"/>
      <c r="R890" s="136"/>
      <c r="S890" s="136"/>
      <c r="T890" s="136"/>
      <c r="U890" s="136"/>
    </row>
    <row r="891" spans="13:21" x14ac:dyDescent="0.35">
      <c r="M891" s="135"/>
      <c r="N891" s="136"/>
      <c r="O891" s="136"/>
      <c r="P891" s="136"/>
      <c r="Q891" s="136"/>
      <c r="R891" s="136"/>
      <c r="S891" s="136"/>
      <c r="T891" s="136"/>
      <c r="U891" s="136"/>
    </row>
    <row r="892" spans="13:21" x14ac:dyDescent="0.35">
      <c r="M892" s="135"/>
      <c r="N892" s="136"/>
      <c r="O892" s="136"/>
      <c r="P892" s="136"/>
      <c r="Q892" s="136"/>
      <c r="R892" s="136"/>
      <c r="S892" s="136"/>
      <c r="T892" s="136"/>
      <c r="U892" s="136"/>
    </row>
    <row r="893" spans="13:21" x14ac:dyDescent="0.35">
      <c r="M893" s="135"/>
      <c r="N893" s="136"/>
      <c r="O893" s="136"/>
      <c r="P893" s="136"/>
      <c r="Q893" s="136"/>
      <c r="R893" s="136"/>
      <c r="S893" s="136"/>
      <c r="T893" s="136"/>
      <c r="U893" s="136"/>
    </row>
    <row r="894" spans="13:21" x14ac:dyDescent="0.35">
      <c r="M894" s="135"/>
      <c r="N894" s="136"/>
      <c r="O894" s="136"/>
      <c r="P894" s="136"/>
      <c r="Q894" s="136"/>
      <c r="R894" s="136"/>
      <c r="S894" s="136"/>
      <c r="T894" s="136"/>
      <c r="U894" s="136"/>
    </row>
    <row r="895" spans="13:21" x14ac:dyDescent="0.35">
      <c r="M895" s="135"/>
      <c r="N895" s="136"/>
      <c r="O895" s="136"/>
      <c r="P895" s="136"/>
      <c r="Q895" s="136"/>
      <c r="R895" s="136"/>
      <c r="S895" s="136"/>
      <c r="T895" s="136"/>
      <c r="U895" s="136"/>
    </row>
    <row r="896" spans="13:21" x14ac:dyDescent="0.35">
      <c r="M896" s="135"/>
      <c r="N896" s="136"/>
      <c r="O896" s="136"/>
      <c r="P896" s="136"/>
      <c r="Q896" s="136"/>
      <c r="R896" s="136"/>
      <c r="S896" s="136"/>
      <c r="T896" s="136"/>
      <c r="U896" s="136"/>
    </row>
    <row r="897" spans="13:21" x14ac:dyDescent="0.35">
      <c r="M897" s="135"/>
      <c r="N897" s="136"/>
      <c r="O897" s="136"/>
      <c r="P897" s="136"/>
      <c r="Q897" s="136"/>
      <c r="R897" s="136"/>
      <c r="S897" s="136"/>
      <c r="T897" s="136"/>
      <c r="U897" s="136"/>
    </row>
    <row r="898" spans="13:21" x14ac:dyDescent="0.35">
      <c r="M898" s="135"/>
      <c r="N898" s="136"/>
      <c r="O898" s="136"/>
      <c r="P898" s="136"/>
      <c r="Q898" s="136"/>
      <c r="R898" s="136"/>
      <c r="S898" s="136"/>
      <c r="T898" s="136"/>
      <c r="U898" s="136"/>
    </row>
    <row r="899" spans="13:21" x14ac:dyDescent="0.35">
      <c r="M899" s="135"/>
      <c r="N899" s="136"/>
      <c r="O899" s="136"/>
      <c r="P899" s="136"/>
      <c r="Q899" s="136"/>
      <c r="R899" s="136"/>
      <c r="S899" s="136"/>
      <c r="T899" s="136"/>
      <c r="U899" s="136"/>
    </row>
    <row r="900" spans="13:21" x14ac:dyDescent="0.35">
      <c r="M900" s="135"/>
      <c r="N900" s="136"/>
      <c r="O900" s="136"/>
      <c r="P900" s="136"/>
      <c r="Q900" s="136"/>
      <c r="R900" s="136"/>
      <c r="S900" s="136"/>
      <c r="T900" s="136"/>
      <c r="U900" s="136"/>
    </row>
    <row r="901" spans="13:21" x14ac:dyDescent="0.35">
      <c r="M901" s="135"/>
      <c r="N901" s="136"/>
      <c r="O901" s="136"/>
      <c r="P901" s="136"/>
      <c r="Q901" s="136"/>
      <c r="R901" s="136"/>
      <c r="S901" s="136"/>
      <c r="T901" s="136"/>
      <c r="U901" s="136"/>
    </row>
    <row r="902" spans="13:21" x14ac:dyDescent="0.35">
      <c r="M902" s="135"/>
      <c r="N902" s="136"/>
      <c r="O902" s="136"/>
      <c r="P902" s="136"/>
      <c r="Q902" s="136"/>
      <c r="R902" s="136"/>
      <c r="S902" s="136"/>
      <c r="T902" s="136"/>
      <c r="U902" s="136"/>
    </row>
    <row r="903" spans="13:21" x14ac:dyDescent="0.35">
      <c r="M903" s="135"/>
      <c r="N903" s="136"/>
      <c r="O903" s="136"/>
      <c r="P903" s="136"/>
      <c r="Q903" s="136"/>
      <c r="R903" s="136"/>
      <c r="S903" s="136"/>
      <c r="T903" s="136"/>
      <c r="U903" s="136"/>
    </row>
    <row r="904" spans="13:21" x14ac:dyDescent="0.35">
      <c r="M904" s="135"/>
      <c r="N904" s="136"/>
      <c r="O904" s="136"/>
      <c r="P904" s="136"/>
      <c r="Q904" s="136"/>
      <c r="R904" s="136"/>
      <c r="S904" s="136"/>
      <c r="T904" s="136"/>
      <c r="U904" s="136"/>
    </row>
    <row r="905" spans="13:21" x14ac:dyDescent="0.35">
      <c r="M905" s="135"/>
      <c r="N905" s="136"/>
      <c r="O905" s="136"/>
      <c r="P905" s="136"/>
      <c r="Q905" s="136"/>
      <c r="R905" s="136"/>
      <c r="S905" s="136"/>
      <c r="T905" s="136"/>
      <c r="U905" s="136"/>
    </row>
    <row r="906" spans="13:21" x14ac:dyDescent="0.35">
      <c r="M906" s="135"/>
      <c r="N906" s="136"/>
      <c r="O906" s="136"/>
      <c r="P906" s="136"/>
      <c r="Q906" s="136"/>
      <c r="R906" s="136"/>
      <c r="S906" s="136"/>
      <c r="T906" s="136"/>
      <c r="U906" s="136"/>
    </row>
    <row r="907" spans="13:21" x14ac:dyDescent="0.35">
      <c r="M907" s="135"/>
      <c r="N907" s="136"/>
      <c r="O907" s="136"/>
      <c r="P907" s="136"/>
      <c r="Q907" s="136"/>
      <c r="R907" s="136"/>
      <c r="S907" s="136"/>
      <c r="T907" s="136"/>
      <c r="U907" s="136"/>
    </row>
    <row r="908" spans="13:21" x14ac:dyDescent="0.35">
      <c r="M908" s="135"/>
      <c r="N908" s="136"/>
      <c r="O908" s="136"/>
      <c r="P908" s="136"/>
      <c r="Q908" s="136"/>
      <c r="R908" s="136"/>
      <c r="S908" s="136"/>
      <c r="T908" s="136"/>
      <c r="U908" s="136"/>
    </row>
    <row r="909" spans="13:21" x14ac:dyDescent="0.35">
      <c r="M909" s="135"/>
      <c r="N909" s="136"/>
      <c r="O909" s="136"/>
      <c r="P909" s="136"/>
      <c r="Q909" s="136"/>
      <c r="R909" s="136"/>
      <c r="S909" s="136"/>
      <c r="T909" s="136"/>
      <c r="U909" s="136"/>
    </row>
    <row r="910" spans="13:21" x14ac:dyDescent="0.35">
      <c r="M910" s="135"/>
      <c r="N910" s="136"/>
      <c r="O910" s="136"/>
      <c r="P910" s="136"/>
      <c r="Q910" s="136"/>
      <c r="R910" s="136"/>
      <c r="S910" s="136"/>
      <c r="T910" s="136"/>
      <c r="U910" s="136"/>
    </row>
    <row r="911" spans="13:21" x14ac:dyDescent="0.35">
      <c r="M911" s="135"/>
      <c r="N911" s="136"/>
      <c r="O911" s="136"/>
      <c r="P911" s="136"/>
      <c r="Q911" s="136"/>
      <c r="R911" s="136"/>
      <c r="S911" s="136"/>
      <c r="T911" s="136"/>
      <c r="U911" s="136"/>
    </row>
    <row r="912" spans="13:21" x14ac:dyDescent="0.35">
      <c r="M912" s="135"/>
      <c r="N912" s="136"/>
      <c r="O912" s="136"/>
      <c r="P912" s="136"/>
      <c r="Q912" s="136"/>
      <c r="R912" s="136"/>
      <c r="S912" s="136"/>
      <c r="T912" s="136"/>
      <c r="U912" s="136"/>
    </row>
    <row r="913" spans="13:21" x14ac:dyDescent="0.35">
      <c r="M913" s="135"/>
      <c r="N913" s="136"/>
      <c r="O913" s="136"/>
      <c r="P913" s="136"/>
      <c r="Q913" s="136"/>
      <c r="R913" s="136"/>
      <c r="S913" s="136"/>
      <c r="T913" s="136"/>
      <c r="U913" s="136"/>
    </row>
    <row r="914" spans="13:21" x14ac:dyDescent="0.35">
      <c r="M914" s="135"/>
      <c r="N914" s="136"/>
      <c r="O914" s="136"/>
      <c r="P914" s="136"/>
      <c r="Q914" s="136"/>
      <c r="R914" s="136"/>
      <c r="S914" s="136"/>
      <c r="T914" s="136"/>
      <c r="U914" s="136"/>
    </row>
    <row r="915" spans="13:21" x14ac:dyDescent="0.35">
      <c r="M915" s="135"/>
      <c r="N915" s="136"/>
      <c r="O915" s="136"/>
      <c r="P915" s="136"/>
      <c r="Q915" s="136"/>
      <c r="R915" s="136"/>
      <c r="S915" s="136"/>
      <c r="T915" s="136"/>
      <c r="U915" s="136"/>
    </row>
    <row r="916" spans="13:21" x14ac:dyDescent="0.35">
      <c r="M916" s="135"/>
      <c r="N916" s="136"/>
      <c r="O916" s="136"/>
      <c r="P916" s="136"/>
      <c r="Q916" s="136"/>
      <c r="R916" s="136"/>
      <c r="S916" s="136"/>
      <c r="T916" s="136"/>
      <c r="U916" s="136"/>
    </row>
    <row r="917" spans="13:21" x14ac:dyDescent="0.35">
      <c r="M917" s="135"/>
      <c r="N917" s="136"/>
      <c r="O917" s="136"/>
      <c r="P917" s="136"/>
      <c r="Q917" s="136"/>
      <c r="R917" s="136"/>
      <c r="S917" s="136"/>
      <c r="T917" s="136"/>
      <c r="U917" s="136"/>
    </row>
    <row r="918" spans="13:21" x14ac:dyDescent="0.35">
      <c r="M918" s="135"/>
      <c r="N918" s="136"/>
      <c r="O918" s="136"/>
      <c r="P918" s="136"/>
      <c r="Q918" s="136"/>
      <c r="R918" s="136"/>
      <c r="S918" s="136"/>
      <c r="T918" s="136"/>
      <c r="U918" s="136"/>
    </row>
    <row r="919" spans="13:21" x14ac:dyDescent="0.35">
      <c r="M919" s="135"/>
      <c r="N919" s="136"/>
      <c r="O919" s="136"/>
      <c r="P919" s="136"/>
      <c r="Q919" s="136"/>
      <c r="R919" s="136"/>
      <c r="S919" s="136"/>
      <c r="T919" s="136"/>
      <c r="U919" s="136"/>
    </row>
    <row r="920" spans="13:21" x14ac:dyDescent="0.35">
      <c r="M920" s="135"/>
      <c r="N920" s="136"/>
      <c r="O920" s="136"/>
      <c r="P920" s="136"/>
      <c r="Q920" s="136"/>
      <c r="R920" s="136"/>
      <c r="S920" s="136"/>
      <c r="T920" s="136"/>
      <c r="U920" s="136"/>
    </row>
    <row r="921" spans="13:21" x14ac:dyDescent="0.35">
      <c r="M921" s="135"/>
      <c r="N921" s="136"/>
      <c r="O921" s="136"/>
      <c r="P921" s="136"/>
      <c r="Q921" s="136"/>
      <c r="R921" s="136"/>
      <c r="S921" s="136"/>
      <c r="T921" s="136"/>
      <c r="U921" s="136"/>
    </row>
    <row r="922" spans="13:21" x14ac:dyDescent="0.35">
      <c r="M922" s="135"/>
      <c r="N922" s="136"/>
      <c r="O922" s="136"/>
      <c r="P922" s="136"/>
      <c r="Q922" s="136"/>
      <c r="R922" s="136"/>
      <c r="S922" s="136"/>
      <c r="T922" s="136"/>
      <c r="U922" s="136"/>
    </row>
    <row r="923" spans="13:21" x14ac:dyDescent="0.35">
      <c r="M923" s="135"/>
      <c r="N923" s="136"/>
      <c r="O923" s="136"/>
      <c r="P923" s="136"/>
      <c r="Q923" s="136"/>
      <c r="R923" s="136"/>
      <c r="S923" s="136"/>
      <c r="T923" s="136"/>
      <c r="U923" s="136"/>
    </row>
    <row r="924" spans="13:21" x14ac:dyDescent="0.35">
      <c r="M924" s="135"/>
      <c r="N924" s="136"/>
      <c r="O924" s="136"/>
      <c r="P924" s="136"/>
      <c r="Q924" s="136"/>
      <c r="R924" s="136"/>
      <c r="S924" s="136"/>
      <c r="T924" s="136"/>
      <c r="U924" s="136"/>
    </row>
    <row r="925" spans="13:21" x14ac:dyDescent="0.35">
      <c r="M925" s="135"/>
      <c r="N925" s="136"/>
      <c r="O925" s="136"/>
      <c r="P925" s="136"/>
      <c r="Q925" s="136"/>
      <c r="R925" s="136"/>
      <c r="S925" s="136"/>
      <c r="T925" s="136"/>
      <c r="U925" s="136"/>
    </row>
    <row r="926" spans="13:21" x14ac:dyDescent="0.35">
      <c r="M926" s="135"/>
      <c r="N926" s="136"/>
      <c r="O926" s="136"/>
      <c r="P926" s="136"/>
      <c r="Q926" s="136"/>
      <c r="R926" s="136"/>
      <c r="S926" s="136"/>
      <c r="T926" s="136"/>
      <c r="U926" s="136"/>
    </row>
    <row r="927" spans="13:21" x14ac:dyDescent="0.35">
      <c r="M927" s="135"/>
      <c r="N927" s="136"/>
      <c r="O927" s="136"/>
      <c r="P927" s="136"/>
      <c r="Q927" s="136"/>
      <c r="R927" s="136"/>
      <c r="S927" s="136"/>
      <c r="T927" s="136"/>
      <c r="U927" s="136"/>
    </row>
    <row r="928" spans="13:21" x14ac:dyDescent="0.35">
      <c r="M928" s="135"/>
      <c r="N928" s="136"/>
      <c r="O928" s="136"/>
      <c r="P928" s="136"/>
      <c r="Q928" s="136"/>
      <c r="R928" s="136"/>
      <c r="S928" s="136"/>
      <c r="T928" s="136"/>
      <c r="U928" s="136"/>
    </row>
    <row r="929" spans="13:21" x14ac:dyDescent="0.35">
      <c r="M929" s="135"/>
      <c r="N929" s="136"/>
      <c r="O929" s="136"/>
      <c r="P929" s="136"/>
      <c r="Q929" s="136"/>
      <c r="R929" s="136"/>
      <c r="S929" s="136"/>
      <c r="T929" s="136"/>
      <c r="U929" s="136"/>
    </row>
    <row r="930" spans="13:21" x14ac:dyDescent="0.35">
      <c r="M930" s="135"/>
      <c r="N930" s="136"/>
      <c r="O930" s="136"/>
      <c r="P930" s="136"/>
      <c r="Q930" s="136"/>
      <c r="R930" s="136"/>
      <c r="S930" s="136"/>
      <c r="T930" s="136"/>
      <c r="U930" s="136"/>
    </row>
    <row r="931" spans="13:21" x14ac:dyDescent="0.35">
      <c r="M931" s="135"/>
      <c r="N931" s="136"/>
      <c r="O931" s="136"/>
      <c r="P931" s="136"/>
      <c r="Q931" s="136"/>
      <c r="R931" s="136"/>
      <c r="S931" s="136"/>
      <c r="T931" s="136"/>
      <c r="U931" s="136"/>
    </row>
    <row r="932" spans="13:21" x14ac:dyDescent="0.35">
      <c r="M932" s="135"/>
      <c r="N932" s="136"/>
      <c r="O932" s="136"/>
      <c r="P932" s="136"/>
      <c r="Q932" s="136"/>
      <c r="R932" s="136"/>
      <c r="S932" s="136"/>
      <c r="T932" s="136"/>
      <c r="U932" s="136"/>
    </row>
    <row r="933" spans="13:21" x14ac:dyDescent="0.35">
      <c r="M933" s="135"/>
      <c r="N933" s="136"/>
      <c r="O933" s="136"/>
      <c r="P933" s="136"/>
      <c r="Q933" s="136"/>
      <c r="R933" s="136"/>
      <c r="S933" s="136"/>
      <c r="T933" s="136"/>
      <c r="U933" s="136"/>
    </row>
    <row r="934" spans="13:21" x14ac:dyDescent="0.35">
      <c r="M934" s="135"/>
      <c r="N934" s="136"/>
      <c r="O934" s="136"/>
      <c r="P934" s="136"/>
      <c r="Q934" s="136"/>
      <c r="R934" s="136"/>
      <c r="S934" s="136"/>
      <c r="T934" s="136"/>
      <c r="U934" s="136"/>
    </row>
    <row r="935" spans="13:21" x14ac:dyDescent="0.35">
      <c r="M935" s="135"/>
      <c r="N935" s="136"/>
      <c r="O935" s="136"/>
      <c r="P935" s="136"/>
      <c r="Q935" s="136"/>
      <c r="R935" s="136"/>
      <c r="S935" s="136"/>
      <c r="T935" s="136"/>
      <c r="U935" s="136"/>
    </row>
    <row r="936" spans="13:21" x14ac:dyDescent="0.35">
      <c r="M936" s="135"/>
      <c r="N936" s="136"/>
      <c r="O936" s="136"/>
      <c r="P936" s="136"/>
      <c r="Q936" s="136"/>
      <c r="R936" s="136"/>
      <c r="S936" s="136"/>
      <c r="T936" s="136"/>
      <c r="U936" s="136"/>
    </row>
    <row r="937" spans="13:21" x14ac:dyDescent="0.35">
      <c r="M937" s="135"/>
      <c r="N937" s="136"/>
      <c r="O937" s="136"/>
      <c r="P937" s="136"/>
      <c r="Q937" s="136"/>
      <c r="R937" s="136"/>
      <c r="S937" s="136"/>
      <c r="T937" s="136"/>
      <c r="U937" s="136"/>
    </row>
    <row r="938" spans="13:21" x14ac:dyDescent="0.35">
      <c r="M938" s="135"/>
      <c r="N938" s="136"/>
      <c r="O938" s="136"/>
      <c r="P938" s="136"/>
      <c r="Q938" s="136"/>
      <c r="R938" s="136"/>
      <c r="S938" s="136"/>
      <c r="T938" s="136"/>
      <c r="U938" s="136"/>
    </row>
    <row r="939" spans="13:21" x14ac:dyDescent="0.35">
      <c r="M939" s="135"/>
      <c r="N939" s="136"/>
      <c r="O939" s="136"/>
      <c r="P939" s="136"/>
      <c r="Q939" s="136"/>
      <c r="R939" s="136"/>
      <c r="S939" s="136"/>
      <c r="T939" s="136"/>
      <c r="U939" s="136"/>
    </row>
    <row r="940" spans="13:21" x14ac:dyDescent="0.35">
      <c r="M940" s="135"/>
      <c r="N940" s="136"/>
      <c r="O940" s="136"/>
      <c r="P940" s="136"/>
      <c r="Q940" s="136"/>
      <c r="R940" s="136"/>
      <c r="S940" s="136"/>
      <c r="T940" s="136"/>
      <c r="U940" s="136"/>
    </row>
    <row r="941" spans="13:21" x14ac:dyDescent="0.35">
      <c r="M941" s="135"/>
      <c r="N941" s="136"/>
      <c r="O941" s="136"/>
      <c r="P941" s="136"/>
      <c r="Q941" s="136"/>
      <c r="R941" s="136"/>
      <c r="S941" s="136"/>
      <c r="T941" s="136"/>
      <c r="U941" s="136"/>
    </row>
    <row r="942" spans="13:21" x14ac:dyDescent="0.35">
      <c r="M942" s="135"/>
      <c r="N942" s="136"/>
      <c r="O942" s="136"/>
      <c r="P942" s="136"/>
      <c r="Q942" s="136"/>
      <c r="R942" s="136"/>
      <c r="S942" s="136"/>
      <c r="T942" s="136"/>
      <c r="U942" s="136"/>
    </row>
    <row r="943" spans="13:21" x14ac:dyDescent="0.35">
      <c r="M943" s="135"/>
      <c r="N943" s="136"/>
      <c r="O943" s="136"/>
      <c r="P943" s="136"/>
      <c r="Q943" s="136"/>
      <c r="R943" s="136"/>
      <c r="S943" s="136"/>
      <c r="T943" s="136"/>
      <c r="U943" s="136"/>
    </row>
    <row r="944" spans="13:21" x14ac:dyDescent="0.35">
      <c r="M944" s="135"/>
      <c r="N944" s="136"/>
      <c r="O944" s="136"/>
      <c r="P944" s="136"/>
      <c r="Q944" s="136"/>
      <c r="R944" s="136"/>
      <c r="S944" s="136"/>
      <c r="T944" s="136"/>
      <c r="U944" s="136"/>
    </row>
    <row r="945" spans="13:21" x14ac:dyDescent="0.35">
      <c r="M945" s="135"/>
      <c r="N945" s="136"/>
      <c r="O945" s="136"/>
      <c r="P945" s="136"/>
      <c r="Q945" s="136"/>
      <c r="R945" s="136"/>
      <c r="S945" s="136"/>
      <c r="T945" s="136"/>
      <c r="U945" s="136"/>
    </row>
    <row r="946" spans="13:21" x14ac:dyDescent="0.35">
      <c r="M946" s="135"/>
      <c r="N946" s="136"/>
      <c r="O946" s="136"/>
      <c r="P946" s="136"/>
      <c r="Q946" s="136"/>
      <c r="R946" s="136"/>
      <c r="S946" s="136"/>
      <c r="T946" s="136"/>
      <c r="U946" s="136"/>
    </row>
    <row r="947" spans="13:21" x14ac:dyDescent="0.35">
      <c r="M947" s="135"/>
      <c r="N947" s="136"/>
      <c r="O947" s="136"/>
      <c r="P947" s="136"/>
      <c r="Q947" s="136"/>
      <c r="R947" s="136"/>
      <c r="S947" s="136"/>
      <c r="T947" s="136"/>
      <c r="U947" s="136"/>
    </row>
    <row r="948" spans="13:21" x14ac:dyDescent="0.35">
      <c r="M948" s="135"/>
      <c r="N948" s="136"/>
      <c r="O948" s="136"/>
      <c r="P948" s="136"/>
      <c r="Q948" s="136"/>
      <c r="R948" s="136"/>
      <c r="S948" s="136"/>
      <c r="T948" s="136"/>
      <c r="U948" s="136"/>
    </row>
    <row r="949" spans="13:21" x14ac:dyDescent="0.35">
      <c r="M949" s="135"/>
      <c r="N949" s="136"/>
      <c r="O949" s="136"/>
      <c r="P949" s="136"/>
      <c r="Q949" s="136"/>
      <c r="R949" s="136"/>
      <c r="S949" s="136"/>
      <c r="T949" s="136"/>
      <c r="U949" s="136"/>
    </row>
    <row r="950" spans="13:21" x14ac:dyDescent="0.35">
      <c r="M950" s="135"/>
      <c r="N950" s="136"/>
      <c r="O950" s="136"/>
      <c r="P950" s="136"/>
      <c r="Q950" s="136"/>
      <c r="R950" s="136"/>
      <c r="S950" s="136"/>
      <c r="T950" s="136"/>
      <c r="U950" s="136"/>
    </row>
    <row r="951" spans="13:21" x14ac:dyDescent="0.35">
      <c r="M951" s="135"/>
      <c r="N951" s="136"/>
      <c r="O951" s="136"/>
      <c r="P951" s="136"/>
      <c r="Q951" s="136"/>
      <c r="R951" s="136"/>
      <c r="S951" s="136"/>
      <c r="T951" s="136"/>
      <c r="U951" s="136"/>
    </row>
    <row r="952" spans="13:21" x14ac:dyDescent="0.35">
      <c r="M952" s="135"/>
      <c r="N952" s="136"/>
      <c r="O952" s="136"/>
      <c r="P952" s="136"/>
      <c r="Q952" s="136"/>
      <c r="R952" s="136"/>
      <c r="S952" s="136"/>
      <c r="T952" s="136"/>
      <c r="U952" s="136"/>
    </row>
    <row r="953" spans="13:21" x14ac:dyDescent="0.35">
      <c r="M953" s="135"/>
      <c r="N953" s="136"/>
      <c r="O953" s="136"/>
      <c r="P953" s="136"/>
      <c r="Q953" s="136"/>
      <c r="R953" s="136"/>
      <c r="S953" s="136"/>
      <c r="T953" s="136"/>
      <c r="U953" s="136"/>
    </row>
    <row r="954" spans="13:21" x14ac:dyDescent="0.35">
      <c r="M954" s="135"/>
      <c r="N954" s="136"/>
      <c r="O954" s="136"/>
      <c r="P954" s="136"/>
      <c r="Q954" s="136"/>
      <c r="R954" s="136"/>
      <c r="S954" s="136"/>
      <c r="T954" s="136"/>
      <c r="U954" s="136"/>
    </row>
    <row r="955" spans="13:21" x14ac:dyDescent="0.35">
      <c r="M955" s="135"/>
      <c r="N955" s="136"/>
      <c r="O955" s="136"/>
      <c r="P955" s="136"/>
      <c r="Q955" s="136"/>
      <c r="R955" s="136"/>
      <c r="S955" s="136"/>
      <c r="T955" s="136"/>
      <c r="U955" s="136"/>
    </row>
    <row r="956" spans="13:21" x14ac:dyDescent="0.35">
      <c r="M956" s="135"/>
      <c r="N956" s="136"/>
      <c r="O956" s="136"/>
      <c r="P956" s="136"/>
      <c r="Q956" s="136"/>
      <c r="R956" s="136"/>
      <c r="S956" s="136"/>
      <c r="T956" s="136"/>
      <c r="U956" s="136"/>
    </row>
    <row r="957" spans="13:21" x14ac:dyDescent="0.35">
      <c r="M957" s="135"/>
      <c r="N957" s="136"/>
      <c r="O957" s="136"/>
      <c r="P957" s="136"/>
      <c r="Q957" s="136"/>
      <c r="R957" s="136"/>
      <c r="S957" s="136"/>
      <c r="T957" s="136"/>
      <c r="U957" s="136"/>
    </row>
    <row r="958" spans="13:21" x14ac:dyDescent="0.35">
      <c r="M958" s="135"/>
      <c r="N958" s="136"/>
      <c r="O958" s="136"/>
      <c r="P958" s="136"/>
      <c r="Q958" s="136"/>
      <c r="R958" s="136"/>
      <c r="S958" s="136"/>
      <c r="T958" s="136"/>
      <c r="U958" s="136"/>
    </row>
    <row r="959" spans="13:21" x14ac:dyDescent="0.35">
      <c r="M959" s="135"/>
      <c r="N959" s="136"/>
      <c r="O959" s="136"/>
      <c r="P959" s="136"/>
      <c r="Q959" s="136"/>
      <c r="R959" s="136"/>
      <c r="S959" s="136"/>
      <c r="T959" s="136"/>
      <c r="U959" s="136"/>
    </row>
    <row r="960" spans="13:21" x14ac:dyDescent="0.35">
      <c r="M960" s="135"/>
      <c r="N960" s="136"/>
      <c r="O960" s="136"/>
      <c r="P960" s="136"/>
      <c r="Q960" s="136"/>
      <c r="R960" s="136"/>
      <c r="S960" s="136"/>
      <c r="T960" s="136"/>
      <c r="U960" s="136"/>
    </row>
    <row r="961" spans="13:21" x14ac:dyDescent="0.35">
      <c r="M961" s="135"/>
      <c r="N961" s="136"/>
      <c r="O961" s="136"/>
      <c r="P961" s="136"/>
      <c r="Q961" s="136"/>
      <c r="R961" s="136"/>
      <c r="S961" s="136"/>
      <c r="T961" s="136"/>
      <c r="U961" s="136"/>
    </row>
    <row r="962" spans="13:21" x14ac:dyDescent="0.35">
      <c r="M962" s="135"/>
      <c r="N962" s="136"/>
      <c r="O962" s="136"/>
      <c r="P962" s="136"/>
      <c r="Q962" s="136"/>
      <c r="R962" s="136"/>
      <c r="S962" s="136"/>
      <c r="T962" s="136"/>
      <c r="U962" s="136"/>
    </row>
    <row r="963" spans="13:21" x14ac:dyDescent="0.35">
      <c r="M963" s="135"/>
      <c r="N963" s="136"/>
      <c r="O963" s="136"/>
      <c r="P963" s="136"/>
      <c r="Q963" s="136"/>
      <c r="R963" s="136"/>
      <c r="S963" s="136"/>
      <c r="T963" s="136"/>
      <c r="U963" s="136"/>
    </row>
    <row r="964" spans="13:21" x14ac:dyDescent="0.35">
      <c r="M964" s="135"/>
      <c r="N964" s="136"/>
      <c r="O964" s="136"/>
      <c r="P964" s="136"/>
      <c r="Q964" s="136"/>
      <c r="R964" s="136"/>
      <c r="S964" s="136"/>
      <c r="T964" s="136"/>
      <c r="U964" s="136"/>
    </row>
    <row r="965" spans="13:21" x14ac:dyDescent="0.35">
      <c r="M965" s="135"/>
      <c r="N965" s="136"/>
      <c r="O965" s="136"/>
      <c r="P965" s="136"/>
      <c r="Q965" s="136"/>
      <c r="R965" s="136"/>
      <c r="S965" s="136"/>
      <c r="T965" s="136"/>
      <c r="U965" s="136"/>
    </row>
    <row r="966" spans="13:21" x14ac:dyDescent="0.35">
      <c r="M966" s="135"/>
      <c r="N966" s="136"/>
      <c r="O966" s="136"/>
      <c r="P966" s="136"/>
      <c r="Q966" s="136"/>
      <c r="R966" s="136"/>
      <c r="S966" s="136"/>
      <c r="T966" s="136"/>
      <c r="U966" s="136"/>
    </row>
    <row r="967" spans="13:21" x14ac:dyDescent="0.35">
      <c r="M967" s="135"/>
      <c r="N967" s="136"/>
      <c r="O967" s="136"/>
      <c r="P967" s="136"/>
      <c r="Q967" s="136"/>
      <c r="R967" s="136"/>
      <c r="S967" s="136"/>
      <c r="T967" s="136"/>
      <c r="U967" s="136"/>
    </row>
    <row r="968" spans="13:21" x14ac:dyDescent="0.35">
      <c r="M968" s="135"/>
      <c r="N968" s="136"/>
      <c r="O968" s="136"/>
      <c r="P968" s="136"/>
      <c r="Q968" s="136"/>
      <c r="R968" s="136"/>
      <c r="S968" s="136"/>
      <c r="T968" s="136"/>
      <c r="U968" s="136"/>
    </row>
    <row r="969" spans="13:21" x14ac:dyDescent="0.35">
      <c r="M969" s="135"/>
      <c r="N969" s="136"/>
      <c r="O969" s="136"/>
      <c r="P969" s="136"/>
      <c r="Q969" s="136"/>
      <c r="R969" s="136"/>
      <c r="S969" s="136"/>
      <c r="T969" s="136"/>
      <c r="U969" s="136"/>
    </row>
    <row r="970" spans="13:21" x14ac:dyDescent="0.35">
      <c r="M970" s="135"/>
      <c r="N970" s="136"/>
      <c r="O970" s="136"/>
      <c r="P970" s="136"/>
      <c r="Q970" s="136"/>
      <c r="R970" s="136"/>
      <c r="S970" s="136"/>
      <c r="T970" s="136"/>
      <c r="U970" s="136"/>
    </row>
    <row r="971" spans="13:21" x14ac:dyDescent="0.35">
      <c r="M971" s="135"/>
      <c r="N971" s="136"/>
      <c r="O971" s="136"/>
      <c r="P971" s="136"/>
      <c r="Q971" s="136"/>
      <c r="R971" s="136"/>
      <c r="S971" s="136"/>
      <c r="T971" s="136"/>
      <c r="U971" s="136"/>
    </row>
    <row r="972" spans="13:21" x14ac:dyDescent="0.35">
      <c r="M972" s="135"/>
      <c r="N972" s="136"/>
      <c r="O972" s="136"/>
      <c r="P972" s="136"/>
      <c r="Q972" s="136"/>
      <c r="R972" s="136"/>
      <c r="S972" s="136"/>
      <c r="T972" s="136"/>
      <c r="U972" s="136"/>
    </row>
    <row r="973" spans="13:21" x14ac:dyDescent="0.35">
      <c r="M973" s="135"/>
      <c r="N973" s="136"/>
      <c r="O973" s="136"/>
      <c r="P973" s="136"/>
      <c r="Q973" s="136"/>
      <c r="R973" s="136"/>
      <c r="S973" s="136"/>
      <c r="T973" s="136"/>
      <c r="U973" s="136"/>
    </row>
    <row r="974" spans="13:21" x14ac:dyDescent="0.35">
      <c r="M974" s="135"/>
      <c r="N974" s="136"/>
      <c r="O974" s="136"/>
      <c r="P974" s="136"/>
      <c r="Q974" s="136"/>
      <c r="R974" s="136"/>
      <c r="S974" s="136"/>
      <c r="T974" s="136"/>
      <c r="U974" s="136"/>
    </row>
    <row r="975" spans="13:21" x14ac:dyDescent="0.35">
      <c r="M975" s="135"/>
      <c r="N975" s="136"/>
      <c r="O975" s="136"/>
      <c r="P975" s="136"/>
      <c r="Q975" s="136"/>
      <c r="R975" s="136"/>
      <c r="S975" s="136"/>
      <c r="T975" s="136"/>
      <c r="U975" s="136"/>
    </row>
    <row r="976" spans="13:21" x14ac:dyDescent="0.35">
      <c r="M976" s="135"/>
      <c r="N976" s="136"/>
      <c r="O976" s="136"/>
      <c r="P976" s="136"/>
      <c r="Q976" s="136"/>
      <c r="R976" s="136"/>
      <c r="S976" s="136"/>
      <c r="T976" s="136"/>
      <c r="U976" s="136"/>
    </row>
    <row r="977" spans="13:21" x14ac:dyDescent="0.35">
      <c r="M977" s="135"/>
      <c r="N977" s="136"/>
      <c r="O977" s="136"/>
      <c r="P977" s="136"/>
      <c r="Q977" s="136"/>
      <c r="R977" s="136"/>
      <c r="S977" s="136"/>
      <c r="T977" s="136"/>
      <c r="U977" s="136"/>
    </row>
    <row r="978" spans="13:21" x14ac:dyDescent="0.35">
      <c r="M978" s="135"/>
      <c r="N978" s="136"/>
      <c r="O978" s="136"/>
      <c r="P978" s="136"/>
      <c r="Q978" s="136"/>
      <c r="R978" s="136"/>
      <c r="S978" s="136"/>
      <c r="T978" s="136"/>
      <c r="U978" s="136"/>
    </row>
    <row r="979" spans="13:21" x14ac:dyDescent="0.35">
      <c r="M979" s="135"/>
      <c r="N979" s="136"/>
      <c r="O979" s="136"/>
      <c r="P979" s="136"/>
      <c r="Q979" s="136"/>
      <c r="R979" s="136"/>
      <c r="S979" s="136"/>
      <c r="T979" s="136"/>
      <c r="U979" s="136"/>
    </row>
    <row r="980" spans="13:21" x14ac:dyDescent="0.35">
      <c r="M980" s="135"/>
      <c r="N980" s="136"/>
      <c r="O980" s="136"/>
      <c r="P980" s="136"/>
      <c r="Q980" s="136"/>
      <c r="R980" s="136"/>
      <c r="S980" s="136"/>
      <c r="T980" s="136"/>
      <c r="U980" s="136"/>
    </row>
    <row r="981" spans="13:21" x14ac:dyDescent="0.35">
      <c r="M981" s="135"/>
      <c r="N981" s="136"/>
      <c r="O981" s="136"/>
      <c r="P981" s="136"/>
      <c r="Q981" s="136"/>
      <c r="R981" s="136"/>
      <c r="S981" s="136"/>
      <c r="T981" s="136"/>
      <c r="U981" s="136"/>
    </row>
    <row r="982" spans="13:21" x14ac:dyDescent="0.35">
      <c r="M982" s="135"/>
      <c r="N982" s="136"/>
      <c r="O982" s="136"/>
      <c r="P982" s="136"/>
      <c r="Q982" s="136"/>
      <c r="R982" s="136"/>
      <c r="S982" s="136"/>
      <c r="T982" s="136"/>
      <c r="U982" s="136"/>
    </row>
    <row r="983" spans="13:21" x14ac:dyDescent="0.35">
      <c r="M983" s="135"/>
      <c r="N983" s="136"/>
      <c r="O983" s="136"/>
      <c r="P983" s="136"/>
      <c r="Q983" s="136"/>
      <c r="R983" s="136"/>
      <c r="S983" s="136"/>
      <c r="T983" s="136"/>
      <c r="U983" s="136"/>
    </row>
    <row r="984" spans="13:21" x14ac:dyDescent="0.35">
      <c r="M984" s="135"/>
      <c r="N984" s="136"/>
      <c r="O984" s="136"/>
      <c r="P984" s="136"/>
      <c r="Q984" s="136"/>
      <c r="R984" s="136"/>
      <c r="S984" s="136"/>
      <c r="T984" s="136"/>
      <c r="U984" s="136"/>
    </row>
    <row r="985" spans="13:21" x14ac:dyDescent="0.35">
      <c r="M985" s="135"/>
      <c r="N985" s="136"/>
      <c r="O985" s="136"/>
      <c r="P985" s="136"/>
      <c r="Q985" s="136"/>
      <c r="R985" s="136"/>
      <c r="S985" s="136"/>
      <c r="T985" s="136"/>
      <c r="U985" s="136"/>
    </row>
    <row r="986" spans="13:21" x14ac:dyDescent="0.35">
      <c r="M986" s="135"/>
      <c r="N986" s="136"/>
      <c r="O986" s="136"/>
      <c r="P986" s="136"/>
      <c r="Q986" s="136"/>
      <c r="R986" s="136"/>
      <c r="S986" s="136"/>
      <c r="T986" s="136"/>
      <c r="U986" s="136"/>
    </row>
    <row r="987" spans="13:21" x14ac:dyDescent="0.35">
      <c r="M987" s="135"/>
      <c r="N987" s="136"/>
      <c r="O987" s="136"/>
      <c r="P987" s="136"/>
      <c r="Q987" s="136"/>
      <c r="R987" s="136"/>
      <c r="S987" s="136"/>
      <c r="T987" s="136"/>
      <c r="U987" s="136"/>
    </row>
    <row r="988" spans="13:21" x14ac:dyDescent="0.35">
      <c r="M988" s="135"/>
      <c r="N988" s="136"/>
      <c r="O988" s="136"/>
      <c r="P988" s="136"/>
      <c r="Q988" s="136"/>
      <c r="R988" s="136"/>
      <c r="S988" s="136"/>
      <c r="T988" s="136"/>
      <c r="U988" s="136"/>
    </row>
    <row r="989" spans="13:21" x14ac:dyDescent="0.35">
      <c r="M989" s="135"/>
      <c r="N989" s="136"/>
      <c r="O989" s="136"/>
      <c r="P989" s="136"/>
      <c r="Q989" s="136"/>
      <c r="R989" s="136"/>
      <c r="S989" s="136"/>
      <c r="T989" s="136"/>
      <c r="U989" s="136"/>
    </row>
    <row r="990" spans="13:21" x14ac:dyDescent="0.35">
      <c r="M990" s="135"/>
      <c r="N990" s="136"/>
      <c r="O990" s="136"/>
      <c r="P990" s="136"/>
      <c r="Q990" s="136"/>
      <c r="R990" s="136"/>
      <c r="S990" s="136"/>
      <c r="T990" s="136"/>
      <c r="U990" s="136"/>
    </row>
    <row r="991" spans="13:21" x14ac:dyDescent="0.35">
      <c r="M991" s="135"/>
      <c r="N991" s="136"/>
      <c r="O991" s="136"/>
      <c r="P991" s="136"/>
      <c r="Q991" s="136"/>
      <c r="R991" s="136"/>
      <c r="S991" s="136"/>
      <c r="T991" s="136"/>
      <c r="U991" s="136"/>
    </row>
    <row r="992" spans="13:21" x14ac:dyDescent="0.35">
      <c r="M992" s="135"/>
      <c r="N992" s="136"/>
      <c r="O992" s="136"/>
      <c r="P992" s="136"/>
      <c r="Q992" s="136"/>
      <c r="R992" s="136"/>
      <c r="S992" s="136"/>
      <c r="T992" s="136"/>
      <c r="U992" s="136"/>
    </row>
    <row r="993" spans="13:21" x14ac:dyDescent="0.35">
      <c r="M993" s="135"/>
      <c r="N993" s="136"/>
      <c r="O993" s="136"/>
      <c r="P993" s="136"/>
      <c r="Q993" s="136"/>
      <c r="R993" s="136"/>
      <c r="S993" s="136"/>
      <c r="T993" s="136"/>
      <c r="U993" s="136"/>
    </row>
    <row r="994" spans="13:21" x14ac:dyDescent="0.35">
      <c r="M994" s="135"/>
      <c r="N994" s="136"/>
      <c r="O994" s="136"/>
      <c r="P994" s="136"/>
      <c r="Q994" s="136"/>
      <c r="R994" s="136"/>
      <c r="S994" s="136"/>
      <c r="T994" s="136"/>
      <c r="U994" s="136"/>
    </row>
    <row r="995" spans="13:21" x14ac:dyDescent="0.35">
      <c r="M995" s="135"/>
      <c r="N995" s="136"/>
      <c r="O995" s="136"/>
      <c r="P995" s="136"/>
      <c r="Q995" s="136"/>
      <c r="R995" s="136"/>
      <c r="S995" s="136"/>
      <c r="T995" s="136"/>
      <c r="U995" s="136"/>
    </row>
    <row r="996" spans="13:21" x14ac:dyDescent="0.35">
      <c r="M996" s="135"/>
      <c r="N996" s="136"/>
      <c r="O996" s="136"/>
      <c r="P996" s="136"/>
      <c r="Q996" s="136"/>
      <c r="R996" s="136"/>
      <c r="S996" s="136"/>
      <c r="T996" s="136"/>
      <c r="U996" s="136"/>
    </row>
    <row r="997" spans="13:21" x14ac:dyDescent="0.35">
      <c r="M997" s="135"/>
      <c r="N997" s="136"/>
      <c r="O997" s="136"/>
      <c r="P997" s="136"/>
      <c r="Q997" s="136"/>
      <c r="R997" s="136"/>
      <c r="S997" s="136"/>
      <c r="T997" s="136"/>
      <c r="U997" s="136"/>
    </row>
    <row r="998" spans="13:21" x14ac:dyDescent="0.35">
      <c r="M998" s="135"/>
      <c r="N998" s="136"/>
      <c r="O998" s="136"/>
      <c r="P998" s="136"/>
      <c r="Q998" s="136"/>
      <c r="R998" s="136"/>
      <c r="S998" s="136"/>
      <c r="T998" s="136"/>
      <c r="U998" s="136"/>
    </row>
    <row r="999" spans="13:21" x14ac:dyDescent="0.35">
      <c r="M999" s="135"/>
      <c r="N999" s="136"/>
      <c r="O999" s="136"/>
      <c r="P999" s="136"/>
      <c r="Q999" s="136"/>
      <c r="R999" s="136"/>
      <c r="S999" s="136"/>
      <c r="T999" s="136"/>
      <c r="U999" s="136"/>
    </row>
    <row r="1000" spans="13:21" x14ac:dyDescent="0.35">
      <c r="M1000" s="135"/>
      <c r="N1000" s="136"/>
      <c r="O1000" s="136"/>
      <c r="P1000" s="136"/>
      <c r="Q1000" s="136"/>
      <c r="R1000" s="136"/>
      <c r="S1000" s="136"/>
      <c r="T1000" s="136"/>
      <c r="U1000" s="136"/>
    </row>
    <row r="1001" spans="13:21" x14ac:dyDescent="0.35">
      <c r="M1001" s="135"/>
      <c r="N1001" s="136"/>
      <c r="O1001" s="136"/>
      <c r="P1001" s="136"/>
      <c r="Q1001" s="136"/>
      <c r="R1001" s="136"/>
      <c r="S1001" s="136"/>
      <c r="T1001" s="136"/>
      <c r="U1001" s="136"/>
    </row>
    <row r="1002" spans="13:21" x14ac:dyDescent="0.35">
      <c r="M1002" s="135"/>
      <c r="N1002" s="136"/>
      <c r="O1002" s="136"/>
      <c r="P1002" s="136"/>
      <c r="Q1002" s="136"/>
      <c r="R1002" s="136"/>
      <c r="S1002" s="136"/>
      <c r="T1002" s="136"/>
      <c r="U1002" s="136"/>
    </row>
    <row r="1003" spans="13:21" x14ac:dyDescent="0.35">
      <c r="M1003" s="135"/>
      <c r="N1003" s="136"/>
      <c r="O1003" s="136"/>
      <c r="P1003" s="136"/>
      <c r="Q1003" s="136"/>
      <c r="R1003" s="136"/>
      <c r="S1003" s="136"/>
      <c r="T1003" s="136"/>
      <c r="U1003" s="136"/>
    </row>
    <row r="1004" spans="13:21" x14ac:dyDescent="0.35">
      <c r="M1004" s="135"/>
      <c r="N1004" s="136"/>
      <c r="O1004" s="136"/>
      <c r="P1004" s="136"/>
      <c r="Q1004" s="136"/>
      <c r="R1004" s="136"/>
      <c r="S1004" s="136"/>
      <c r="T1004" s="136"/>
      <c r="U1004" s="136"/>
    </row>
    <row r="1005" spans="13:21" x14ac:dyDescent="0.35">
      <c r="M1005" s="135"/>
      <c r="N1005" s="136"/>
      <c r="O1005" s="136"/>
      <c r="P1005" s="136"/>
      <c r="Q1005" s="136"/>
      <c r="R1005" s="136"/>
      <c r="S1005" s="136"/>
      <c r="T1005" s="136"/>
      <c r="U1005" s="136"/>
    </row>
    <row r="1006" spans="13:21" x14ac:dyDescent="0.35">
      <c r="M1006" s="135"/>
      <c r="N1006" s="136"/>
      <c r="O1006" s="136"/>
      <c r="P1006" s="136"/>
      <c r="Q1006" s="136"/>
      <c r="R1006" s="136"/>
      <c r="S1006" s="136"/>
      <c r="T1006" s="136"/>
      <c r="U1006" s="136"/>
    </row>
    <row r="1007" spans="13:21" x14ac:dyDescent="0.35">
      <c r="M1007" s="135"/>
      <c r="N1007" s="136"/>
      <c r="O1007" s="136"/>
      <c r="P1007" s="136"/>
      <c r="Q1007" s="136"/>
      <c r="R1007" s="136"/>
      <c r="S1007" s="136"/>
      <c r="T1007" s="136"/>
      <c r="U1007" s="136"/>
    </row>
    <row r="1008" spans="13:21" x14ac:dyDescent="0.35">
      <c r="M1008" s="135"/>
      <c r="N1008" s="136"/>
      <c r="O1008" s="136"/>
      <c r="P1008" s="136"/>
      <c r="Q1008" s="136"/>
      <c r="R1008" s="136"/>
      <c r="S1008" s="136"/>
      <c r="T1008" s="136"/>
      <c r="U1008" s="136"/>
    </row>
    <row r="1009" spans="13:21" x14ac:dyDescent="0.35">
      <c r="M1009" s="135"/>
      <c r="N1009" s="136"/>
      <c r="O1009" s="136"/>
      <c r="P1009" s="136"/>
      <c r="Q1009" s="136"/>
      <c r="R1009" s="136"/>
      <c r="S1009" s="136"/>
      <c r="T1009" s="136"/>
      <c r="U1009" s="136"/>
    </row>
    <row r="1010" spans="13:21" x14ac:dyDescent="0.35">
      <c r="M1010" s="135"/>
      <c r="N1010" s="136"/>
      <c r="O1010" s="136"/>
      <c r="P1010" s="136"/>
      <c r="Q1010" s="136"/>
      <c r="R1010" s="136"/>
      <c r="S1010" s="136"/>
      <c r="T1010" s="136"/>
      <c r="U1010" s="136"/>
    </row>
    <row r="1011" spans="13:21" x14ac:dyDescent="0.35">
      <c r="M1011" s="135"/>
      <c r="N1011" s="136"/>
      <c r="O1011" s="136"/>
      <c r="P1011" s="136"/>
      <c r="Q1011" s="136"/>
      <c r="R1011" s="136"/>
      <c r="S1011" s="136"/>
      <c r="T1011" s="136"/>
      <c r="U1011" s="136"/>
    </row>
    <row r="1012" spans="13:21" x14ac:dyDescent="0.35">
      <c r="M1012" s="135"/>
      <c r="N1012" s="136"/>
      <c r="O1012" s="136"/>
      <c r="P1012" s="136"/>
      <c r="Q1012" s="136"/>
      <c r="R1012" s="136"/>
      <c r="S1012" s="136"/>
      <c r="T1012" s="136"/>
      <c r="U1012" s="136"/>
    </row>
    <row r="1013" spans="13:21" x14ac:dyDescent="0.35">
      <c r="M1013" s="135"/>
      <c r="N1013" s="136"/>
      <c r="O1013" s="136"/>
      <c r="P1013" s="136"/>
      <c r="Q1013" s="136"/>
      <c r="R1013" s="136"/>
      <c r="S1013" s="136"/>
      <c r="T1013" s="136"/>
      <c r="U1013" s="136"/>
    </row>
  </sheetData>
  <mergeCells count="86">
    <mergeCell ref="N77:N97"/>
    <mergeCell ref="N99:N110"/>
    <mergeCell ref="N112:N132"/>
    <mergeCell ref="P26:Q26"/>
    <mergeCell ref="M28:M30"/>
    <mergeCell ref="P28:P29"/>
    <mergeCell ref="N31:N44"/>
    <mergeCell ref="N47:N74"/>
    <mergeCell ref="M133:R133"/>
    <mergeCell ref="M1:U1"/>
    <mergeCell ref="M2:P2"/>
    <mergeCell ref="M3:N3"/>
    <mergeCell ref="O3:P3"/>
    <mergeCell ref="M4:N4"/>
    <mergeCell ref="O4:P4"/>
    <mergeCell ref="Q4:R4"/>
    <mergeCell ref="M6:O6"/>
    <mergeCell ref="P6:U6"/>
    <mergeCell ref="M7:O7"/>
    <mergeCell ref="P7:U7"/>
    <mergeCell ref="P9:Q9"/>
    <mergeCell ref="P10:Q10"/>
    <mergeCell ref="P11:Q11"/>
    <mergeCell ref="Q29:Q30"/>
    <mergeCell ref="R29:R30"/>
    <mergeCell ref="S29:S30"/>
    <mergeCell ref="S28:T28"/>
    <mergeCell ref="T29:T30"/>
    <mergeCell ref="O28:O29"/>
    <mergeCell ref="P25:Q25"/>
    <mergeCell ref="P20:Q20"/>
    <mergeCell ref="P21:Q21"/>
    <mergeCell ref="P22:Q22"/>
    <mergeCell ref="P23:Q23"/>
    <mergeCell ref="P24:Q24"/>
    <mergeCell ref="P15:Q15"/>
    <mergeCell ref="P16:Q16"/>
    <mergeCell ref="P17:Q17"/>
    <mergeCell ref="P18:Q18"/>
    <mergeCell ref="P19:Q19"/>
    <mergeCell ref="P12:Q12"/>
    <mergeCell ref="P13:Q13"/>
    <mergeCell ref="P14:Q14"/>
    <mergeCell ref="F26:H26"/>
    <mergeCell ref="B99:B110"/>
    <mergeCell ref="B31:B44"/>
    <mergeCell ref="B77:B97"/>
    <mergeCell ref="D23:E23"/>
    <mergeCell ref="D24:E24"/>
    <mergeCell ref="D25:E25"/>
    <mergeCell ref="D26:E26"/>
    <mergeCell ref="D16:E16"/>
    <mergeCell ref="D17:E17"/>
    <mergeCell ref="D18:E18"/>
    <mergeCell ref="D19:E19"/>
    <mergeCell ref="D20:E20"/>
    <mergeCell ref="B112:B119"/>
    <mergeCell ref="F29:F30"/>
    <mergeCell ref="B47:B74"/>
    <mergeCell ref="G28:H28"/>
    <mergeCell ref="G29:G30"/>
    <mergeCell ref="H29:H30"/>
    <mergeCell ref="D13:E13"/>
    <mergeCell ref="D14:E14"/>
    <mergeCell ref="D15:E15"/>
    <mergeCell ref="A28:A30"/>
    <mergeCell ref="C28:C29"/>
    <mergeCell ref="D28:D29"/>
    <mergeCell ref="E29:E30"/>
    <mergeCell ref="D22:E22"/>
    <mergeCell ref="D21:E21"/>
    <mergeCell ref="D11:E11"/>
    <mergeCell ref="D12:E12"/>
    <mergeCell ref="D10:E10"/>
    <mergeCell ref="A1:I1"/>
    <mergeCell ref="A2:D2"/>
    <mergeCell ref="A3:B3"/>
    <mergeCell ref="C3:D3"/>
    <mergeCell ref="A4:B4"/>
    <mergeCell ref="C4:D4"/>
    <mergeCell ref="E4:G4"/>
    <mergeCell ref="A6:C6"/>
    <mergeCell ref="D6:I6"/>
    <mergeCell ref="A7:C7"/>
    <mergeCell ref="D7:I7"/>
    <mergeCell ref="D9:E9"/>
  </mergeCells>
  <phoneticPr fontId="29" type="noConversion"/>
  <conditionalFormatting sqref="I392">
    <cfRule type="cellIs" dxfId="10" priority="2" operator="lessThan">
      <formula>0</formula>
    </cfRule>
  </conditionalFormatting>
  <conditionalFormatting sqref="U383:U1013">
    <cfRule type="cellIs" dxfId="9" priority="1" operator="lessThan">
      <formula>0</formula>
    </cfRule>
  </conditionalFormatting>
  <dataValidations count="1">
    <dataValidation allowBlank="1" showInputMessage="1" showErrorMessage="1" promptTitle="INFORMAR A RAZÃO SOCIAL " prompt="DE FATURAMENTO" sqref="D6" xr:uid="{00000000-0002-0000-0000-000000000000}"/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9DC9-B613-4EB3-BBFE-D16530625FA5}">
  <dimension ref="A1:Y1019"/>
  <sheetViews>
    <sheetView showGridLines="0" topLeftCell="A55" zoomScale="70" zoomScaleNormal="70" workbookViewId="0">
      <selection activeCell="D58" sqref="D58"/>
    </sheetView>
  </sheetViews>
  <sheetFormatPr defaultColWidth="8.81640625" defaultRowHeight="14.5" x14ac:dyDescent="0.35"/>
  <cols>
    <col min="1" max="1" width="9.1796875" style="15" customWidth="1"/>
    <col min="2" max="3" width="9.1796875" style="1" customWidth="1"/>
    <col min="4" max="4" width="73.81640625" style="1" customWidth="1"/>
    <col min="5" max="5" width="8.1796875" style="1" customWidth="1"/>
    <col min="6" max="6" width="9.26953125" style="1" customWidth="1"/>
    <col min="7" max="7" width="12.26953125" style="1" customWidth="1"/>
    <col min="8" max="8" width="11.1796875" style="1" customWidth="1"/>
    <col min="9" max="9" width="18.1796875" style="1" customWidth="1"/>
    <col min="10" max="10" width="20" style="109" customWidth="1"/>
    <col min="11" max="12" width="8.81640625" customWidth="1"/>
    <col min="13" max="15" width="9.1796875" customWidth="1"/>
    <col min="16" max="16" width="79.453125" customWidth="1"/>
    <col min="17" max="17" width="10.453125" customWidth="1"/>
    <col min="18" max="18" width="11.453125" customWidth="1"/>
    <col min="19" max="19" width="11" customWidth="1"/>
    <col min="20" max="20" width="12.453125" customWidth="1"/>
    <col min="21" max="21" width="21.26953125" customWidth="1"/>
    <col min="22" max="22" width="8.81640625" customWidth="1"/>
    <col min="23" max="23" width="6.1796875" style="122" customWidth="1"/>
    <col min="24" max="24" width="16.81640625" customWidth="1"/>
    <col min="25" max="25" width="8.81640625" customWidth="1"/>
  </cols>
  <sheetData>
    <row r="1" spans="1:23" ht="21" x14ac:dyDescent="0.35">
      <c r="A1" s="382"/>
      <c r="B1" s="383"/>
      <c r="C1" s="383"/>
      <c r="D1" s="383"/>
      <c r="E1" s="383"/>
      <c r="F1" s="383"/>
      <c r="G1" s="383"/>
      <c r="H1" s="383"/>
      <c r="I1" s="383"/>
      <c r="M1" s="435"/>
      <c r="N1" s="418"/>
      <c r="O1" s="418"/>
      <c r="P1" s="418"/>
      <c r="Q1" s="418"/>
      <c r="R1" s="418"/>
      <c r="S1" s="418"/>
      <c r="T1" s="418"/>
      <c r="U1" s="418"/>
    </row>
    <row r="2" spans="1:23" ht="32" x14ac:dyDescent="0.35">
      <c r="A2" s="384" t="s">
        <v>0</v>
      </c>
      <c r="B2" s="384"/>
      <c r="C2" s="384"/>
      <c r="D2" s="384"/>
      <c r="E2" s="2" t="s">
        <v>1</v>
      </c>
      <c r="F2" s="2" t="s">
        <v>2</v>
      </c>
      <c r="G2" s="2" t="s">
        <v>3</v>
      </c>
      <c r="H2" s="3" t="s">
        <v>4</v>
      </c>
      <c r="I2" s="3" t="s">
        <v>5</v>
      </c>
      <c r="M2" s="436" t="s">
        <v>0</v>
      </c>
      <c r="N2" s="418"/>
      <c r="O2" s="418"/>
      <c r="P2" s="427"/>
      <c r="Q2" s="123" t="s">
        <v>1</v>
      </c>
      <c r="R2" s="123" t="s">
        <v>2</v>
      </c>
      <c r="S2" s="123" t="s">
        <v>3</v>
      </c>
      <c r="T2" s="124" t="s">
        <v>4</v>
      </c>
      <c r="U2" s="124" t="s">
        <v>5</v>
      </c>
      <c r="W2" s="125"/>
    </row>
    <row r="3" spans="1:23" ht="18.5" x14ac:dyDescent="0.35">
      <c r="A3" s="385" t="s">
        <v>224</v>
      </c>
      <c r="B3" s="386"/>
      <c r="C3" s="387" t="s">
        <v>225</v>
      </c>
      <c r="D3" s="387"/>
      <c r="E3" s="4" t="s">
        <v>6</v>
      </c>
      <c r="F3" s="4"/>
      <c r="G3" s="5"/>
      <c r="H3" s="6">
        <v>46048</v>
      </c>
      <c r="I3" s="7">
        <v>46228</v>
      </c>
      <c r="M3" s="437" t="s">
        <v>224</v>
      </c>
      <c r="N3" s="427"/>
      <c r="O3" s="438" t="s">
        <v>225</v>
      </c>
      <c r="P3" s="427"/>
      <c r="Q3" s="126" t="s">
        <v>6</v>
      </c>
      <c r="R3" s="126"/>
      <c r="S3" s="127">
        <v>4745.76</v>
      </c>
      <c r="T3" s="128">
        <v>46048</v>
      </c>
      <c r="U3" s="129">
        <v>46228</v>
      </c>
      <c r="W3" s="125"/>
    </row>
    <row r="4" spans="1:23" ht="16" x14ac:dyDescent="0.35">
      <c r="A4" s="388" t="s">
        <v>7</v>
      </c>
      <c r="B4" s="389"/>
      <c r="C4" s="390"/>
      <c r="D4" s="391"/>
      <c r="E4" s="392" t="s">
        <v>8</v>
      </c>
      <c r="F4" s="393"/>
      <c r="G4" s="394"/>
      <c r="H4" s="8">
        <f>I3-H3</f>
        <v>180</v>
      </c>
      <c r="I4" s="9" t="s">
        <v>9</v>
      </c>
      <c r="M4" s="438" t="s">
        <v>7</v>
      </c>
      <c r="N4" s="427"/>
      <c r="O4" s="439"/>
      <c r="P4" s="427"/>
      <c r="Q4" s="440" t="s">
        <v>8</v>
      </c>
      <c r="R4" s="418"/>
      <c r="S4" s="130"/>
      <c r="T4" s="131">
        <v>180</v>
      </c>
      <c r="U4" s="132" t="s">
        <v>9</v>
      </c>
    </row>
    <row r="5" spans="1:23" x14ac:dyDescent="0.35">
      <c r="A5" s="10"/>
      <c r="B5" s="11"/>
      <c r="C5" s="12"/>
      <c r="D5" s="11"/>
      <c r="E5" s="11"/>
      <c r="F5" s="11"/>
      <c r="G5" s="11"/>
      <c r="H5" s="11"/>
      <c r="I5" s="11"/>
      <c r="M5" s="133"/>
      <c r="N5" s="134"/>
      <c r="O5" s="134"/>
      <c r="P5" s="134"/>
      <c r="Q5" s="134"/>
      <c r="R5" s="134"/>
      <c r="S5" s="134"/>
      <c r="T5" s="134"/>
      <c r="U5" s="134"/>
    </row>
    <row r="6" spans="1:23" ht="18.5" x14ac:dyDescent="0.35">
      <c r="A6" s="392" t="s">
        <v>10</v>
      </c>
      <c r="B6" s="393"/>
      <c r="C6" s="394"/>
      <c r="D6" s="395" t="s">
        <v>297</v>
      </c>
      <c r="E6" s="396"/>
      <c r="F6" s="396"/>
      <c r="G6" s="396"/>
      <c r="H6" s="396"/>
      <c r="I6" s="396"/>
      <c r="M6" s="440" t="s">
        <v>10</v>
      </c>
      <c r="N6" s="418"/>
      <c r="O6" s="427"/>
      <c r="P6" s="441" t="s">
        <v>298</v>
      </c>
      <c r="Q6" s="418"/>
      <c r="R6" s="418"/>
      <c r="S6" s="418"/>
      <c r="T6" s="418"/>
      <c r="U6" s="418"/>
    </row>
    <row r="7" spans="1:23" ht="18.5" x14ac:dyDescent="0.35">
      <c r="A7" s="388" t="s">
        <v>11</v>
      </c>
      <c r="B7" s="397"/>
      <c r="C7" s="389"/>
      <c r="D7" s="395"/>
      <c r="E7" s="396"/>
      <c r="F7" s="396"/>
      <c r="G7" s="396"/>
      <c r="H7" s="396"/>
      <c r="I7" s="396"/>
      <c r="M7" s="438" t="s">
        <v>11</v>
      </c>
      <c r="N7" s="418"/>
      <c r="O7" s="427"/>
      <c r="P7" s="442" t="s">
        <v>299</v>
      </c>
      <c r="Q7" s="418"/>
      <c r="R7" s="418"/>
      <c r="S7" s="418"/>
      <c r="T7" s="418"/>
      <c r="U7" s="418"/>
    </row>
    <row r="8" spans="1:23" x14ac:dyDescent="0.35">
      <c r="A8" s="13"/>
      <c r="B8" s="14"/>
      <c r="C8" s="14"/>
      <c r="D8" s="14"/>
      <c r="E8" s="14"/>
      <c r="F8" s="14"/>
      <c r="G8" s="14"/>
      <c r="H8" s="14"/>
      <c r="I8" s="14"/>
      <c r="M8" s="133"/>
      <c r="N8" s="134"/>
      <c r="O8" s="134"/>
      <c r="P8" s="134"/>
      <c r="Q8" s="134"/>
      <c r="R8" s="134"/>
      <c r="S8" s="134"/>
      <c r="T8" s="134"/>
      <c r="U8" s="134"/>
    </row>
    <row r="9" spans="1:23" x14ac:dyDescent="0.35">
      <c r="C9" s="16"/>
      <c r="D9" s="398" t="s">
        <v>12</v>
      </c>
      <c r="E9" s="399"/>
      <c r="F9" s="17" t="s">
        <v>13</v>
      </c>
      <c r="G9" s="17" t="s">
        <v>14</v>
      </c>
      <c r="H9" s="17" t="s">
        <v>15</v>
      </c>
      <c r="I9" s="17" t="s">
        <v>16</v>
      </c>
      <c r="M9" s="135"/>
      <c r="N9" s="136"/>
      <c r="O9" s="137"/>
      <c r="P9" s="443" t="s">
        <v>12</v>
      </c>
      <c r="Q9" s="427"/>
      <c r="R9" s="138" t="s">
        <v>13</v>
      </c>
      <c r="S9" s="138" t="s">
        <v>14</v>
      </c>
      <c r="T9" s="138" t="s">
        <v>15</v>
      </c>
      <c r="U9" s="138" t="s">
        <v>16</v>
      </c>
    </row>
    <row r="10" spans="1:23" ht="16" x14ac:dyDescent="0.35">
      <c r="A10" s="18"/>
      <c r="B10" s="19"/>
      <c r="C10" s="19"/>
      <c r="D10" s="380" t="s">
        <v>17</v>
      </c>
      <c r="E10" s="381"/>
      <c r="F10" s="20">
        <v>810030</v>
      </c>
      <c r="G10" s="20">
        <v>10</v>
      </c>
      <c r="H10" s="20">
        <v>7317011</v>
      </c>
      <c r="I10" s="21">
        <f t="shared" ref="I10:I25" si="0">SUMIF($A$30:$A$148,F10,$I$30:$I$148)</f>
        <v>49294.104999999996</v>
      </c>
      <c r="M10" s="139"/>
      <c r="N10" s="134"/>
      <c r="O10" s="134"/>
      <c r="P10" s="417" t="s">
        <v>17</v>
      </c>
      <c r="Q10" s="418"/>
      <c r="R10" s="140">
        <v>810030</v>
      </c>
      <c r="S10" s="140">
        <v>10</v>
      </c>
      <c r="T10" s="140">
        <v>7317011</v>
      </c>
      <c r="U10" s="141">
        <f t="shared" ref="U10:U25" si="1">SUMIF($M$30:$M$151,R10,$U$30:$U$151)</f>
        <v>73040.165232151572</v>
      </c>
    </row>
    <row r="11" spans="1:23" ht="16" x14ac:dyDescent="0.35">
      <c r="A11" s="18"/>
      <c r="B11" s="19"/>
      <c r="C11" s="19"/>
      <c r="D11" s="380" t="s">
        <v>18</v>
      </c>
      <c r="E11" s="381"/>
      <c r="F11" s="20">
        <v>810031</v>
      </c>
      <c r="G11" s="20">
        <v>20</v>
      </c>
      <c r="H11" s="20">
        <v>7316000</v>
      </c>
      <c r="I11" s="21">
        <f t="shared" si="0"/>
        <v>27840</v>
      </c>
      <c r="M11" s="139"/>
      <c r="N11" s="134"/>
      <c r="O11" s="134"/>
      <c r="P11" s="417" t="s">
        <v>18</v>
      </c>
      <c r="Q11" s="418"/>
      <c r="R11" s="140">
        <v>810031</v>
      </c>
      <c r="S11" s="140">
        <v>20</v>
      </c>
      <c r="T11" s="140">
        <v>7316000</v>
      </c>
      <c r="U11" s="141">
        <f t="shared" si="1"/>
        <v>9587.1043856362048</v>
      </c>
    </row>
    <row r="12" spans="1:23" ht="16" x14ac:dyDescent="0.35">
      <c r="A12" s="18"/>
      <c r="B12" s="19"/>
      <c r="C12" s="19"/>
      <c r="D12" s="380" t="s">
        <v>19</v>
      </c>
      <c r="E12" s="381"/>
      <c r="F12" s="20">
        <v>810040</v>
      </c>
      <c r="G12" s="20">
        <v>30</v>
      </c>
      <c r="H12" s="20">
        <v>7317000</v>
      </c>
      <c r="I12" s="21">
        <f t="shared" si="0"/>
        <v>0</v>
      </c>
      <c r="M12" s="139"/>
      <c r="N12" s="134"/>
      <c r="O12" s="134"/>
      <c r="P12" s="417" t="s">
        <v>19</v>
      </c>
      <c r="Q12" s="418"/>
      <c r="R12" s="140">
        <v>810040</v>
      </c>
      <c r="S12" s="140">
        <v>30</v>
      </c>
      <c r="T12" s="140">
        <v>7317000</v>
      </c>
      <c r="U12" s="141">
        <f t="shared" si="1"/>
        <v>0</v>
      </c>
    </row>
    <row r="13" spans="1:23" ht="16" x14ac:dyDescent="0.35">
      <c r="A13" s="18"/>
      <c r="B13" s="19"/>
      <c r="C13" s="19"/>
      <c r="D13" s="380" t="s">
        <v>20</v>
      </c>
      <c r="E13" s="381"/>
      <c r="F13" s="20">
        <v>810041</v>
      </c>
      <c r="G13" s="20">
        <v>40</v>
      </c>
      <c r="H13" s="20">
        <v>7317120</v>
      </c>
      <c r="I13" s="21">
        <f t="shared" si="0"/>
        <v>494480.97499999998</v>
      </c>
      <c r="M13" s="139"/>
      <c r="N13" s="134"/>
      <c r="O13" s="134"/>
      <c r="P13" s="417" t="s">
        <v>20</v>
      </c>
      <c r="Q13" s="418"/>
      <c r="R13" s="140">
        <v>810041</v>
      </c>
      <c r="S13" s="140">
        <v>40</v>
      </c>
      <c r="T13" s="140">
        <v>7317120</v>
      </c>
      <c r="U13" s="141">
        <f t="shared" si="1"/>
        <v>677587.80917347223</v>
      </c>
    </row>
    <row r="14" spans="1:23" ht="16" x14ac:dyDescent="0.35">
      <c r="A14" s="18"/>
      <c r="B14" s="19"/>
      <c r="C14" s="19"/>
      <c r="D14" s="380" t="s">
        <v>21</v>
      </c>
      <c r="E14" s="381"/>
      <c r="F14" s="20">
        <v>810051</v>
      </c>
      <c r="G14" s="20">
        <v>50</v>
      </c>
      <c r="H14" s="20">
        <v>7317002</v>
      </c>
      <c r="I14" s="21">
        <f t="shared" si="0"/>
        <v>551535.39</v>
      </c>
      <c r="M14" s="139"/>
      <c r="N14" s="134"/>
      <c r="O14" s="134"/>
      <c r="P14" s="417" t="s">
        <v>21</v>
      </c>
      <c r="Q14" s="418"/>
      <c r="R14" s="140">
        <v>810051</v>
      </c>
      <c r="S14" s="140">
        <v>50</v>
      </c>
      <c r="T14" s="140">
        <v>7317002</v>
      </c>
      <c r="U14" s="141">
        <f t="shared" si="1"/>
        <v>638141.52613943792</v>
      </c>
    </row>
    <row r="15" spans="1:23" ht="16" x14ac:dyDescent="0.35">
      <c r="A15" s="18"/>
      <c r="B15" s="19"/>
      <c r="C15" s="19"/>
      <c r="D15" s="380" t="s">
        <v>22</v>
      </c>
      <c r="E15" s="381"/>
      <c r="F15" s="20">
        <v>810080</v>
      </c>
      <c r="G15" s="20">
        <v>60</v>
      </c>
      <c r="H15" s="20">
        <v>7361002</v>
      </c>
      <c r="I15" s="21">
        <f t="shared" si="0"/>
        <v>604725.12</v>
      </c>
      <c r="M15" s="139"/>
      <c r="N15" s="134"/>
      <c r="O15" s="134"/>
      <c r="P15" s="417" t="s">
        <v>22</v>
      </c>
      <c r="Q15" s="418"/>
      <c r="R15" s="140">
        <v>810080</v>
      </c>
      <c r="S15" s="140">
        <v>60</v>
      </c>
      <c r="T15" s="140">
        <v>7361002</v>
      </c>
      <c r="U15" s="141">
        <f t="shared" si="1"/>
        <v>756042.76060640428</v>
      </c>
    </row>
    <row r="16" spans="1:23" ht="16" x14ac:dyDescent="0.35">
      <c r="A16" s="18"/>
      <c r="B16" s="19"/>
      <c r="C16" s="19"/>
      <c r="D16" s="380" t="s">
        <v>23</v>
      </c>
      <c r="E16" s="381"/>
      <c r="F16" s="20">
        <v>810082</v>
      </c>
      <c r="G16" s="20">
        <v>70</v>
      </c>
      <c r="H16" s="20">
        <v>7318000</v>
      </c>
      <c r="I16" s="21">
        <f t="shared" si="0"/>
        <v>0</v>
      </c>
      <c r="M16" s="139"/>
      <c r="N16" s="134"/>
      <c r="O16" s="134"/>
      <c r="P16" s="417" t="s">
        <v>23</v>
      </c>
      <c r="Q16" s="418"/>
      <c r="R16" s="140">
        <v>810082</v>
      </c>
      <c r="S16" s="140">
        <v>70</v>
      </c>
      <c r="T16" s="140">
        <v>7318000</v>
      </c>
      <c r="U16" s="141">
        <f t="shared" si="1"/>
        <v>0</v>
      </c>
    </row>
    <row r="17" spans="1:21" ht="16" x14ac:dyDescent="0.35">
      <c r="A17" s="18"/>
      <c r="B17" s="19"/>
      <c r="C17" s="19"/>
      <c r="D17" s="380" t="s">
        <v>24</v>
      </c>
      <c r="E17" s="381"/>
      <c r="F17" s="20">
        <v>810100</v>
      </c>
      <c r="G17" s="20">
        <v>80</v>
      </c>
      <c r="H17" s="20">
        <v>7317012</v>
      </c>
      <c r="I17" s="21">
        <f t="shared" si="0"/>
        <v>0</v>
      </c>
      <c r="M17" s="139"/>
      <c r="N17" s="134"/>
      <c r="O17" s="134"/>
      <c r="P17" s="417" t="s">
        <v>24</v>
      </c>
      <c r="Q17" s="418"/>
      <c r="R17" s="140">
        <v>810100</v>
      </c>
      <c r="S17" s="140">
        <v>80</v>
      </c>
      <c r="T17" s="140">
        <v>7317012</v>
      </c>
      <c r="U17" s="141">
        <f t="shared" si="1"/>
        <v>0</v>
      </c>
    </row>
    <row r="18" spans="1:21" ht="16" x14ac:dyDescent="0.35">
      <c r="A18" s="18"/>
      <c r="B18" s="19"/>
      <c r="C18" s="19"/>
      <c r="D18" s="380" t="s">
        <v>25</v>
      </c>
      <c r="E18" s="381"/>
      <c r="F18" s="20">
        <v>810162</v>
      </c>
      <c r="G18" s="20">
        <v>90</v>
      </c>
      <c r="H18" s="20">
        <v>7333060</v>
      </c>
      <c r="I18" s="21">
        <f t="shared" si="0"/>
        <v>0</v>
      </c>
      <c r="M18" s="139"/>
      <c r="N18" s="134"/>
      <c r="O18" s="134"/>
      <c r="P18" s="417" t="s">
        <v>25</v>
      </c>
      <c r="Q18" s="418"/>
      <c r="R18" s="140">
        <v>810162</v>
      </c>
      <c r="S18" s="140">
        <v>90</v>
      </c>
      <c r="T18" s="140">
        <v>7333060</v>
      </c>
      <c r="U18" s="141">
        <f t="shared" si="1"/>
        <v>0</v>
      </c>
    </row>
    <row r="19" spans="1:21" ht="16" x14ac:dyDescent="0.35">
      <c r="A19" s="18"/>
      <c r="B19" s="19"/>
      <c r="C19" s="19"/>
      <c r="D19" s="380" t="s">
        <v>26</v>
      </c>
      <c r="E19" s="381"/>
      <c r="F19" s="20">
        <v>810230</v>
      </c>
      <c r="G19" s="20">
        <v>100</v>
      </c>
      <c r="H19" s="20">
        <v>7317003</v>
      </c>
      <c r="I19" s="21">
        <f t="shared" si="0"/>
        <v>8500</v>
      </c>
      <c r="M19" s="139"/>
      <c r="N19" s="134"/>
      <c r="O19" s="134"/>
      <c r="P19" s="417" t="s">
        <v>26</v>
      </c>
      <c r="Q19" s="418"/>
      <c r="R19" s="140">
        <v>810230</v>
      </c>
      <c r="S19" s="140">
        <v>100</v>
      </c>
      <c r="T19" s="140">
        <v>7317003</v>
      </c>
      <c r="U19" s="141">
        <f t="shared" si="1"/>
        <v>41044.311295785723</v>
      </c>
    </row>
    <row r="20" spans="1:21" ht="16" x14ac:dyDescent="0.35">
      <c r="A20" s="18"/>
      <c r="B20" s="19"/>
      <c r="C20" s="19"/>
      <c r="D20" s="380" t="s">
        <v>27</v>
      </c>
      <c r="E20" s="381"/>
      <c r="F20" s="20">
        <v>810250</v>
      </c>
      <c r="G20" s="20">
        <v>110</v>
      </c>
      <c r="H20" s="20">
        <v>7317010</v>
      </c>
      <c r="I20" s="21">
        <f t="shared" si="0"/>
        <v>0</v>
      </c>
      <c r="M20" s="139"/>
      <c r="N20" s="134"/>
      <c r="O20" s="134"/>
      <c r="P20" s="417" t="s">
        <v>27</v>
      </c>
      <c r="Q20" s="418"/>
      <c r="R20" s="140">
        <v>810250</v>
      </c>
      <c r="S20" s="140">
        <v>110</v>
      </c>
      <c r="T20" s="140">
        <v>7317010</v>
      </c>
      <c r="U20" s="141">
        <f t="shared" si="1"/>
        <v>0</v>
      </c>
    </row>
    <row r="21" spans="1:21" ht="16" x14ac:dyDescent="0.35">
      <c r="A21" s="18"/>
      <c r="B21" s="19"/>
      <c r="C21" s="19"/>
      <c r="D21" s="380" t="s">
        <v>28</v>
      </c>
      <c r="E21" s="381"/>
      <c r="F21" s="20">
        <v>810260</v>
      </c>
      <c r="G21" s="20">
        <v>120</v>
      </c>
      <c r="H21" s="20">
        <v>7316012</v>
      </c>
      <c r="I21" s="21">
        <f t="shared" si="0"/>
        <v>447945.50000000006</v>
      </c>
      <c r="M21" s="139"/>
      <c r="N21" s="134"/>
      <c r="O21" s="134"/>
      <c r="P21" s="417" t="s">
        <v>28</v>
      </c>
      <c r="Q21" s="418"/>
      <c r="R21" s="140">
        <v>810260</v>
      </c>
      <c r="S21" s="140">
        <v>120</v>
      </c>
      <c r="T21" s="140">
        <v>7316012</v>
      </c>
      <c r="U21" s="141">
        <f t="shared" si="1"/>
        <v>195227.37950958023</v>
      </c>
    </row>
    <row r="22" spans="1:21" ht="16" x14ac:dyDescent="0.35">
      <c r="A22" s="18"/>
      <c r="B22" s="19"/>
      <c r="C22" s="19"/>
      <c r="D22" s="380" t="s">
        <v>29</v>
      </c>
      <c r="E22" s="381"/>
      <c r="F22" s="20">
        <v>810321</v>
      </c>
      <c r="G22" s="20">
        <v>130</v>
      </c>
      <c r="H22" s="20">
        <v>7312130</v>
      </c>
      <c r="I22" s="21">
        <f t="shared" si="0"/>
        <v>0</v>
      </c>
      <c r="M22" s="139"/>
      <c r="N22" s="134"/>
      <c r="O22" s="134"/>
      <c r="P22" s="417" t="s">
        <v>29</v>
      </c>
      <c r="Q22" s="418"/>
      <c r="R22" s="140">
        <v>810321</v>
      </c>
      <c r="S22" s="140">
        <v>130</v>
      </c>
      <c r="T22" s="140">
        <v>7312130</v>
      </c>
      <c r="U22" s="141">
        <f t="shared" si="1"/>
        <v>0</v>
      </c>
    </row>
    <row r="23" spans="1:21" ht="16" x14ac:dyDescent="0.35">
      <c r="A23" s="18"/>
      <c r="B23" s="19"/>
      <c r="C23" s="19"/>
      <c r="D23" s="380" t="s">
        <v>30</v>
      </c>
      <c r="E23" s="381"/>
      <c r="F23" s="20">
        <v>810210</v>
      </c>
      <c r="G23" s="20">
        <v>140</v>
      </c>
      <c r="H23" s="20">
        <v>7332021</v>
      </c>
      <c r="I23" s="21">
        <f t="shared" si="0"/>
        <v>40994</v>
      </c>
      <c r="M23" s="139"/>
      <c r="N23" s="134"/>
      <c r="O23" s="134"/>
      <c r="P23" s="417" t="s">
        <v>30</v>
      </c>
      <c r="Q23" s="418"/>
      <c r="R23" s="140">
        <v>810210</v>
      </c>
      <c r="S23" s="140">
        <v>140</v>
      </c>
      <c r="T23" s="140">
        <v>7332021</v>
      </c>
      <c r="U23" s="141">
        <f t="shared" si="1"/>
        <v>294813.13616341323</v>
      </c>
    </row>
    <row r="24" spans="1:21" ht="16" x14ac:dyDescent="0.35">
      <c r="A24" s="18"/>
      <c r="B24" s="19"/>
      <c r="C24" s="19"/>
      <c r="D24" s="380" t="s">
        <v>31</v>
      </c>
      <c r="E24" s="381"/>
      <c r="F24" s="20">
        <v>810213</v>
      </c>
      <c r="G24" s="20">
        <v>150</v>
      </c>
      <c r="H24" s="20">
        <v>7332023</v>
      </c>
      <c r="I24" s="21">
        <f t="shared" si="0"/>
        <v>562694.93999999994</v>
      </c>
      <c r="M24" s="139"/>
      <c r="N24" s="134"/>
      <c r="O24" s="134"/>
      <c r="P24" s="417" t="s">
        <v>31</v>
      </c>
      <c r="Q24" s="418"/>
      <c r="R24" s="140">
        <v>810213</v>
      </c>
      <c r="S24" s="140">
        <v>150</v>
      </c>
      <c r="T24" s="140">
        <v>7332023</v>
      </c>
      <c r="U24" s="141">
        <f t="shared" si="1"/>
        <v>593091.13777583314</v>
      </c>
    </row>
    <row r="25" spans="1:21" ht="16" x14ac:dyDescent="0.35">
      <c r="A25" s="18"/>
      <c r="B25" s="19"/>
      <c r="C25" s="19"/>
      <c r="D25" s="424"/>
      <c r="E25" s="425"/>
      <c r="F25" s="20" t="s">
        <v>32</v>
      </c>
      <c r="G25" s="20">
        <v>160</v>
      </c>
      <c r="H25" s="20"/>
      <c r="I25" s="21">
        <f t="shared" si="0"/>
        <v>78090.324999999997</v>
      </c>
      <c r="J25" s="121"/>
      <c r="M25" s="139"/>
      <c r="N25" s="134"/>
      <c r="O25" s="134"/>
      <c r="P25" s="426"/>
      <c r="Q25" s="427"/>
      <c r="R25" s="140" t="s">
        <v>32</v>
      </c>
      <c r="S25" s="140">
        <v>160</v>
      </c>
      <c r="T25" s="140"/>
      <c r="U25" s="141">
        <f t="shared" si="1"/>
        <v>217896.26818000409</v>
      </c>
    </row>
    <row r="26" spans="1:21" ht="18.5" x14ac:dyDescent="0.35">
      <c r="A26" s="18"/>
      <c r="B26" s="19"/>
      <c r="C26" s="19"/>
      <c r="D26" s="419" t="s">
        <v>33</v>
      </c>
      <c r="E26" s="419"/>
      <c r="F26" s="419"/>
      <c r="G26" s="419"/>
      <c r="H26" s="420"/>
      <c r="I26" s="22">
        <f>SUM(I10:I25)</f>
        <v>2866100.355</v>
      </c>
      <c r="M26" s="139"/>
      <c r="N26" s="134"/>
      <c r="O26" s="134"/>
      <c r="P26" s="447" t="s">
        <v>33</v>
      </c>
      <c r="Q26" s="448"/>
      <c r="R26" s="142"/>
      <c r="S26" s="142"/>
      <c r="T26" s="143"/>
      <c r="U26" s="144">
        <f>SUM(U10:U25)</f>
        <v>3496471.5984617192</v>
      </c>
    </row>
    <row r="27" spans="1:21" x14ac:dyDescent="0.35">
      <c r="A27" s="23"/>
      <c r="B27" s="24"/>
      <c r="C27" s="24"/>
      <c r="D27" s="25"/>
      <c r="E27" s="24"/>
      <c r="F27" s="26"/>
      <c r="G27" s="26"/>
      <c r="H27" s="27"/>
      <c r="I27" s="27"/>
      <c r="M27" s="145"/>
      <c r="N27" s="146"/>
      <c r="O27" s="146"/>
      <c r="P27" s="147"/>
      <c r="Q27" s="146"/>
      <c r="R27" s="148"/>
      <c r="S27" s="148"/>
      <c r="T27" s="149"/>
      <c r="U27" s="149"/>
    </row>
    <row r="28" spans="1:21" x14ac:dyDescent="0.35">
      <c r="A28" s="400" t="s">
        <v>13</v>
      </c>
      <c r="B28" s="28"/>
      <c r="C28" s="403" t="s">
        <v>14</v>
      </c>
      <c r="D28" s="405" t="s">
        <v>12</v>
      </c>
      <c r="E28" s="29"/>
      <c r="F28" s="30"/>
      <c r="G28" s="414" t="s">
        <v>34</v>
      </c>
      <c r="H28" s="414"/>
      <c r="I28" s="30"/>
      <c r="M28" s="449" t="s">
        <v>13</v>
      </c>
      <c r="N28" s="150"/>
      <c r="O28" s="431" t="s">
        <v>14</v>
      </c>
      <c r="P28" s="450" t="s">
        <v>12</v>
      </c>
      <c r="Q28" s="152"/>
      <c r="R28" s="153"/>
      <c r="S28" s="430" t="s">
        <v>34</v>
      </c>
      <c r="T28" s="427"/>
      <c r="U28" s="153"/>
    </row>
    <row r="29" spans="1:21" x14ac:dyDescent="0.35">
      <c r="A29" s="401"/>
      <c r="B29" s="31"/>
      <c r="C29" s="404"/>
      <c r="D29" s="406"/>
      <c r="E29" s="407" t="s">
        <v>35</v>
      </c>
      <c r="F29" s="412" t="s">
        <v>36</v>
      </c>
      <c r="G29" s="415" t="s">
        <v>37</v>
      </c>
      <c r="H29" s="415" t="s">
        <v>38</v>
      </c>
      <c r="I29" s="32" t="s">
        <v>33</v>
      </c>
      <c r="M29" s="429"/>
      <c r="N29" s="154"/>
      <c r="O29" s="432"/>
      <c r="P29" s="432"/>
      <c r="Q29" s="444" t="s">
        <v>35</v>
      </c>
      <c r="R29" s="428" t="s">
        <v>36</v>
      </c>
      <c r="S29" s="428" t="s">
        <v>37</v>
      </c>
      <c r="T29" s="428" t="s">
        <v>38</v>
      </c>
      <c r="U29" s="155" t="s">
        <v>33</v>
      </c>
    </row>
    <row r="30" spans="1:21" x14ac:dyDescent="0.35">
      <c r="A30" s="402"/>
      <c r="B30" s="33"/>
      <c r="C30" s="34" t="s">
        <v>39</v>
      </c>
      <c r="D30" s="35" t="s">
        <v>40</v>
      </c>
      <c r="E30" s="408"/>
      <c r="F30" s="413"/>
      <c r="G30" s="416"/>
      <c r="H30" s="416"/>
      <c r="I30" s="36">
        <f>SUM(I31:I44)</f>
        <v>569593</v>
      </c>
      <c r="M30" s="432"/>
      <c r="N30" s="156"/>
      <c r="O30" s="157" t="s">
        <v>39</v>
      </c>
      <c r="P30" s="158" t="s">
        <v>40</v>
      </c>
      <c r="Q30" s="429"/>
      <c r="R30" s="429"/>
      <c r="S30" s="429"/>
      <c r="T30" s="429"/>
      <c r="U30" s="159">
        <f>SUM(U31:U44)</f>
        <v>727140.70875711448</v>
      </c>
    </row>
    <row r="31" spans="1:21" x14ac:dyDescent="0.35">
      <c r="A31" s="37">
        <v>810080</v>
      </c>
      <c r="B31" s="409" t="s">
        <v>40</v>
      </c>
      <c r="C31" s="107" t="s">
        <v>41</v>
      </c>
      <c r="D31" s="39" t="s">
        <v>42</v>
      </c>
      <c r="E31" s="38" t="s">
        <v>43</v>
      </c>
      <c r="F31" s="110">
        <v>11</v>
      </c>
      <c r="G31" s="238">
        <v>800</v>
      </c>
      <c r="H31" s="42"/>
      <c r="I31" s="66">
        <f t="shared" ref="I31:I44" si="2">F31*G31+H31*F31</f>
        <v>8800</v>
      </c>
      <c r="M31" s="160">
        <v>810080</v>
      </c>
      <c r="N31" s="445" t="s">
        <v>40</v>
      </c>
      <c r="O31" s="161" t="s">
        <v>41</v>
      </c>
      <c r="P31" s="162" t="s">
        <v>42</v>
      </c>
      <c r="Q31" s="161" t="s">
        <v>43</v>
      </c>
      <c r="R31" s="229">
        <v>80</v>
      </c>
      <c r="S31" s="236">
        <v>306.78734034035858</v>
      </c>
      <c r="T31" s="236">
        <v>153.39367017017929</v>
      </c>
      <c r="U31" s="165">
        <f t="shared" ref="U31:U44" si="3">R31*S31+T31*R31</f>
        <v>36814.480840843033</v>
      </c>
    </row>
    <row r="32" spans="1:21" ht="26" x14ac:dyDescent="0.35">
      <c r="A32" s="37">
        <v>810080</v>
      </c>
      <c r="B32" s="410"/>
      <c r="C32" s="107" t="s">
        <v>44</v>
      </c>
      <c r="D32" s="39" t="s">
        <v>45</v>
      </c>
      <c r="E32" s="38" t="s">
        <v>46</v>
      </c>
      <c r="F32" s="40">
        <v>1</v>
      </c>
      <c r="G32" s="238">
        <v>15000</v>
      </c>
      <c r="H32" s="42"/>
      <c r="I32" s="66">
        <f t="shared" si="2"/>
        <v>15000</v>
      </c>
      <c r="M32" s="160">
        <v>810080</v>
      </c>
      <c r="N32" s="429"/>
      <c r="O32" s="161" t="s">
        <v>44</v>
      </c>
      <c r="P32" s="162" t="s">
        <v>45</v>
      </c>
      <c r="Q32" s="161" t="s">
        <v>46</v>
      </c>
      <c r="R32" s="163">
        <v>1</v>
      </c>
      <c r="S32" s="236">
        <v>24266.878620922362</v>
      </c>
      <c r="T32" s="236">
        <v>12133.439310461181</v>
      </c>
      <c r="U32" s="165">
        <f t="shared" si="3"/>
        <v>36400.317931383543</v>
      </c>
    </row>
    <row r="33" spans="1:22" x14ac:dyDescent="0.35">
      <c r="A33" s="37">
        <v>810080</v>
      </c>
      <c r="B33" s="410"/>
      <c r="C33" s="107" t="s">
        <v>47</v>
      </c>
      <c r="D33" s="39" t="s">
        <v>48</v>
      </c>
      <c r="E33" s="38" t="s">
        <v>46</v>
      </c>
      <c r="F33" s="110">
        <v>1</v>
      </c>
      <c r="G33" s="238">
        <v>52000</v>
      </c>
      <c r="H33" s="42"/>
      <c r="I33" s="66">
        <f t="shared" si="2"/>
        <v>52000</v>
      </c>
      <c r="M33" s="160">
        <v>810080</v>
      </c>
      <c r="N33" s="429"/>
      <c r="O33" s="161" t="s">
        <v>47</v>
      </c>
      <c r="P33" s="162" t="s">
        <v>48</v>
      </c>
      <c r="Q33" s="161" t="s">
        <v>46</v>
      </c>
      <c r="R33" s="163">
        <v>1</v>
      </c>
      <c r="S33" s="164">
        <v>0</v>
      </c>
      <c r="T33" s="236">
        <v>24301.438214811704</v>
      </c>
      <c r="U33" s="165">
        <f t="shared" si="3"/>
        <v>24301.438214811704</v>
      </c>
    </row>
    <row r="34" spans="1:22" x14ac:dyDescent="0.35">
      <c r="A34" s="37">
        <v>810080</v>
      </c>
      <c r="B34" s="410"/>
      <c r="C34" s="107" t="s">
        <v>49</v>
      </c>
      <c r="D34" s="39" t="s">
        <v>50</v>
      </c>
      <c r="E34" s="38" t="s">
        <v>46</v>
      </c>
      <c r="F34" s="110">
        <v>1</v>
      </c>
      <c r="G34" s="244">
        <v>24000</v>
      </c>
      <c r="H34" s="45"/>
      <c r="I34" s="66">
        <f t="shared" si="2"/>
        <v>24000</v>
      </c>
      <c r="M34" s="160">
        <v>810080</v>
      </c>
      <c r="N34" s="429"/>
      <c r="O34" s="161" t="s">
        <v>49</v>
      </c>
      <c r="P34" s="162" t="s">
        <v>50</v>
      </c>
      <c r="Q34" s="161" t="s">
        <v>46</v>
      </c>
      <c r="R34" s="163">
        <v>1</v>
      </c>
      <c r="S34" s="164">
        <v>0</v>
      </c>
      <c r="T34" s="236">
        <v>41474.503843777988</v>
      </c>
      <c r="U34" s="165">
        <f t="shared" si="3"/>
        <v>41474.503843777988</v>
      </c>
    </row>
    <row r="35" spans="1:22" x14ac:dyDescent="0.35">
      <c r="A35" s="37">
        <v>810080</v>
      </c>
      <c r="B35" s="410"/>
      <c r="C35" s="107" t="s">
        <v>51</v>
      </c>
      <c r="D35" s="39" t="s">
        <v>52</v>
      </c>
      <c r="E35" s="38" t="s">
        <v>46</v>
      </c>
      <c r="F35" s="110">
        <v>1</v>
      </c>
      <c r="G35" s="238">
        <v>8500</v>
      </c>
      <c r="H35" s="46"/>
      <c r="I35" s="66">
        <f t="shared" si="2"/>
        <v>8500</v>
      </c>
      <c r="M35" s="160">
        <v>810080</v>
      </c>
      <c r="N35" s="429"/>
      <c r="O35" s="161" t="s">
        <v>51</v>
      </c>
      <c r="P35" s="162" t="s">
        <v>52</v>
      </c>
      <c r="Q35" s="166" t="s">
        <v>71</v>
      </c>
      <c r="R35" s="163">
        <v>6</v>
      </c>
      <c r="S35" s="164">
        <v>0</v>
      </c>
      <c r="T35" s="236">
        <v>22655.985341355499</v>
      </c>
      <c r="U35" s="165">
        <f t="shared" si="3"/>
        <v>135935.912048133</v>
      </c>
    </row>
    <row r="36" spans="1:22" ht="26" x14ac:dyDescent="0.35">
      <c r="A36" s="37">
        <v>810080</v>
      </c>
      <c r="B36" s="410"/>
      <c r="C36" s="107" t="s">
        <v>53</v>
      </c>
      <c r="D36" s="39" t="s">
        <v>54</v>
      </c>
      <c r="E36" s="38" t="s">
        <v>215</v>
      </c>
      <c r="F36" s="110">
        <v>6</v>
      </c>
      <c r="G36" s="115">
        <v>1000</v>
      </c>
      <c r="H36" s="245">
        <v>8500</v>
      </c>
      <c r="I36" s="66">
        <f t="shared" si="2"/>
        <v>57000</v>
      </c>
      <c r="M36" s="160">
        <v>810080</v>
      </c>
      <c r="N36" s="429"/>
      <c r="O36" s="161" t="s">
        <v>53</v>
      </c>
      <c r="P36" s="162" t="s">
        <v>54</v>
      </c>
      <c r="Q36" s="166" t="s">
        <v>71</v>
      </c>
      <c r="R36" s="163">
        <v>6</v>
      </c>
      <c r="S36" s="164">
        <v>0</v>
      </c>
      <c r="T36" s="236">
        <v>6770.5578095505189</v>
      </c>
      <c r="U36" s="165">
        <f t="shared" si="3"/>
        <v>40623.346857303113</v>
      </c>
    </row>
    <row r="37" spans="1:22" ht="29" x14ac:dyDescent="0.35">
      <c r="A37" s="37">
        <v>810080</v>
      </c>
      <c r="B37" s="410"/>
      <c r="C37" s="107" t="s">
        <v>56</v>
      </c>
      <c r="D37" s="39" t="s">
        <v>57</v>
      </c>
      <c r="E37" s="38" t="s">
        <v>55</v>
      </c>
      <c r="F37" s="222">
        <v>2</v>
      </c>
      <c r="G37" s="115">
        <v>150</v>
      </c>
      <c r="H37" s="42">
        <v>7500</v>
      </c>
      <c r="I37" s="66">
        <f t="shared" si="2"/>
        <v>15300</v>
      </c>
      <c r="J37" s="109" t="s">
        <v>263</v>
      </c>
      <c r="M37" s="160">
        <v>810080</v>
      </c>
      <c r="N37" s="429"/>
      <c r="O37" s="161" t="s">
        <v>56</v>
      </c>
      <c r="P37" s="162" t="s">
        <v>57</v>
      </c>
      <c r="Q37" s="161" t="s">
        <v>55</v>
      </c>
      <c r="R37" s="167">
        <v>7</v>
      </c>
      <c r="S37" s="236">
        <v>7799.6736872874653</v>
      </c>
      <c r="T37" s="236">
        <v>3466.5216387944288</v>
      </c>
      <c r="U37" s="165">
        <f t="shared" si="3"/>
        <v>78863.36728257325</v>
      </c>
      <c r="V37" s="168"/>
    </row>
    <row r="38" spans="1:22" ht="63" customHeight="1" x14ac:dyDescent="0.35">
      <c r="A38" s="37">
        <v>810080</v>
      </c>
      <c r="B38" s="410"/>
      <c r="C38" s="107" t="s">
        <v>58</v>
      </c>
      <c r="D38" s="39" t="s">
        <v>59</v>
      </c>
      <c r="E38" s="230" t="s">
        <v>215</v>
      </c>
      <c r="F38" s="222">
        <v>6</v>
      </c>
      <c r="G38" s="102">
        <f>(112000/6)*1.5</f>
        <v>28000</v>
      </c>
      <c r="H38" s="46">
        <f>3500*2*1.3</f>
        <v>9100</v>
      </c>
      <c r="I38" s="66">
        <f t="shared" si="2"/>
        <v>222600</v>
      </c>
      <c r="J38" s="112" t="s">
        <v>242</v>
      </c>
      <c r="M38" s="160">
        <v>810080</v>
      </c>
      <c r="N38" s="429"/>
      <c r="O38" s="161" t="s">
        <v>58</v>
      </c>
      <c r="P38" s="162" t="s">
        <v>59</v>
      </c>
      <c r="Q38" s="161" t="s">
        <v>46</v>
      </c>
      <c r="R38" s="163">
        <v>1</v>
      </c>
      <c r="S38" s="236">
        <v>36558.824723892729</v>
      </c>
      <c r="T38" s="236">
        <v>12802.509312604616</v>
      </c>
      <c r="U38" s="165">
        <f t="shared" si="3"/>
        <v>49361.334036497341</v>
      </c>
    </row>
    <row r="39" spans="1:22" ht="26" x14ac:dyDescent="0.35">
      <c r="A39" s="37">
        <v>810080</v>
      </c>
      <c r="B39" s="410"/>
      <c r="C39" s="107" t="s">
        <v>60</v>
      </c>
      <c r="D39" s="39" t="s">
        <v>61</v>
      </c>
      <c r="E39" s="38" t="s">
        <v>46</v>
      </c>
      <c r="F39" s="40">
        <v>1</v>
      </c>
      <c r="G39" s="41">
        <v>15000</v>
      </c>
      <c r="H39" s="42"/>
      <c r="I39" s="66">
        <f t="shared" si="2"/>
        <v>15000</v>
      </c>
      <c r="M39" s="160">
        <v>810080</v>
      </c>
      <c r="N39" s="429"/>
      <c r="O39" s="161" t="s">
        <v>60</v>
      </c>
      <c r="P39" s="162" t="s">
        <v>61</v>
      </c>
      <c r="Q39" s="161" t="s">
        <v>46</v>
      </c>
      <c r="R39" s="163">
        <v>1</v>
      </c>
      <c r="S39" s="236">
        <v>4113.6347497887828</v>
      </c>
      <c r="T39" s="164">
        <v>0</v>
      </c>
      <c r="U39" s="165">
        <f t="shared" si="3"/>
        <v>4113.6347497887828</v>
      </c>
    </row>
    <row r="40" spans="1:22" ht="39" x14ac:dyDescent="0.35">
      <c r="A40" s="37">
        <v>810080</v>
      </c>
      <c r="B40" s="410"/>
      <c r="C40" s="107" t="s">
        <v>62</v>
      </c>
      <c r="D40" s="39" t="s">
        <v>63</v>
      </c>
      <c r="E40" s="38" t="s">
        <v>46</v>
      </c>
      <c r="F40" s="110">
        <v>1</v>
      </c>
      <c r="G40" s="238">
        <v>1500</v>
      </c>
      <c r="H40" s="42"/>
      <c r="I40" s="66">
        <f t="shared" si="2"/>
        <v>1500</v>
      </c>
      <c r="M40" s="160">
        <v>810080</v>
      </c>
      <c r="N40" s="429"/>
      <c r="O40" s="161" t="s">
        <v>62</v>
      </c>
      <c r="P40" s="162" t="s">
        <v>63</v>
      </c>
      <c r="Q40" s="161" t="s">
        <v>46</v>
      </c>
      <c r="R40" s="163">
        <v>1</v>
      </c>
      <c r="S40" s="164">
        <v>0</v>
      </c>
      <c r="T40" s="164">
        <v>703.05432161332169</v>
      </c>
      <c r="U40" s="165">
        <f t="shared" si="3"/>
        <v>703.05432161332169</v>
      </c>
    </row>
    <row r="41" spans="1:22" x14ac:dyDescent="0.35">
      <c r="A41" s="37">
        <v>810080</v>
      </c>
      <c r="B41" s="410"/>
      <c r="C41" s="107" t="s">
        <v>64</v>
      </c>
      <c r="D41" s="39" t="s">
        <v>65</v>
      </c>
      <c r="E41" s="38" t="s">
        <v>46</v>
      </c>
      <c r="F41" s="110">
        <v>1</v>
      </c>
      <c r="G41" s="238">
        <v>11500</v>
      </c>
      <c r="H41" s="42"/>
      <c r="I41" s="66">
        <f t="shared" si="2"/>
        <v>11500</v>
      </c>
      <c r="M41" s="160">
        <v>810080</v>
      </c>
      <c r="N41" s="429"/>
      <c r="O41" s="161" t="s">
        <v>64</v>
      </c>
      <c r="P41" s="162" t="s">
        <v>65</v>
      </c>
      <c r="Q41" s="161" t="s">
        <v>46</v>
      </c>
      <c r="R41" s="163">
        <v>1</v>
      </c>
      <c r="S41" s="164">
        <v>0</v>
      </c>
      <c r="T41" s="236">
        <v>6136.5137751580214</v>
      </c>
      <c r="U41" s="165">
        <f t="shared" si="3"/>
        <v>6136.5137751580214</v>
      </c>
    </row>
    <row r="42" spans="1:22" ht="29" x14ac:dyDescent="0.35">
      <c r="A42" s="37">
        <v>810080</v>
      </c>
      <c r="B42" s="410"/>
      <c r="C42" s="107" t="s">
        <v>66</v>
      </c>
      <c r="D42" s="39" t="s">
        <v>67</v>
      </c>
      <c r="E42" s="38" t="s">
        <v>206</v>
      </c>
      <c r="F42" s="222">
        <f>44*3</f>
        <v>132</v>
      </c>
      <c r="G42" s="238">
        <f>(75+65+20)*1.4</f>
        <v>224</v>
      </c>
      <c r="H42" s="42"/>
      <c r="I42" s="66">
        <f t="shared" si="2"/>
        <v>29568</v>
      </c>
      <c r="J42" s="109" t="s">
        <v>296</v>
      </c>
      <c r="M42" s="160">
        <v>810080</v>
      </c>
      <c r="N42" s="429"/>
      <c r="O42" s="161" t="s">
        <v>66</v>
      </c>
      <c r="P42" s="162" t="s">
        <v>67</v>
      </c>
      <c r="Q42" s="169" t="s">
        <v>79</v>
      </c>
      <c r="R42" s="229">
        <v>931.76</v>
      </c>
      <c r="S42" s="236">
        <v>120.38758558875986</v>
      </c>
      <c r="T42" s="236">
        <v>36.103244390465868</v>
      </c>
      <c r="U42" s="165">
        <f t="shared" si="3"/>
        <v>145811.89574144338</v>
      </c>
    </row>
    <row r="43" spans="1:22" x14ac:dyDescent="0.35">
      <c r="A43" s="37">
        <v>810080</v>
      </c>
      <c r="B43" s="410"/>
      <c r="C43" s="107" t="s">
        <v>69</v>
      </c>
      <c r="D43" s="39" t="s">
        <v>70</v>
      </c>
      <c r="E43" s="38" t="s">
        <v>71</v>
      </c>
      <c r="F43" s="110">
        <v>6</v>
      </c>
      <c r="G43" s="41"/>
      <c r="H43" s="246">
        <v>17000</v>
      </c>
      <c r="I43" s="66">
        <f t="shared" si="2"/>
        <v>102000</v>
      </c>
      <c r="M43" s="160">
        <v>810080</v>
      </c>
      <c r="N43" s="429"/>
      <c r="O43" s="161" t="s">
        <v>69</v>
      </c>
      <c r="P43" s="162" t="s">
        <v>70</v>
      </c>
      <c r="Q43" s="161" t="s">
        <v>71</v>
      </c>
      <c r="R43" s="163">
        <v>6</v>
      </c>
      <c r="S43" s="164">
        <v>0</v>
      </c>
      <c r="T43" s="236">
        <v>15339.367017017928</v>
      </c>
      <c r="U43" s="165">
        <f t="shared" si="3"/>
        <v>92036.202102107578</v>
      </c>
    </row>
    <row r="44" spans="1:22" x14ac:dyDescent="0.35">
      <c r="A44" s="37">
        <v>810080</v>
      </c>
      <c r="B44" s="411"/>
      <c r="C44" s="107" t="s">
        <v>72</v>
      </c>
      <c r="D44" s="39" t="s">
        <v>73</v>
      </c>
      <c r="E44" s="38" t="s">
        <v>71</v>
      </c>
      <c r="F44" s="110">
        <v>1.5</v>
      </c>
      <c r="G44" s="41"/>
      <c r="H44" s="246">
        <f>3500*1.3</f>
        <v>4550</v>
      </c>
      <c r="I44" s="66">
        <f t="shared" si="2"/>
        <v>6825</v>
      </c>
      <c r="M44" s="160">
        <v>810080</v>
      </c>
      <c r="N44" s="432"/>
      <c r="O44" s="161" t="s">
        <v>72</v>
      </c>
      <c r="P44" s="162" t="s">
        <v>73</v>
      </c>
      <c r="Q44" s="231" t="s">
        <v>55</v>
      </c>
      <c r="R44" s="229">
        <v>52</v>
      </c>
      <c r="S44" s="164">
        <v>0</v>
      </c>
      <c r="T44" s="236">
        <v>664.70590407077691</v>
      </c>
      <c r="U44" s="165">
        <f t="shared" si="3"/>
        <v>34564.707011680403</v>
      </c>
    </row>
    <row r="45" spans="1:22" x14ac:dyDescent="0.35">
      <c r="A45" s="47"/>
      <c r="B45" s="47"/>
      <c r="C45" s="47" t="s">
        <v>74</v>
      </c>
      <c r="D45" s="48" t="s">
        <v>75</v>
      </c>
      <c r="E45" s="47"/>
      <c r="F45" s="49"/>
      <c r="G45" s="50"/>
      <c r="H45" s="51"/>
      <c r="I45" s="52">
        <f>SUM(I47:I76)</f>
        <v>1176963.5900000001</v>
      </c>
      <c r="M45" s="170"/>
      <c r="N45" s="170"/>
      <c r="O45" s="170" t="s">
        <v>74</v>
      </c>
      <c r="P45" s="171" t="s">
        <v>75</v>
      </c>
      <c r="Q45" s="170"/>
      <c r="R45" s="172"/>
      <c r="S45" s="173"/>
      <c r="T45" s="174"/>
      <c r="U45" s="175">
        <f>SUM(U47:U76)</f>
        <v>1753528.9998535502</v>
      </c>
    </row>
    <row r="46" spans="1:22" x14ac:dyDescent="0.35">
      <c r="A46" s="53"/>
      <c r="B46" s="54"/>
      <c r="C46" s="53"/>
      <c r="D46" s="55" t="s">
        <v>76</v>
      </c>
      <c r="E46" s="56"/>
      <c r="F46" s="57"/>
      <c r="G46" s="58"/>
      <c r="H46" s="59"/>
      <c r="I46" s="60"/>
      <c r="M46" s="176"/>
      <c r="N46" s="177"/>
      <c r="O46" s="176"/>
      <c r="P46" s="178" t="s">
        <v>76</v>
      </c>
      <c r="Q46" s="179"/>
      <c r="R46" s="180"/>
      <c r="S46" s="181"/>
      <c r="T46" s="182"/>
      <c r="U46" s="183"/>
    </row>
    <row r="47" spans="1:22" x14ac:dyDescent="0.35">
      <c r="A47" s="61">
        <v>810080</v>
      </c>
      <c r="B47" s="410" t="s">
        <v>75</v>
      </c>
      <c r="C47" s="38" t="s">
        <v>77</v>
      </c>
      <c r="D47" s="39" t="s">
        <v>78</v>
      </c>
      <c r="E47" s="62" t="s">
        <v>79</v>
      </c>
      <c r="F47" s="222">
        <v>1507.34</v>
      </c>
      <c r="G47" s="238">
        <v>18</v>
      </c>
      <c r="H47" s="42"/>
      <c r="I47" s="66">
        <f t="shared" ref="I47:I52" si="4">F47*G47+H47*F47</f>
        <v>27132.12</v>
      </c>
      <c r="M47" s="184">
        <v>810080</v>
      </c>
      <c r="N47" s="451" t="s">
        <v>75</v>
      </c>
      <c r="O47" s="161" t="s">
        <v>77</v>
      </c>
      <c r="P47" s="162" t="s">
        <v>78</v>
      </c>
      <c r="Q47" s="169" t="s">
        <v>79</v>
      </c>
      <c r="R47" s="229">
        <v>1507.3400000000001</v>
      </c>
      <c r="S47" s="164">
        <v>0</v>
      </c>
      <c r="T47" s="236">
        <v>19.174208771272411</v>
      </c>
      <c r="U47" s="165">
        <f t="shared" ref="U47:U52" si="5">R47*S47+T47*R47</f>
        <v>28902.051849289761</v>
      </c>
    </row>
    <row r="48" spans="1:22" ht="29" x14ac:dyDescent="0.35">
      <c r="A48" s="61">
        <v>810030</v>
      </c>
      <c r="B48" s="410"/>
      <c r="C48" s="38" t="s">
        <v>80</v>
      </c>
      <c r="D48" s="63" t="s">
        <v>81</v>
      </c>
      <c r="E48" s="62" t="s">
        <v>79</v>
      </c>
      <c r="F48" s="223">
        <f>92.76+294.62</f>
        <v>387.38</v>
      </c>
      <c r="G48" s="238">
        <v>80</v>
      </c>
      <c r="H48" s="247">
        <f>35*1.35</f>
        <v>47.25</v>
      </c>
      <c r="I48" s="66">
        <f t="shared" si="4"/>
        <v>49294.104999999996</v>
      </c>
      <c r="J48" s="109" t="s">
        <v>234</v>
      </c>
      <c r="M48" s="184">
        <v>810030</v>
      </c>
      <c r="N48" s="429"/>
      <c r="O48" s="161" t="s">
        <v>80</v>
      </c>
      <c r="P48" s="185" t="s">
        <v>354</v>
      </c>
      <c r="Q48" s="169" t="s">
        <v>79</v>
      </c>
      <c r="R48" s="229">
        <v>400.18400000000003</v>
      </c>
      <c r="S48" s="236">
        <v>131.38523212078417</v>
      </c>
      <c r="T48" s="236">
        <v>51.131223390059759</v>
      </c>
      <c r="U48" s="165">
        <f t="shared" si="5"/>
        <v>73040.165232151572</v>
      </c>
    </row>
    <row r="49" spans="1:25" ht="26" x14ac:dyDescent="0.35">
      <c r="A49" s="61">
        <v>810041</v>
      </c>
      <c r="B49" s="410"/>
      <c r="C49" s="38" t="s">
        <v>82</v>
      </c>
      <c r="D49" s="39" t="s">
        <v>83</v>
      </c>
      <c r="E49" s="62" t="s">
        <v>79</v>
      </c>
      <c r="F49" s="40">
        <v>151.91</v>
      </c>
      <c r="G49" s="238">
        <v>19</v>
      </c>
      <c r="H49" s="246">
        <v>32.5</v>
      </c>
      <c r="I49" s="66">
        <f t="shared" si="4"/>
        <v>7823.3649999999998</v>
      </c>
      <c r="M49" s="184">
        <v>810041</v>
      </c>
      <c r="N49" s="429"/>
      <c r="O49" s="161" t="s">
        <v>82</v>
      </c>
      <c r="P49" s="162" t="s">
        <v>83</v>
      </c>
      <c r="Q49" s="169" t="s">
        <v>79</v>
      </c>
      <c r="R49" s="163">
        <v>159</v>
      </c>
      <c r="S49" s="236">
        <v>31.957014618787348</v>
      </c>
      <c r="T49" s="236">
        <v>23.009050525526892</v>
      </c>
      <c r="U49" s="165">
        <f t="shared" si="5"/>
        <v>8739.6043579459638</v>
      </c>
      <c r="V49" s="186"/>
    </row>
    <row r="50" spans="1:25" x14ac:dyDescent="0.35">
      <c r="A50" s="61">
        <v>810041</v>
      </c>
      <c r="B50" s="410"/>
      <c r="C50" s="38" t="s">
        <v>84</v>
      </c>
      <c r="D50" s="39" t="s">
        <v>85</v>
      </c>
      <c r="E50" s="62" t="str">
        <f>E49</f>
        <v>m²</v>
      </c>
      <c r="F50" s="223">
        <v>2602.9499999999998</v>
      </c>
      <c r="G50" s="238">
        <v>21</v>
      </c>
      <c r="H50" s="246">
        <v>35</v>
      </c>
      <c r="I50" s="66">
        <f t="shared" si="4"/>
        <v>145765.20000000001</v>
      </c>
      <c r="M50" s="184">
        <v>810041</v>
      </c>
      <c r="N50" s="429"/>
      <c r="O50" s="161" t="s">
        <v>84</v>
      </c>
      <c r="P50" s="162" t="s">
        <v>85</v>
      </c>
      <c r="Q50" s="169" t="str">
        <f>Q49</f>
        <v>m²</v>
      </c>
      <c r="R50" s="232">
        <v>480.2208</v>
      </c>
      <c r="S50" s="164">
        <v>19.174208771272411</v>
      </c>
      <c r="T50" s="164">
        <v>23.009050525526892</v>
      </c>
      <c r="U50" s="165">
        <f t="shared" si="5"/>
        <v>20257.278526116399</v>
      </c>
    </row>
    <row r="51" spans="1:25" ht="26" x14ac:dyDescent="0.35">
      <c r="A51" s="61">
        <v>810041</v>
      </c>
      <c r="B51" s="410"/>
      <c r="C51" s="38" t="s">
        <v>86</v>
      </c>
      <c r="D51" s="39" t="s">
        <v>87</v>
      </c>
      <c r="E51" s="62" t="str">
        <f>E50</f>
        <v>m²</v>
      </c>
      <c r="F51" s="40">
        <v>101.33</v>
      </c>
      <c r="G51" s="115">
        <v>9</v>
      </c>
      <c r="H51" s="246">
        <v>35</v>
      </c>
      <c r="I51" s="66">
        <f t="shared" si="4"/>
        <v>4458.5199999999995</v>
      </c>
      <c r="M51" s="184">
        <v>810041</v>
      </c>
      <c r="N51" s="429"/>
      <c r="O51" s="161" t="s">
        <v>86</v>
      </c>
      <c r="P51" s="162" t="s">
        <v>87</v>
      </c>
      <c r="Q51" s="169" t="str">
        <f>Q50</f>
        <v>m²</v>
      </c>
      <c r="R51" s="187">
        <v>320.14720000000005</v>
      </c>
      <c r="S51" s="164">
        <v>31.957014618787348</v>
      </c>
      <c r="T51" s="164">
        <v>23.009050525526892</v>
      </c>
      <c r="U51" s="165">
        <f t="shared" si="5"/>
        <v>17597.231850969802</v>
      </c>
      <c r="V51" s="186"/>
    </row>
    <row r="52" spans="1:25" ht="26" x14ac:dyDescent="0.35">
      <c r="A52" s="61">
        <v>810031</v>
      </c>
      <c r="B52" s="410"/>
      <c r="C52" s="64" t="s">
        <v>88</v>
      </c>
      <c r="D52" s="39" t="s">
        <v>89</v>
      </c>
      <c r="E52" s="62" t="s">
        <v>90</v>
      </c>
      <c r="F52" s="40">
        <v>48</v>
      </c>
      <c r="G52" s="238">
        <v>580</v>
      </c>
      <c r="H52" s="42"/>
      <c r="I52" s="66">
        <f t="shared" si="4"/>
        <v>27840</v>
      </c>
      <c r="J52" s="109" t="s">
        <v>278</v>
      </c>
      <c r="M52" s="184">
        <v>810031</v>
      </c>
      <c r="N52" s="429"/>
      <c r="O52" s="188" t="s">
        <v>88</v>
      </c>
      <c r="P52" s="162" t="s">
        <v>89</v>
      </c>
      <c r="Q52" s="169" t="s">
        <v>90</v>
      </c>
      <c r="R52" s="163">
        <v>10</v>
      </c>
      <c r="S52" s="236">
        <v>958.71043856362053</v>
      </c>
      <c r="T52" s="164">
        <v>0</v>
      </c>
      <c r="U52" s="165">
        <f t="shared" si="5"/>
        <v>9587.1043856362048</v>
      </c>
    </row>
    <row r="53" spans="1:25" x14ac:dyDescent="0.35">
      <c r="A53" s="61"/>
      <c r="B53" s="410"/>
      <c r="C53" s="53"/>
      <c r="D53" s="55" t="s">
        <v>91</v>
      </c>
      <c r="E53" s="56"/>
      <c r="F53" s="57"/>
      <c r="G53" s="58"/>
      <c r="H53" s="59"/>
      <c r="I53" s="60"/>
      <c r="M53" s="184"/>
      <c r="N53" s="429"/>
      <c r="O53" s="176"/>
      <c r="P53" s="178" t="s">
        <v>91</v>
      </c>
      <c r="Q53" s="179"/>
      <c r="R53" s="180"/>
      <c r="S53" s="181"/>
      <c r="T53" s="182"/>
      <c r="U53" s="183"/>
    </row>
    <row r="54" spans="1:25" x14ac:dyDescent="0.35">
      <c r="A54" s="61">
        <v>810041</v>
      </c>
      <c r="B54" s="410"/>
      <c r="C54" s="38" t="s">
        <v>92</v>
      </c>
      <c r="D54" s="39" t="s">
        <v>93</v>
      </c>
      <c r="E54" s="62" t="s">
        <v>79</v>
      </c>
      <c r="F54" s="222">
        <f>1838.68+1745.45</f>
        <v>3584.13</v>
      </c>
      <c r="G54" s="238">
        <v>18</v>
      </c>
      <c r="H54" s="42"/>
      <c r="I54" s="66">
        <f t="shared" ref="I54:I62" si="6">F54*G54+H54*F54</f>
        <v>64514.340000000004</v>
      </c>
      <c r="M54" s="184">
        <v>810041</v>
      </c>
      <c r="N54" s="429"/>
      <c r="O54" s="161" t="s">
        <v>92</v>
      </c>
      <c r="P54" s="162" t="s">
        <v>93</v>
      </c>
      <c r="Q54" s="169" t="s">
        <v>79</v>
      </c>
      <c r="R54" s="229">
        <v>4362.3799999999992</v>
      </c>
      <c r="S54" s="164">
        <v>0</v>
      </c>
      <c r="T54" s="236">
        <v>12.78280584751494</v>
      </c>
      <c r="U54" s="165">
        <f t="shared" ref="U54:U63" si="7">R54*S54+T54*R54</f>
        <v>55763.456573082214</v>
      </c>
    </row>
    <row r="55" spans="1:25" ht="43.5" x14ac:dyDescent="0.35">
      <c r="A55" s="61">
        <v>810041</v>
      </c>
      <c r="B55" s="410"/>
      <c r="C55" s="38" t="s">
        <v>94</v>
      </c>
      <c r="D55" s="63" t="s">
        <v>95</v>
      </c>
      <c r="E55" s="62" t="s">
        <v>79</v>
      </c>
      <c r="F55" s="110">
        <f>2163.15-83.8</f>
        <v>2079.35</v>
      </c>
      <c r="G55" s="115"/>
      <c r="H55" s="247">
        <f>35*1.4</f>
        <v>49</v>
      </c>
      <c r="I55" s="66">
        <f t="shared" si="6"/>
        <v>101888.15</v>
      </c>
      <c r="J55" s="117" t="s">
        <v>284</v>
      </c>
      <c r="M55" s="184">
        <v>810041</v>
      </c>
      <c r="N55" s="429"/>
      <c r="O55" s="161" t="s">
        <v>94</v>
      </c>
      <c r="P55" s="185" t="s">
        <v>95</v>
      </c>
      <c r="Q55" s="169" t="s">
        <v>79</v>
      </c>
      <c r="R55" s="232">
        <v>1375.4499999999998</v>
      </c>
      <c r="S55" s="237">
        <v>132.1410807088283</v>
      </c>
      <c r="T55" s="164">
        <v>56.160266772297014</v>
      </c>
      <c r="U55" s="165">
        <f t="shared" si="7"/>
        <v>258999.08839291381</v>
      </c>
      <c r="V55" s="248" t="s">
        <v>373</v>
      </c>
    </row>
    <row r="56" spans="1:25" x14ac:dyDescent="0.35">
      <c r="A56" s="61"/>
      <c r="B56" s="410"/>
      <c r="C56" s="38" t="s">
        <v>96</v>
      </c>
      <c r="D56" s="63" t="s">
        <v>344</v>
      </c>
      <c r="E56" s="62" t="s">
        <v>79</v>
      </c>
      <c r="F56" s="40">
        <v>63</v>
      </c>
      <c r="G56" s="224"/>
      <c r="H56" s="225"/>
      <c r="I56" s="66"/>
      <c r="M56" s="184"/>
      <c r="N56" s="429"/>
      <c r="O56" s="161" t="s">
        <v>96</v>
      </c>
      <c r="P56" s="63" t="s">
        <v>344</v>
      </c>
      <c r="Q56" s="62" t="s">
        <v>79</v>
      </c>
      <c r="R56" s="40">
        <v>63</v>
      </c>
      <c r="S56" s="224"/>
      <c r="T56" s="225"/>
      <c r="U56" s="165">
        <f t="shared" si="7"/>
        <v>0</v>
      </c>
    </row>
    <row r="57" spans="1:25" s="108" customFormat="1" ht="58" x14ac:dyDescent="0.35">
      <c r="A57" s="61">
        <v>810041</v>
      </c>
      <c r="B57" s="410"/>
      <c r="C57" s="38" t="s">
        <v>97</v>
      </c>
      <c r="D57" s="63" t="s">
        <v>98</v>
      </c>
      <c r="E57" s="62" t="s">
        <v>79</v>
      </c>
      <c r="F57" s="223">
        <v>3186.02</v>
      </c>
      <c r="G57" s="115">
        <v>16</v>
      </c>
      <c r="H57" s="246">
        <v>28</v>
      </c>
      <c r="I57" s="66">
        <f t="shared" si="6"/>
        <v>140184.88</v>
      </c>
      <c r="J57" s="109" t="s">
        <v>279</v>
      </c>
      <c r="M57" s="184">
        <v>810041</v>
      </c>
      <c r="N57" s="429"/>
      <c r="O57" s="161" t="s">
        <v>97</v>
      </c>
      <c r="P57" s="185" t="s">
        <v>98</v>
      </c>
      <c r="Q57" s="169" t="s">
        <v>79</v>
      </c>
      <c r="R57" s="232">
        <v>1375.4499999999998</v>
      </c>
      <c r="S57" s="236">
        <v>31.957014618787348</v>
      </c>
      <c r="T57" s="164">
        <v>23.009050525526892</v>
      </c>
      <c r="U57" s="165">
        <f t="shared" si="7"/>
        <v>75603.074302747002</v>
      </c>
      <c r="V57"/>
      <c r="W57" s="122"/>
      <c r="X57"/>
      <c r="Y57"/>
    </row>
    <row r="58" spans="1:25" s="108" customFormat="1" ht="58" x14ac:dyDescent="0.35">
      <c r="A58" s="61">
        <v>810041</v>
      </c>
      <c r="B58" s="410"/>
      <c r="C58" s="38" t="s">
        <v>99</v>
      </c>
      <c r="D58" s="63" t="s">
        <v>374</v>
      </c>
      <c r="E58" s="62" t="s">
        <v>79</v>
      </c>
      <c r="F58" s="226">
        <v>101.33</v>
      </c>
      <c r="G58" s="250">
        <v>16</v>
      </c>
      <c r="H58" s="249">
        <v>28</v>
      </c>
      <c r="I58" s="66">
        <f t="shared" si="6"/>
        <v>4458.5199999999995</v>
      </c>
      <c r="J58" s="109" t="s">
        <v>279</v>
      </c>
      <c r="M58" s="184">
        <v>810041</v>
      </c>
      <c r="N58" s="429"/>
      <c r="O58" s="161" t="s">
        <v>99</v>
      </c>
      <c r="P58" s="63" t="s">
        <v>374</v>
      </c>
      <c r="Q58" s="169" t="s">
        <v>79</v>
      </c>
      <c r="R58" s="233">
        <v>1945.4000000000003</v>
      </c>
      <c r="S58" s="237">
        <v>31.957014618787348</v>
      </c>
      <c r="T58" s="237">
        <v>23.009050525526892</v>
      </c>
      <c r="U58" s="165">
        <f t="shared" si="7"/>
        <v>106930.98313174894</v>
      </c>
      <c r="V58"/>
      <c r="W58" s="122"/>
      <c r="X58"/>
      <c r="Y58"/>
    </row>
    <row r="59" spans="1:25" s="108" customFormat="1" ht="26" x14ac:dyDescent="0.35">
      <c r="A59" s="61">
        <v>810230</v>
      </c>
      <c r="B59" s="410"/>
      <c r="C59" s="38" t="s">
        <v>101</v>
      </c>
      <c r="D59" s="63" t="s">
        <v>102</v>
      </c>
      <c r="E59" s="62" t="s">
        <v>103</v>
      </c>
      <c r="F59" s="222">
        <f>425</f>
        <v>425</v>
      </c>
      <c r="G59" s="41">
        <v>5</v>
      </c>
      <c r="H59" s="42">
        <v>15</v>
      </c>
      <c r="I59" s="66">
        <f t="shared" si="6"/>
        <v>8500</v>
      </c>
      <c r="J59" s="109"/>
      <c r="M59" s="184">
        <v>810230</v>
      </c>
      <c r="N59" s="429"/>
      <c r="O59" s="161" t="s">
        <v>101</v>
      </c>
      <c r="P59" s="185" t="s">
        <v>300</v>
      </c>
      <c r="Q59" s="169" t="s">
        <v>103</v>
      </c>
      <c r="R59" s="229">
        <v>2919</v>
      </c>
      <c r="S59" s="236">
        <v>5.1131223390059759</v>
      </c>
      <c r="T59" s="236">
        <v>8.9479640932604578</v>
      </c>
      <c r="U59" s="165">
        <f t="shared" si="7"/>
        <v>41044.311295785723</v>
      </c>
      <c r="V59"/>
      <c r="W59" s="122"/>
      <c r="X59"/>
      <c r="Y59"/>
    </row>
    <row r="60" spans="1:25" s="108" customFormat="1" ht="29" x14ac:dyDescent="0.35">
      <c r="A60" s="61">
        <v>810041</v>
      </c>
      <c r="B60" s="410"/>
      <c r="C60" s="38" t="s">
        <v>104</v>
      </c>
      <c r="D60" s="63" t="s">
        <v>105</v>
      </c>
      <c r="E60" s="62" t="s">
        <v>103</v>
      </c>
      <c r="F60" s="222">
        <f>425</f>
        <v>425</v>
      </c>
      <c r="G60" s="224"/>
      <c r="H60" s="225"/>
      <c r="I60" s="66">
        <f t="shared" si="6"/>
        <v>0</v>
      </c>
      <c r="J60" s="109" t="s">
        <v>280</v>
      </c>
      <c r="M60" s="184">
        <v>810041</v>
      </c>
      <c r="N60" s="429"/>
      <c r="O60" s="161" t="s">
        <v>104</v>
      </c>
      <c r="P60" s="185" t="s">
        <v>301</v>
      </c>
      <c r="Q60" s="169" t="s">
        <v>103</v>
      </c>
      <c r="R60" s="229">
        <v>2919</v>
      </c>
      <c r="S60" s="236">
        <v>7.6696835085089639</v>
      </c>
      <c r="T60" s="236">
        <v>8.9479640932604578</v>
      </c>
      <c r="U60" s="165">
        <f t="shared" si="7"/>
        <v>48506.913349564944</v>
      </c>
      <c r="V60"/>
      <c r="W60" s="122"/>
      <c r="X60"/>
      <c r="Y60"/>
    </row>
    <row r="61" spans="1:25" ht="27" customHeight="1" x14ac:dyDescent="0.35">
      <c r="A61" s="61">
        <v>810210</v>
      </c>
      <c r="B61" s="410"/>
      <c r="C61" s="38" t="s">
        <v>106</v>
      </c>
      <c r="D61" s="63" t="s">
        <v>107</v>
      </c>
      <c r="E61" s="111" t="s">
        <v>228</v>
      </c>
      <c r="F61" s="110">
        <f>32.91+50.89</f>
        <v>83.8</v>
      </c>
      <c r="G61" s="238">
        <v>250</v>
      </c>
      <c r="H61" s="246">
        <v>30</v>
      </c>
      <c r="I61" s="66">
        <f t="shared" si="6"/>
        <v>23464</v>
      </c>
      <c r="M61" s="184">
        <v>810210</v>
      </c>
      <c r="N61" s="429"/>
      <c r="O61" s="161" t="s">
        <v>106</v>
      </c>
      <c r="P61" s="185" t="s">
        <v>107</v>
      </c>
      <c r="Q61" s="251" t="s">
        <v>46</v>
      </c>
      <c r="R61" s="229">
        <v>1</v>
      </c>
      <c r="S61" s="236">
        <v>130212.81873406182</v>
      </c>
      <c r="T61" s="236">
        <v>86808.545822707863</v>
      </c>
      <c r="U61" s="165">
        <f t="shared" si="7"/>
        <v>217021.36455676967</v>
      </c>
      <c r="X61" s="189"/>
    </row>
    <row r="62" spans="1:25" x14ac:dyDescent="0.35">
      <c r="A62" s="61">
        <v>810210</v>
      </c>
      <c r="B62" s="410"/>
      <c r="C62" s="38" t="s">
        <v>108</v>
      </c>
      <c r="D62" s="63" t="s">
        <v>109</v>
      </c>
      <c r="E62" s="62" t="s">
        <v>228</v>
      </c>
      <c r="F62" s="110">
        <f>F61</f>
        <v>83.8</v>
      </c>
      <c r="G62" s="238">
        <v>120</v>
      </c>
      <c r="H62" s="246">
        <v>30</v>
      </c>
      <c r="I62" s="66">
        <f t="shared" si="6"/>
        <v>12570</v>
      </c>
      <c r="M62" s="184">
        <v>810210</v>
      </c>
      <c r="N62" s="429"/>
      <c r="O62" s="161" t="s">
        <v>108</v>
      </c>
      <c r="P62" s="185" t="s">
        <v>109</v>
      </c>
      <c r="Q62" s="251" t="s">
        <v>46</v>
      </c>
      <c r="R62" s="229">
        <v>1</v>
      </c>
      <c r="S62" s="236">
        <v>10851.068227838483</v>
      </c>
      <c r="T62" s="236">
        <v>4018.9141584586978</v>
      </c>
      <c r="U62" s="165">
        <f t="shared" si="7"/>
        <v>14869.982386297181</v>
      </c>
      <c r="X62" s="168"/>
    </row>
    <row r="63" spans="1:25" ht="26" x14ac:dyDescent="0.35">
      <c r="A63" s="61">
        <v>810041</v>
      </c>
      <c r="B63" s="410"/>
      <c r="C63" s="38" t="s">
        <v>110</v>
      </c>
      <c r="D63" s="63" t="s">
        <v>111</v>
      </c>
      <c r="E63" s="65" t="s">
        <v>79</v>
      </c>
      <c r="F63" s="223">
        <v>50</v>
      </c>
      <c r="G63" s="41">
        <v>19</v>
      </c>
      <c r="H63" s="42">
        <v>32.5</v>
      </c>
      <c r="I63" s="66">
        <f>F63*G63+H63*F63</f>
        <v>2575</v>
      </c>
      <c r="M63" s="184">
        <v>810041</v>
      </c>
      <c r="N63" s="429"/>
      <c r="O63" s="161" t="s">
        <v>110</v>
      </c>
      <c r="P63" s="185" t="s">
        <v>111</v>
      </c>
      <c r="Q63" s="190" t="s">
        <v>79</v>
      </c>
      <c r="R63" s="232">
        <v>1375.4499999999998</v>
      </c>
      <c r="S63" s="236">
        <v>31.957014618787348</v>
      </c>
      <c r="T63" s="164">
        <v>23.009050525526892</v>
      </c>
      <c r="U63" s="165">
        <f t="shared" si="7"/>
        <v>75603.074302747002</v>
      </c>
    </row>
    <row r="64" spans="1:25" x14ac:dyDescent="0.35">
      <c r="A64" s="61">
        <v>810051</v>
      </c>
      <c r="B64" s="410"/>
      <c r="C64" s="53"/>
      <c r="D64" s="55" t="s">
        <v>112</v>
      </c>
      <c r="E64" s="56"/>
      <c r="F64" s="57"/>
      <c r="G64" s="58"/>
      <c r="H64" s="59"/>
      <c r="I64" s="60"/>
      <c r="M64" s="184">
        <v>810051</v>
      </c>
      <c r="N64" s="429"/>
      <c r="O64" s="176"/>
      <c r="P64" s="178" t="s">
        <v>112</v>
      </c>
      <c r="Q64" s="179"/>
      <c r="R64" s="180"/>
      <c r="S64" s="181"/>
      <c r="T64" s="182"/>
      <c r="U64" s="183"/>
    </row>
    <row r="65" spans="1:25" x14ac:dyDescent="0.35">
      <c r="A65" s="61">
        <v>810051</v>
      </c>
      <c r="B65" s="410"/>
      <c r="C65" s="38" t="s">
        <v>113</v>
      </c>
      <c r="D65" s="39" t="s">
        <v>114</v>
      </c>
      <c r="E65" s="62" t="s">
        <v>79</v>
      </c>
      <c r="F65" s="223">
        <f>2723.23+146+67.73</f>
        <v>2936.96</v>
      </c>
      <c r="G65" s="41">
        <v>0</v>
      </c>
      <c r="H65" s="42">
        <v>25</v>
      </c>
      <c r="I65" s="66">
        <f>F65*G65+H65*F65</f>
        <v>73424</v>
      </c>
      <c r="J65" s="109" t="s">
        <v>241</v>
      </c>
      <c r="M65" s="184">
        <v>810051</v>
      </c>
      <c r="N65" s="429"/>
      <c r="O65" s="161" t="s">
        <v>113</v>
      </c>
      <c r="P65" s="162" t="s">
        <v>114</v>
      </c>
      <c r="Q65" s="169" t="s">
        <v>79</v>
      </c>
      <c r="R65" s="229">
        <v>4362.3799999999992</v>
      </c>
      <c r="S65" s="164">
        <v>0</v>
      </c>
      <c r="T65" s="164">
        <v>12.78280584751494</v>
      </c>
      <c r="U65" s="165">
        <f>R65*S65+T65*R65</f>
        <v>55763.456573082214</v>
      </c>
    </row>
    <row r="66" spans="1:25" x14ac:dyDescent="0.35">
      <c r="A66" s="61">
        <v>810051</v>
      </c>
      <c r="B66" s="410"/>
      <c r="C66" s="38" t="s">
        <v>115</v>
      </c>
      <c r="D66" s="39" t="s">
        <v>272</v>
      </c>
      <c r="E66" s="62" t="s">
        <v>79</v>
      </c>
      <c r="F66" s="223">
        <f>F65</f>
        <v>2936.96</v>
      </c>
      <c r="G66" s="238">
        <v>20</v>
      </c>
      <c r="H66" s="246">
        <v>19</v>
      </c>
      <c r="I66" s="66">
        <f t="shared" ref="I66:I71" si="8">F66*G66+H66*F66</f>
        <v>114541.44</v>
      </c>
      <c r="M66" s="184">
        <v>810051</v>
      </c>
      <c r="N66" s="429"/>
      <c r="O66" s="161" t="s">
        <v>115</v>
      </c>
      <c r="P66" s="162" t="s">
        <v>302</v>
      </c>
      <c r="Q66" s="169" t="s">
        <v>79</v>
      </c>
      <c r="R66" s="229">
        <v>4362.3799999999992</v>
      </c>
      <c r="S66" s="236">
        <v>40.904978712047807</v>
      </c>
      <c r="T66" s="236">
        <v>25.56561169502988</v>
      </c>
      <c r="U66" s="165">
        <f>R66*S66+T66*R66</f>
        <v>289969.97418002749</v>
      </c>
    </row>
    <row r="67" spans="1:25" ht="39" x14ac:dyDescent="0.35">
      <c r="A67" s="61">
        <v>810051</v>
      </c>
      <c r="B67" s="410"/>
      <c r="C67" s="113" t="s">
        <v>116</v>
      </c>
      <c r="D67" s="63" t="s">
        <v>117</v>
      </c>
      <c r="E67" s="62" t="s">
        <v>79</v>
      </c>
      <c r="F67" s="223">
        <v>3647.53</v>
      </c>
      <c r="G67" s="238">
        <v>5</v>
      </c>
      <c r="H67" s="246">
        <v>80</v>
      </c>
      <c r="I67" s="66">
        <f t="shared" si="8"/>
        <v>310040.05000000005</v>
      </c>
      <c r="M67" s="184">
        <v>810051</v>
      </c>
      <c r="N67" s="429"/>
      <c r="O67" s="161" t="s">
        <v>116</v>
      </c>
      <c r="P67" s="185" t="s">
        <v>117</v>
      </c>
      <c r="Q67" s="169" t="s">
        <v>79</v>
      </c>
      <c r="R67" s="163">
        <v>3171.76</v>
      </c>
      <c r="S67" s="164">
        <v>0</v>
      </c>
      <c r="T67" s="236">
        <v>51.131223390059759</v>
      </c>
      <c r="U67" s="165">
        <f>R67*S67+T67*R67</f>
        <v>162175.96909965595</v>
      </c>
    </row>
    <row r="68" spans="1:25" ht="40.5" customHeight="1" x14ac:dyDescent="0.35">
      <c r="A68" s="61">
        <v>810051</v>
      </c>
      <c r="B68" s="410"/>
      <c r="C68" s="113" t="s">
        <v>118</v>
      </c>
      <c r="D68" s="63" t="s">
        <v>345</v>
      </c>
      <c r="E68" s="62" t="s">
        <v>79</v>
      </c>
      <c r="F68" s="40">
        <v>272.5</v>
      </c>
      <c r="G68" s="238">
        <v>35</v>
      </c>
      <c r="H68" s="42">
        <v>10</v>
      </c>
      <c r="I68" s="66">
        <f t="shared" si="8"/>
        <v>12262.5</v>
      </c>
      <c r="J68" s="109" t="s">
        <v>255</v>
      </c>
      <c r="M68" s="184">
        <v>810051</v>
      </c>
      <c r="N68" s="429"/>
      <c r="O68" s="161" t="s">
        <v>118</v>
      </c>
      <c r="P68" s="63" t="s">
        <v>345</v>
      </c>
      <c r="Q68" s="62" t="s">
        <v>79</v>
      </c>
      <c r="R68" s="40">
        <v>272.5</v>
      </c>
      <c r="S68" s="234"/>
      <c r="T68" s="234"/>
      <c r="U68" s="165">
        <f>R68*S68+T68*R68</f>
        <v>0</v>
      </c>
    </row>
    <row r="69" spans="1:25" s="122" customFormat="1" ht="24.75" customHeight="1" x14ac:dyDescent="0.35">
      <c r="A69" s="61">
        <v>810051</v>
      </c>
      <c r="B69" s="410"/>
      <c r="C69" s="38" t="s">
        <v>120</v>
      </c>
      <c r="D69" s="39" t="s">
        <v>356</v>
      </c>
      <c r="E69" s="62" t="s">
        <v>68</v>
      </c>
      <c r="F69" s="40">
        <v>666.76</v>
      </c>
      <c r="G69" s="238">
        <v>35</v>
      </c>
      <c r="H69" s="42">
        <v>10</v>
      </c>
      <c r="I69" s="66">
        <f t="shared" si="8"/>
        <v>30004.199999999997</v>
      </c>
      <c r="J69" s="109"/>
      <c r="K69"/>
      <c r="L69"/>
      <c r="M69" s="184">
        <v>810051</v>
      </c>
      <c r="N69" s="429"/>
      <c r="O69" s="161" t="s">
        <v>120</v>
      </c>
      <c r="P69" s="162" t="s">
        <v>357</v>
      </c>
      <c r="Q69" s="169" t="s">
        <v>68</v>
      </c>
      <c r="R69" s="163">
        <v>503.29</v>
      </c>
      <c r="S69" s="236">
        <v>201.96833239073604</v>
      </c>
      <c r="T69" s="236">
        <v>38.348417542544823</v>
      </c>
      <c r="U69" s="165">
        <f>R69*S69+T69*R69</f>
        <v>120949.01707392093</v>
      </c>
      <c r="V69"/>
      <c r="X69"/>
      <c r="Y69"/>
    </row>
    <row r="70" spans="1:25" s="122" customFormat="1" x14ac:dyDescent="0.35">
      <c r="A70" s="61"/>
      <c r="B70" s="410"/>
      <c r="C70" s="38" t="s">
        <v>122</v>
      </c>
      <c r="D70" s="39" t="s">
        <v>346</v>
      </c>
      <c r="E70" s="62" t="s">
        <v>68</v>
      </c>
      <c r="F70" s="40">
        <v>296.13</v>
      </c>
      <c r="G70" s="224"/>
      <c r="H70" s="225"/>
      <c r="I70" s="66"/>
      <c r="J70" s="109"/>
      <c r="K70"/>
      <c r="L70"/>
      <c r="M70" s="184"/>
      <c r="N70" s="429"/>
      <c r="O70" s="161" t="s">
        <v>122</v>
      </c>
      <c r="P70" s="39" t="s">
        <v>346</v>
      </c>
      <c r="Q70" s="62" t="s">
        <v>68</v>
      </c>
      <c r="R70" s="40">
        <v>296.13</v>
      </c>
      <c r="S70" s="234"/>
      <c r="T70" s="234"/>
      <c r="U70" s="165"/>
      <c r="V70"/>
      <c r="X70"/>
      <c r="Y70"/>
    </row>
    <row r="71" spans="1:25" s="122" customFormat="1" ht="53.25" customHeight="1" x14ac:dyDescent="0.35">
      <c r="A71" s="61">
        <v>810051</v>
      </c>
      <c r="B71" s="410"/>
      <c r="C71" s="38" t="s">
        <v>125</v>
      </c>
      <c r="D71" s="39" t="s">
        <v>123</v>
      </c>
      <c r="E71" s="62" t="s">
        <v>79</v>
      </c>
      <c r="F71" s="223">
        <v>187.72</v>
      </c>
      <c r="G71" s="238">
        <v>30</v>
      </c>
      <c r="H71" s="42">
        <v>30</v>
      </c>
      <c r="I71" s="66">
        <f t="shared" si="8"/>
        <v>11263.2</v>
      </c>
      <c r="J71" s="109"/>
      <c r="K71"/>
      <c r="L71"/>
      <c r="M71" s="184">
        <v>810051</v>
      </c>
      <c r="N71" s="429"/>
      <c r="O71" s="161" t="s">
        <v>125</v>
      </c>
      <c r="P71" s="162" t="s">
        <v>123</v>
      </c>
      <c r="Q71" s="169" t="s">
        <v>79</v>
      </c>
      <c r="R71" s="191">
        <v>163.22999999999999</v>
      </c>
      <c r="S71" s="164">
        <v>12.131521889584054</v>
      </c>
      <c r="T71" s="236">
        <v>44.739820466302291</v>
      </c>
      <c r="U71" s="165">
        <f>R71*S71+T71*R71</f>
        <v>9283.1092127513275</v>
      </c>
      <c r="V71"/>
      <c r="X71"/>
      <c r="Y71"/>
    </row>
    <row r="72" spans="1:25" s="122" customFormat="1" x14ac:dyDescent="0.35">
      <c r="A72" s="61">
        <v>810210</v>
      </c>
      <c r="B72" s="410"/>
      <c r="C72" s="53"/>
      <c r="D72" s="55" t="s">
        <v>124</v>
      </c>
      <c r="E72" s="56"/>
      <c r="F72" s="57"/>
      <c r="G72" s="58"/>
      <c r="H72" s="59"/>
      <c r="I72" s="60"/>
      <c r="J72" s="109"/>
      <c r="K72"/>
      <c r="L72"/>
      <c r="M72" s="184">
        <v>810210</v>
      </c>
      <c r="N72" s="429"/>
      <c r="O72" s="176"/>
      <c r="P72" s="178" t="s">
        <v>124</v>
      </c>
      <c r="Q72" s="179"/>
      <c r="R72" s="180"/>
      <c r="S72" s="181"/>
      <c r="T72" s="182"/>
      <c r="U72" s="183"/>
      <c r="V72"/>
      <c r="X72"/>
      <c r="Y72"/>
    </row>
    <row r="73" spans="1:25" s="122" customFormat="1" x14ac:dyDescent="0.35">
      <c r="A73" s="61">
        <v>810210</v>
      </c>
      <c r="B73" s="410"/>
      <c r="C73" s="38" t="s">
        <v>125</v>
      </c>
      <c r="D73" s="39" t="s">
        <v>126</v>
      </c>
      <c r="E73" s="38" t="s">
        <v>79</v>
      </c>
      <c r="F73" s="40"/>
      <c r="G73" s="41"/>
      <c r="H73" s="42"/>
      <c r="I73" s="66">
        <f>F73*G73+H73*F73</f>
        <v>0</v>
      </c>
      <c r="J73" s="109"/>
      <c r="K73"/>
      <c r="L73"/>
      <c r="M73" s="184">
        <v>810210</v>
      </c>
      <c r="N73" s="429"/>
      <c r="O73" s="161" t="s">
        <v>125</v>
      </c>
      <c r="P73" s="162" t="s">
        <v>126</v>
      </c>
      <c r="Q73" s="161" t="s">
        <v>79</v>
      </c>
      <c r="R73" s="229">
        <v>190</v>
      </c>
      <c r="S73" s="236">
        <v>44.739820466302291</v>
      </c>
      <c r="T73" s="236">
        <v>31.957014618787348</v>
      </c>
      <c r="U73" s="165">
        <f>R73*S73+T73*R73</f>
        <v>14572.398666167031</v>
      </c>
      <c r="V73"/>
      <c r="X73"/>
      <c r="Y73"/>
    </row>
    <row r="74" spans="1:25" s="122" customFormat="1" x14ac:dyDescent="0.35">
      <c r="A74" s="61">
        <v>810210</v>
      </c>
      <c r="B74" s="410"/>
      <c r="C74" s="38" t="s">
        <v>127</v>
      </c>
      <c r="D74" s="39" t="s">
        <v>128</v>
      </c>
      <c r="E74" s="38" t="s">
        <v>103</v>
      </c>
      <c r="F74" s="40"/>
      <c r="G74" s="41"/>
      <c r="H74" s="42"/>
      <c r="I74" s="66">
        <f>F74*G74+H74*F74</f>
        <v>0</v>
      </c>
      <c r="J74" s="109"/>
      <c r="K74"/>
      <c r="L74"/>
      <c r="M74" s="184">
        <v>810210</v>
      </c>
      <c r="N74" s="429"/>
      <c r="O74" s="161" t="s">
        <v>127</v>
      </c>
      <c r="P74" s="162" t="s">
        <v>128</v>
      </c>
      <c r="Q74" s="161" t="s">
        <v>103</v>
      </c>
      <c r="R74" s="235">
        <v>45</v>
      </c>
      <c r="S74" s="237">
        <v>133.54945686686921</v>
      </c>
      <c r="T74" s="237">
        <v>79.427137659024922</v>
      </c>
      <c r="U74" s="165">
        <f>R74*S74+T74*R74</f>
        <v>9583.9467536652355</v>
      </c>
      <c r="V74"/>
      <c r="X74"/>
      <c r="Y74"/>
    </row>
    <row r="75" spans="1:25" s="122" customFormat="1" x14ac:dyDescent="0.35">
      <c r="A75" s="61">
        <v>810210</v>
      </c>
      <c r="B75" s="410"/>
      <c r="C75" s="38" t="s">
        <v>129</v>
      </c>
      <c r="D75" s="39" t="s">
        <v>130</v>
      </c>
      <c r="E75" s="38" t="s">
        <v>103</v>
      </c>
      <c r="F75" s="40">
        <v>2</v>
      </c>
      <c r="G75" s="238">
        <v>530</v>
      </c>
      <c r="H75" s="42"/>
      <c r="I75" s="66">
        <f>F75*G75+H75*F75</f>
        <v>1060</v>
      </c>
      <c r="J75" s="109"/>
      <c r="K75"/>
      <c r="L75"/>
      <c r="M75" s="184">
        <v>810210</v>
      </c>
      <c r="N75" s="429"/>
      <c r="O75" s="161" t="s">
        <v>129</v>
      </c>
      <c r="P75" s="162" t="s">
        <v>130</v>
      </c>
      <c r="Q75" s="161" t="s">
        <v>103</v>
      </c>
      <c r="R75" s="163">
        <v>15</v>
      </c>
      <c r="S75" s="236">
        <v>51.540273177180239</v>
      </c>
      <c r="T75" s="164">
        <v>15.462081953154071</v>
      </c>
      <c r="U75" s="165">
        <f>R75*S75+T75*R75</f>
        <v>1005.0353269550146</v>
      </c>
      <c r="V75"/>
      <c r="X75"/>
      <c r="Y75"/>
    </row>
    <row r="76" spans="1:25" s="122" customFormat="1" x14ac:dyDescent="0.35">
      <c r="A76" s="61">
        <v>810210</v>
      </c>
      <c r="B76" s="67"/>
      <c r="C76" s="38" t="s">
        <v>131</v>
      </c>
      <c r="D76" s="39" t="s">
        <v>132</v>
      </c>
      <c r="E76" s="38" t="s">
        <v>103</v>
      </c>
      <c r="F76" s="40">
        <v>6</v>
      </c>
      <c r="G76" s="238">
        <v>650</v>
      </c>
      <c r="H76" s="42"/>
      <c r="I76" s="66">
        <f>F76*G76+H76*F76</f>
        <v>3900</v>
      </c>
      <c r="J76" s="109"/>
      <c r="K76"/>
      <c r="L76"/>
      <c r="M76" s="184">
        <v>810210</v>
      </c>
      <c r="N76" s="192"/>
      <c r="O76" s="161" t="s">
        <v>131</v>
      </c>
      <c r="P76" s="162" t="s">
        <v>132</v>
      </c>
      <c r="Q76" s="161" t="s">
        <v>103</v>
      </c>
      <c r="R76" s="163">
        <v>10</v>
      </c>
      <c r="S76" s="236">
        <v>2265.6245084135476</v>
      </c>
      <c r="T76" s="236">
        <v>1510.4163389423654</v>
      </c>
      <c r="U76" s="165">
        <f>R76*S76+T76*R76</f>
        <v>37760.408473559131</v>
      </c>
      <c r="V76"/>
      <c r="X76"/>
      <c r="Y76"/>
    </row>
    <row r="77" spans="1:25" s="122" customFormat="1" x14ac:dyDescent="0.35">
      <c r="A77" s="68"/>
      <c r="B77" s="68"/>
      <c r="C77" s="47" t="s">
        <v>133</v>
      </c>
      <c r="D77" s="48" t="s">
        <v>134</v>
      </c>
      <c r="E77" s="47"/>
      <c r="F77" s="49"/>
      <c r="G77" s="50"/>
      <c r="H77" s="51"/>
      <c r="I77" s="52">
        <f>SUM(I78:I98)</f>
        <v>550994.93999999994</v>
      </c>
      <c r="J77" s="109"/>
      <c r="K77"/>
      <c r="L77"/>
      <c r="M77" s="151"/>
      <c r="N77" s="151"/>
      <c r="O77" s="170" t="s">
        <v>133</v>
      </c>
      <c r="P77" s="171" t="s">
        <v>134</v>
      </c>
      <c r="Q77" s="170"/>
      <c r="R77" s="172"/>
      <c r="S77" s="173"/>
      <c r="T77" s="174"/>
      <c r="U77" s="175">
        <f>SUM(U78:U98)</f>
        <v>589026.20551632345</v>
      </c>
      <c r="V77"/>
      <c r="X77"/>
      <c r="Y77"/>
    </row>
    <row r="78" spans="1:25" s="122" customFormat="1" ht="52" x14ac:dyDescent="0.35">
      <c r="A78" s="61">
        <v>810213</v>
      </c>
      <c r="B78" s="409" t="s">
        <v>134</v>
      </c>
      <c r="C78" s="38" t="s">
        <v>135</v>
      </c>
      <c r="D78" s="39" t="s">
        <v>136</v>
      </c>
      <c r="E78" s="62" t="s">
        <v>79</v>
      </c>
      <c r="F78" s="40">
        <v>272.51</v>
      </c>
      <c r="G78" s="69">
        <v>10</v>
      </c>
      <c r="H78" s="70">
        <f>H55</f>
        <v>49</v>
      </c>
      <c r="I78" s="66">
        <f t="shared" ref="I78:I98" si="9">F78*G78+H78*F78</f>
        <v>16078.09</v>
      </c>
      <c r="J78" s="117" t="s">
        <v>286</v>
      </c>
      <c r="K78"/>
      <c r="L78"/>
      <c r="M78" s="184">
        <v>810213</v>
      </c>
      <c r="N78" s="445" t="s">
        <v>134</v>
      </c>
      <c r="O78" s="161" t="s">
        <v>135</v>
      </c>
      <c r="P78" s="162" t="s">
        <v>136</v>
      </c>
      <c r="Q78" s="169" t="s">
        <v>79</v>
      </c>
      <c r="R78" s="229">
        <v>179.55</v>
      </c>
      <c r="S78" s="237">
        <v>151.53668767737966</v>
      </c>
      <c r="T78" s="236">
        <v>56.160266772297014</v>
      </c>
      <c r="U78" s="165">
        <f t="shared" ref="U78:U98" si="10">R78*S78+T78*R78</f>
        <v>37291.988171439451</v>
      </c>
      <c r="V78" s="248" t="s">
        <v>373</v>
      </c>
      <c r="X78"/>
      <c r="Y78"/>
    </row>
    <row r="79" spans="1:25" s="122" customFormat="1" ht="25.5" customHeight="1" x14ac:dyDescent="0.35">
      <c r="A79" s="61">
        <v>810213</v>
      </c>
      <c r="B79" s="410"/>
      <c r="C79" s="38" t="s">
        <v>137</v>
      </c>
      <c r="D79" s="39" t="s">
        <v>138</v>
      </c>
      <c r="E79" s="62" t="s">
        <v>79</v>
      </c>
      <c r="F79" s="223">
        <f>1614-30.5-10.4</f>
        <v>1573.1</v>
      </c>
      <c r="G79" s="115">
        <v>80</v>
      </c>
      <c r="H79" s="247">
        <f>(35*1.35)+20</f>
        <v>67.25</v>
      </c>
      <c r="I79" s="66">
        <f t="shared" si="9"/>
        <v>231638.97499999998</v>
      </c>
      <c r="J79" s="109"/>
      <c r="K79"/>
      <c r="L79"/>
      <c r="M79" s="184">
        <v>810213</v>
      </c>
      <c r="N79" s="429"/>
      <c r="O79" s="161" t="s">
        <v>137</v>
      </c>
      <c r="P79" s="162" t="s">
        <v>138</v>
      </c>
      <c r="Q79" s="169" t="s">
        <v>79</v>
      </c>
      <c r="R79" s="229">
        <v>400.18400000000003</v>
      </c>
      <c r="S79" s="236">
        <v>173.1851896101881</v>
      </c>
      <c r="T79" s="164">
        <v>63.911013280468147</v>
      </c>
      <c r="U79" s="165">
        <f t="shared" si="10"/>
        <v>94882.106857594394</v>
      </c>
      <c r="V79"/>
      <c r="X79"/>
      <c r="Y79"/>
    </row>
    <row r="80" spans="1:25" s="122" customFormat="1" ht="26" x14ac:dyDescent="0.35">
      <c r="A80" s="61">
        <v>810213</v>
      </c>
      <c r="B80" s="410"/>
      <c r="C80" s="38" t="s">
        <v>139</v>
      </c>
      <c r="D80" s="39" t="s">
        <v>140</v>
      </c>
      <c r="E80" s="62" t="s">
        <v>79</v>
      </c>
      <c r="F80" s="223">
        <f>30.5+10.4</f>
        <v>40.9</v>
      </c>
      <c r="G80" s="115">
        <v>80</v>
      </c>
      <c r="H80" s="119">
        <f>35*1.35</f>
        <v>47.25</v>
      </c>
      <c r="I80" s="66">
        <f t="shared" si="9"/>
        <v>5204.5249999999996</v>
      </c>
      <c r="J80" s="109"/>
      <c r="K80"/>
      <c r="L80"/>
      <c r="M80" s="184">
        <v>810213</v>
      </c>
      <c r="N80" s="429"/>
      <c r="O80" s="161" t="s">
        <v>139</v>
      </c>
      <c r="P80" s="162" t="s">
        <v>140</v>
      </c>
      <c r="Q80" s="169" t="s">
        <v>79</v>
      </c>
      <c r="R80" s="229">
        <v>200.09200000000001</v>
      </c>
      <c r="S80" s="236">
        <v>236.77165944792023</v>
      </c>
      <c r="T80" s="236">
        <v>70.30211460851497</v>
      </c>
      <c r="U80" s="165">
        <f t="shared" si="10"/>
        <v>61443.005598500233</v>
      </c>
      <c r="V80"/>
      <c r="X80"/>
      <c r="Y80"/>
    </row>
    <row r="81" spans="1:25" s="122" customFormat="1" x14ac:dyDescent="0.35">
      <c r="A81" s="61">
        <v>810213</v>
      </c>
      <c r="B81" s="410"/>
      <c r="C81" s="38" t="s">
        <v>141</v>
      </c>
      <c r="D81" s="39" t="s">
        <v>142</v>
      </c>
      <c r="E81" s="38" t="s">
        <v>103</v>
      </c>
      <c r="F81" s="40">
        <f>124-61</f>
        <v>63</v>
      </c>
      <c r="G81" s="69">
        <v>180</v>
      </c>
      <c r="H81" s="70"/>
      <c r="I81" s="66">
        <f t="shared" si="9"/>
        <v>11340</v>
      </c>
      <c r="J81" s="109" t="s">
        <v>285</v>
      </c>
      <c r="K81"/>
      <c r="L81"/>
      <c r="M81" s="184">
        <v>810213</v>
      </c>
      <c r="N81" s="429"/>
      <c r="O81" s="161" t="s">
        <v>141</v>
      </c>
      <c r="P81" s="162" t="s">
        <v>142</v>
      </c>
      <c r="Q81" s="161" t="s">
        <v>103</v>
      </c>
      <c r="R81" s="229">
        <v>179</v>
      </c>
      <c r="S81" s="236">
        <v>70.305432161332163</v>
      </c>
      <c r="T81" s="236">
        <v>31.957014618787348</v>
      </c>
      <c r="U81" s="165">
        <f t="shared" si="10"/>
        <v>18304.977973641391</v>
      </c>
      <c r="V81" s="186"/>
      <c r="X81"/>
      <c r="Y81"/>
    </row>
    <row r="82" spans="1:25" s="122" customFormat="1" ht="39" x14ac:dyDescent="0.35">
      <c r="A82" s="61">
        <v>810213</v>
      </c>
      <c r="B82" s="410"/>
      <c r="C82" s="38" t="s">
        <v>143</v>
      </c>
      <c r="D82" s="39" t="s">
        <v>144</v>
      </c>
      <c r="E82" s="62" t="s">
        <v>79</v>
      </c>
      <c r="F82" s="40">
        <f>272.51</f>
        <v>272.51</v>
      </c>
      <c r="G82" s="69">
        <v>30</v>
      </c>
      <c r="H82" s="70">
        <v>55</v>
      </c>
      <c r="I82" s="66">
        <f t="shared" si="9"/>
        <v>23163.35</v>
      </c>
      <c r="J82" s="109"/>
      <c r="K82"/>
      <c r="L82"/>
      <c r="M82" s="184">
        <v>810213</v>
      </c>
      <c r="N82" s="429"/>
      <c r="O82" s="161" t="s">
        <v>143</v>
      </c>
      <c r="P82" s="162" t="s">
        <v>303</v>
      </c>
      <c r="Q82" s="169" t="s">
        <v>79</v>
      </c>
      <c r="R82" s="163">
        <v>272.51</v>
      </c>
      <c r="S82" s="164">
        <v>0</v>
      </c>
      <c r="T82" s="236">
        <v>51.131223390059759</v>
      </c>
      <c r="U82" s="165">
        <f t="shared" si="10"/>
        <v>13933.769686025185</v>
      </c>
      <c r="V82"/>
      <c r="X82"/>
      <c r="Y82"/>
    </row>
    <row r="83" spans="1:25" s="122" customFormat="1" x14ac:dyDescent="0.35">
      <c r="A83" s="61">
        <v>810213</v>
      </c>
      <c r="B83" s="410"/>
      <c r="C83" s="113" t="s">
        <v>145</v>
      </c>
      <c r="D83" s="39" t="s">
        <v>121</v>
      </c>
      <c r="E83" s="62" t="s">
        <v>68</v>
      </c>
      <c r="F83" s="239"/>
      <c r="G83" s="227"/>
      <c r="H83" s="240"/>
      <c r="I83" s="66">
        <f t="shared" si="9"/>
        <v>0</v>
      </c>
      <c r="J83" s="109"/>
      <c r="K83"/>
      <c r="L83"/>
      <c r="M83" s="184">
        <v>810213</v>
      </c>
      <c r="N83" s="429"/>
      <c r="O83" s="161" t="s">
        <v>145</v>
      </c>
      <c r="P83" s="162" t="s">
        <v>121</v>
      </c>
      <c r="Q83" s="169" t="s">
        <v>68</v>
      </c>
      <c r="R83" s="241"/>
      <c r="S83" s="234"/>
      <c r="T83" s="234"/>
      <c r="U83" s="165">
        <f t="shared" si="10"/>
        <v>0</v>
      </c>
      <c r="V83"/>
      <c r="X83"/>
      <c r="Y83"/>
    </row>
    <row r="84" spans="1:25" s="122" customFormat="1" ht="26" x14ac:dyDescent="0.35">
      <c r="A84" s="61">
        <v>810213</v>
      </c>
      <c r="B84" s="410"/>
      <c r="C84" s="38" t="s">
        <v>146</v>
      </c>
      <c r="D84" s="39" t="s">
        <v>147</v>
      </c>
      <c r="E84" s="62" t="s">
        <v>103</v>
      </c>
      <c r="F84" s="223">
        <v>61</v>
      </c>
      <c r="G84" s="252">
        <v>250</v>
      </c>
      <c r="H84" s="71">
        <v>15</v>
      </c>
      <c r="I84" s="66">
        <f t="shared" si="9"/>
        <v>16165</v>
      </c>
      <c r="J84" s="109"/>
      <c r="K84"/>
      <c r="L84"/>
      <c r="M84" s="184">
        <v>810213</v>
      </c>
      <c r="N84" s="429"/>
      <c r="O84" s="161" t="s">
        <v>146</v>
      </c>
      <c r="P84" s="162" t="s">
        <v>147</v>
      </c>
      <c r="Q84" s="169" t="s">
        <v>103</v>
      </c>
      <c r="R84" s="163">
        <v>63</v>
      </c>
      <c r="S84" s="164">
        <v>190.46380712797261</v>
      </c>
      <c r="T84" s="236">
        <v>31.957014618787348</v>
      </c>
      <c r="U84" s="165">
        <f t="shared" si="10"/>
        <v>14012.511770045878</v>
      </c>
      <c r="V84" s="186"/>
      <c r="X84"/>
      <c r="Y84"/>
    </row>
    <row r="85" spans="1:25" s="122" customFormat="1" ht="26" x14ac:dyDescent="0.35">
      <c r="A85" s="61">
        <v>810213</v>
      </c>
      <c r="B85" s="410"/>
      <c r="C85" s="38" t="s">
        <v>148</v>
      </c>
      <c r="D85" s="39" t="s">
        <v>149</v>
      </c>
      <c r="E85" s="62" t="s">
        <v>103</v>
      </c>
      <c r="F85" s="223">
        <v>61</v>
      </c>
      <c r="G85" s="252">
        <v>840</v>
      </c>
      <c r="H85" s="70">
        <v>25</v>
      </c>
      <c r="I85" s="66">
        <f t="shared" si="9"/>
        <v>52765</v>
      </c>
      <c r="J85" s="109" t="s">
        <v>294</v>
      </c>
      <c r="K85"/>
      <c r="L85"/>
      <c r="M85" s="184">
        <v>810213</v>
      </c>
      <c r="N85" s="429"/>
      <c r="O85" s="161" t="s">
        <v>148</v>
      </c>
      <c r="P85" s="162" t="s">
        <v>304</v>
      </c>
      <c r="Q85" s="169" t="s">
        <v>103</v>
      </c>
      <c r="R85" s="163">
        <v>63</v>
      </c>
      <c r="S85" s="236">
        <v>850.05658885974344</v>
      </c>
      <c r="T85" s="164">
        <v>0</v>
      </c>
      <c r="U85" s="165">
        <f t="shared" si="10"/>
        <v>53553.565098163839</v>
      </c>
      <c r="V85"/>
      <c r="X85"/>
      <c r="Y85"/>
    </row>
    <row r="86" spans="1:25" s="122" customFormat="1" x14ac:dyDescent="0.35">
      <c r="A86" s="61">
        <v>810213</v>
      </c>
      <c r="B86" s="410"/>
      <c r="C86" s="38" t="s">
        <v>150</v>
      </c>
      <c r="D86" s="39" t="s">
        <v>151</v>
      </c>
      <c r="E86" s="62" t="s">
        <v>103</v>
      </c>
      <c r="F86" s="223">
        <v>61</v>
      </c>
      <c r="G86" s="252">
        <v>150</v>
      </c>
      <c r="H86" s="70">
        <v>30</v>
      </c>
      <c r="I86" s="66">
        <f t="shared" si="9"/>
        <v>10980</v>
      </c>
      <c r="J86" s="109"/>
      <c r="K86"/>
      <c r="L86"/>
      <c r="M86" s="184">
        <v>810213</v>
      </c>
      <c r="N86" s="429"/>
      <c r="O86" s="161" t="s">
        <v>150</v>
      </c>
      <c r="P86" s="162" t="s">
        <v>151</v>
      </c>
      <c r="Q86" s="169" t="s">
        <v>103</v>
      </c>
      <c r="R86" s="163">
        <v>63</v>
      </c>
      <c r="S86" s="236">
        <v>70.305432161332163</v>
      </c>
      <c r="T86" s="236">
        <v>31.957014618787348</v>
      </c>
      <c r="U86" s="165">
        <f t="shared" si="10"/>
        <v>6442.5341471475294</v>
      </c>
      <c r="V86"/>
      <c r="X86"/>
      <c r="Y86"/>
    </row>
    <row r="87" spans="1:25" s="122" customFormat="1" ht="26" x14ac:dyDescent="0.35">
      <c r="A87" s="61">
        <v>810213</v>
      </c>
      <c r="B87" s="410"/>
      <c r="C87" s="38" t="s">
        <v>152</v>
      </c>
      <c r="D87" s="39" t="s">
        <v>153</v>
      </c>
      <c r="E87" s="62" t="s">
        <v>79</v>
      </c>
      <c r="F87" s="40">
        <f>6*1.3*2.5</f>
        <v>19.5</v>
      </c>
      <c r="G87" s="252">
        <v>550</v>
      </c>
      <c r="H87" s="70">
        <v>100</v>
      </c>
      <c r="I87" s="66">
        <f t="shared" si="9"/>
        <v>12675</v>
      </c>
      <c r="J87" s="109"/>
      <c r="K87"/>
      <c r="L87"/>
      <c r="M87" s="184">
        <v>810213</v>
      </c>
      <c r="N87" s="429"/>
      <c r="O87" s="161" t="s">
        <v>152</v>
      </c>
      <c r="P87" s="162" t="s">
        <v>153</v>
      </c>
      <c r="Q87" s="169" t="s">
        <v>79</v>
      </c>
      <c r="R87" s="163">
        <v>18</v>
      </c>
      <c r="S87" s="164">
        <v>530.37139741924238</v>
      </c>
      <c r="T87" s="164">
        <v>0</v>
      </c>
      <c r="U87" s="165">
        <f t="shared" si="10"/>
        <v>9546.6851535463629</v>
      </c>
      <c r="V87"/>
      <c r="X87"/>
      <c r="Y87"/>
    </row>
    <row r="88" spans="1:25" s="122" customFormat="1" ht="26" x14ac:dyDescent="0.35">
      <c r="A88" s="61">
        <v>810213</v>
      </c>
      <c r="B88" s="410"/>
      <c r="C88" s="38" t="s">
        <v>154</v>
      </c>
      <c r="D88" s="39" t="s">
        <v>155</v>
      </c>
      <c r="E88" s="38" t="s">
        <v>103</v>
      </c>
      <c r="F88" s="40">
        <v>4</v>
      </c>
      <c r="G88" s="69">
        <v>2100</v>
      </c>
      <c r="H88" s="253">
        <v>300</v>
      </c>
      <c r="I88" s="66">
        <f t="shared" si="9"/>
        <v>9600</v>
      </c>
      <c r="J88" s="109"/>
      <c r="K88"/>
      <c r="L88"/>
      <c r="M88" s="184">
        <v>810213</v>
      </c>
      <c r="N88" s="429"/>
      <c r="O88" s="161" t="s">
        <v>154</v>
      </c>
      <c r="P88" s="162" t="s">
        <v>155</v>
      </c>
      <c r="Q88" s="161" t="s">
        <v>103</v>
      </c>
      <c r="R88" s="163">
        <v>2</v>
      </c>
      <c r="S88" s="236">
        <v>2155.5645500664441</v>
      </c>
      <c r="T88" s="164">
        <v>0</v>
      </c>
      <c r="U88" s="165">
        <f t="shared" si="10"/>
        <v>4311.1291001328882</v>
      </c>
      <c r="V88"/>
      <c r="X88"/>
      <c r="Y88"/>
    </row>
    <row r="89" spans="1:25" s="122" customFormat="1" ht="42" customHeight="1" x14ac:dyDescent="0.35">
      <c r="A89" s="61">
        <v>810213</v>
      </c>
      <c r="B89" s="410"/>
      <c r="C89" s="114" t="s">
        <v>156</v>
      </c>
      <c r="D89" s="39" t="s">
        <v>157</v>
      </c>
      <c r="E89" s="38" t="s">
        <v>46</v>
      </c>
      <c r="F89" s="40">
        <v>2</v>
      </c>
      <c r="G89" s="252">
        <v>9800</v>
      </c>
      <c r="H89" s="70"/>
      <c r="I89" s="66">
        <f t="shared" si="9"/>
        <v>19600</v>
      </c>
      <c r="J89" s="109"/>
      <c r="K89"/>
      <c r="L89"/>
      <c r="M89" s="184">
        <v>810213</v>
      </c>
      <c r="N89" s="429"/>
      <c r="O89" s="161" t="s">
        <v>156</v>
      </c>
      <c r="P89" s="162" t="s">
        <v>157</v>
      </c>
      <c r="Q89" s="161" t="s">
        <v>46</v>
      </c>
      <c r="R89" s="163">
        <v>1</v>
      </c>
      <c r="S89" s="236">
        <v>5517.0590037874481</v>
      </c>
      <c r="T89" s="236">
        <v>1322.8670115476261</v>
      </c>
      <c r="U89" s="165">
        <f t="shared" si="10"/>
        <v>6839.9260153350742</v>
      </c>
      <c r="V89"/>
      <c r="X89"/>
      <c r="Y89"/>
    </row>
    <row r="90" spans="1:25" s="122" customFormat="1" x14ac:dyDescent="0.35">
      <c r="A90" s="61">
        <v>810213</v>
      </c>
      <c r="B90" s="410"/>
      <c r="C90" s="114" t="s">
        <v>158</v>
      </c>
      <c r="D90" s="39" t="s">
        <v>159</v>
      </c>
      <c r="E90" s="38" t="s">
        <v>103</v>
      </c>
      <c r="F90" s="40">
        <v>61</v>
      </c>
      <c r="G90" s="252">
        <v>950</v>
      </c>
      <c r="H90" s="253">
        <v>250</v>
      </c>
      <c r="I90" s="66">
        <f t="shared" si="9"/>
        <v>73200</v>
      </c>
      <c r="J90" s="109"/>
      <c r="K90"/>
      <c r="L90"/>
      <c r="M90" s="184">
        <v>810213</v>
      </c>
      <c r="N90" s="429"/>
      <c r="O90" s="161" t="s">
        <v>158</v>
      </c>
      <c r="P90" s="162" t="s">
        <v>159</v>
      </c>
      <c r="Q90" s="161" t="s">
        <v>103</v>
      </c>
      <c r="R90" s="163">
        <v>75.599999999999994</v>
      </c>
      <c r="S90" s="164">
        <v>51.131223390059759</v>
      </c>
      <c r="T90" s="164">
        <v>12.78280584751494</v>
      </c>
      <c r="U90" s="165">
        <f t="shared" si="10"/>
        <v>4831.9006103606462</v>
      </c>
      <c r="V90"/>
      <c r="X90"/>
      <c r="Y90"/>
    </row>
    <row r="91" spans="1:25" s="122" customFormat="1" ht="27" customHeight="1" x14ac:dyDescent="0.35">
      <c r="A91" s="61">
        <v>810213</v>
      </c>
      <c r="B91" s="410"/>
      <c r="C91" s="114" t="s">
        <v>160</v>
      </c>
      <c r="D91" s="39" t="s">
        <v>161</v>
      </c>
      <c r="E91" s="38" t="s">
        <v>46</v>
      </c>
      <c r="F91" s="223">
        <v>61</v>
      </c>
      <c r="G91" s="252">
        <v>680</v>
      </c>
      <c r="H91" s="70">
        <v>30</v>
      </c>
      <c r="I91" s="66">
        <f t="shared" si="9"/>
        <v>43310</v>
      </c>
      <c r="J91" s="109"/>
      <c r="K91"/>
      <c r="L91"/>
      <c r="M91" s="184">
        <v>810213</v>
      </c>
      <c r="N91" s="429"/>
      <c r="O91" s="161" t="s">
        <v>160</v>
      </c>
      <c r="P91" s="193" t="s">
        <v>161</v>
      </c>
      <c r="Q91" s="161" t="s">
        <v>46</v>
      </c>
      <c r="R91" s="163">
        <v>1</v>
      </c>
      <c r="S91" s="236">
        <v>46507.043374721237</v>
      </c>
      <c r="T91" s="236">
        <v>6643.8633392458914</v>
      </c>
      <c r="U91" s="165">
        <f t="shared" si="10"/>
        <v>53150.906713967132</v>
      </c>
      <c r="V91" s="168"/>
      <c r="X91"/>
      <c r="Y91"/>
    </row>
    <row r="92" spans="1:25" s="122" customFormat="1" x14ac:dyDescent="0.35">
      <c r="A92" s="61">
        <v>810213</v>
      </c>
      <c r="B92" s="410"/>
      <c r="C92" s="38" t="s">
        <v>162</v>
      </c>
      <c r="D92" s="39" t="s">
        <v>163</v>
      </c>
      <c r="E92" s="38" t="s">
        <v>103</v>
      </c>
      <c r="F92" s="239"/>
      <c r="G92" s="227"/>
      <c r="H92" s="240"/>
      <c r="I92" s="66">
        <f t="shared" si="9"/>
        <v>0</v>
      </c>
      <c r="J92" s="109"/>
      <c r="K92"/>
      <c r="L92"/>
      <c r="M92" s="184">
        <v>810213</v>
      </c>
      <c r="N92" s="429"/>
      <c r="O92" s="161" t="s">
        <v>162</v>
      </c>
      <c r="P92" s="162" t="s">
        <v>163</v>
      </c>
      <c r="Q92" s="161" t="s">
        <v>103</v>
      </c>
      <c r="R92" s="163">
        <v>63</v>
      </c>
      <c r="S92" s="236">
        <v>44.739820466302291</v>
      </c>
      <c r="T92" s="164">
        <v>31.957014618787348</v>
      </c>
      <c r="U92" s="165">
        <f t="shared" si="10"/>
        <v>4831.9006103606471</v>
      </c>
      <c r="V92" s="186"/>
      <c r="X92"/>
      <c r="Y92"/>
    </row>
    <row r="93" spans="1:25" s="122" customFormat="1" x14ac:dyDescent="0.35">
      <c r="A93" s="61">
        <v>810213</v>
      </c>
      <c r="B93" s="410"/>
      <c r="C93" s="38" t="s">
        <v>164</v>
      </c>
      <c r="D93" s="39" t="s">
        <v>126</v>
      </c>
      <c r="E93" s="38" t="s">
        <v>103</v>
      </c>
      <c r="F93" s="239"/>
      <c r="G93" s="227"/>
      <c r="H93" s="240"/>
      <c r="I93" s="66">
        <f t="shared" si="9"/>
        <v>0</v>
      </c>
      <c r="J93" s="109"/>
      <c r="K93"/>
      <c r="L93"/>
      <c r="M93" s="184">
        <v>810213</v>
      </c>
      <c r="N93" s="429"/>
      <c r="O93" s="161" t="s">
        <v>164</v>
      </c>
      <c r="P93" s="162" t="s">
        <v>126</v>
      </c>
      <c r="Q93" s="161" t="s">
        <v>103</v>
      </c>
      <c r="R93" s="163">
        <v>126</v>
      </c>
      <c r="S93" s="236">
        <v>44.739820466302291</v>
      </c>
      <c r="T93" s="164">
        <v>31.957014618787348</v>
      </c>
      <c r="U93" s="165">
        <f t="shared" si="10"/>
        <v>9663.8012207212942</v>
      </c>
      <c r="V93" s="168"/>
      <c r="X93"/>
      <c r="Y93"/>
    </row>
    <row r="94" spans="1:25" s="122" customFormat="1" x14ac:dyDescent="0.35">
      <c r="A94" s="61">
        <v>810213</v>
      </c>
      <c r="B94" s="410"/>
      <c r="C94" s="38" t="s">
        <v>165</v>
      </c>
      <c r="D94" s="39" t="s">
        <v>166</v>
      </c>
      <c r="E94" s="38" t="s">
        <v>103</v>
      </c>
      <c r="F94" s="239"/>
      <c r="G94" s="227"/>
      <c r="H94" s="240"/>
      <c r="I94" s="66">
        <f t="shared" si="9"/>
        <v>0</v>
      </c>
      <c r="J94" s="109"/>
      <c r="K94"/>
      <c r="L94"/>
      <c r="M94" s="184">
        <v>810213</v>
      </c>
      <c r="N94" s="429"/>
      <c r="O94" s="161" t="s">
        <v>165</v>
      </c>
      <c r="P94" s="162" t="s">
        <v>166</v>
      </c>
      <c r="Q94" s="161" t="s">
        <v>103</v>
      </c>
      <c r="R94" s="163">
        <v>63</v>
      </c>
      <c r="S94" s="236">
        <v>127.82805847514939</v>
      </c>
      <c r="T94" s="164">
        <v>31.957014618787348</v>
      </c>
      <c r="U94" s="165">
        <f t="shared" si="10"/>
        <v>10066.459604918015</v>
      </c>
      <c r="V94"/>
      <c r="X94"/>
      <c r="Y94"/>
    </row>
    <row r="95" spans="1:25" s="122" customFormat="1" x14ac:dyDescent="0.35">
      <c r="A95" s="61">
        <v>810213</v>
      </c>
      <c r="B95" s="410"/>
      <c r="C95" s="114" t="s">
        <v>167</v>
      </c>
      <c r="D95" s="39" t="s">
        <v>168</v>
      </c>
      <c r="E95" s="38" t="s">
        <v>103</v>
      </c>
      <c r="F95" s="40">
        <v>4</v>
      </c>
      <c r="G95" s="69">
        <v>550</v>
      </c>
      <c r="H95" s="70">
        <v>50</v>
      </c>
      <c r="I95" s="66">
        <f t="shared" si="9"/>
        <v>2400</v>
      </c>
      <c r="J95" s="109"/>
      <c r="K95"/>
      <c r="L95"/>
      <c r="M95" s="184">
        <v>810213</v>
      </c>
      <c r="N95" s="429"/>
      <c r="O95" s="161" t="s">
        <v>167</v>
      </c>
      <c r="P95" s="162" t="s">
        <v>168</v>
      </c>
      <c r="Q95" s="161" t="s">
        <v>103</v>
      </c>
      <c r="R95" s="163">
        <v>3</v>
      </c>
      <c r="S95" s="236">
        <v>841.87559311733401</v>
      </c>
      <c r="T95" s="164">
        <v>76.921548034473375</v>
      </c>
      <c r="U95" s="165">
        <f t="shared" si="10"/>
        <v>2756.3914234554222</v>
      </c>
      <c r="V95"/>
      <c r="X95"/>
      <c r="Y95"/>
    </row>
    <row r="96" spans="1:25" s="122" customFormat="1" x14ac:dyDescent="0.35">
      <c r="A96" s="61">
        <v>810213</v>
      </c>
      <c r="B96" s="410"/>
      <c r="C96" s="114" t="s">
        <v>169</v>
      </c>
      <c r="D96" s="39" t="s">
        <v>170</v>
      </c>
      <c r="E96" s="38" t="s">
        <v>103</v>
      </c>
      <c r="F96" s="239"/>
      <c r="G96" s="227"/>
      <c r="H96" s="240"/>
      <c r="I96" s="66">
        <f t="shared" si="9"/>
        <v>0</v>
      </c>
      <c r="J96" s="109"/>
      <c r="K96"/>
      <c r="L96"/>
      <c r="M96" s="184">
        <v>810213</v>
      </c>
      <c r="N96" s="429"/>
      <c r="O96" s="161" t="s">
        <v>169</v>
      </c>
      <c r="P96" s="162" t="s">
        <v>170</v>
      </c>
      <c r="Q96" s="161" t="s">
        <v>103</v>
      </c>
      <c r="R96" s="163">
        <v>60</v>
      </c>
      <c r="S96" s="236">
        <v>765.17875803224433</v>
      </c>
      <c r="T96" s="164">
        <v>76.921548034473375</v>
      </c>
      <c r="U96" s="165">
        <f t="shared" si="10"/>
        <v>50526.018364003059</v>
      </c>
      <c r="V96"/>
      <c r="X96"/>
      <c r="Y96"/>
    </row>
    <row r="97" spans="1:25" s="122" customFormat="1" x14ac:dyDescent="0.35">
      <c r="A97" s="61">
        <v>810213</v>
      </c>
      <c r="B97" s="410"/>
      <c r="C97" s="114" t="s">
        <v>171</v>
      </c>
      <c r="D97" s="39" t="s">
        <v>172</v>
      </c>
      <c r="E97" s="38" t="s">
        <v>79</v>
      </c>
      <c r="F97" s="239"/>
      <c r="G97" s="227"/>
      <c r="H97" s="240"/>
      <c r="I97" s="66">
        <f t="shared" si="9"/>
        <v>0</v>
      </c>
      <c r="J97" s="109"/>
      <c r="K97"/>
      <c r="L97"/>
      <c r="M97" s="184">
        <v>810213</v>
      </c>
      <c r="N97" s="429"/>
      <c r="O97" s="161" t="s">
        <v>171</v>
      </c>
      <c r="P97" s="162" t="s">
        <v>172</v>
      </c>
      <c r="Q97" s="161" t="s">
        <v>79</v>
      </c>
      <c r="R97" s="163">
        <v>77.98</v>
      </c>
      <c r="S97" s="236">
        <v>1275.3149737948704</v>
      </c>
      <c r="T97" s="236">
        <v>425.59073788716239</v>
      </c>
      <c r="U97" s="165">
        <f t="shared" si="10"/>
        <v>132636.62739696493</v>
      </c>
      <c r="V97"/>
      <c r="X97"/>
      <c r="Y97"/>
    </row>
    <row r="98" spans="1:25" ht="26" x14ac:dyDescent="0.35">
      <c r="A98" s="61">
        <v>810213</v>
      </c>
      <c r="B98" s="411"/>
      <c r="C98" s="114" t="s">
        <v>173</v>
      </c>
      <c r="D98" s="39" t="s">
        <v>174</v>
      </c>
      <c r="E98" s="38" t="s">
        <v>103</v>
      </c>
      <c r="F98" s="40">
        <v>61</v>
      </c>
      <c r="G98" s="69">
        <v>350</v>
      </c>
      <c r="H98" s="70">
        <v>25</v>
      </c>
      <c r="I98" s="66">
        <f t="shared" si="9"/>
        <v>22875</v>
      </c>
      <c r="J98" s="109" t="s">
        <v>295</v>
      </c>
      <c r="M98" s="184">
        <v>810213</v>
      </c>
      <c r="N98" s="432"/>
      <c r="O98" s="161" t="s">
        <v>173</v>
      </c>
      <c r="P98" s="162" t="s">
        <v>174</v>
      </c>
      <c r="Q98" s="161" t="s">
        <v>103</v>
      </c>
      <c r="R98" s="163">
        <v>63</v>
      </c>
      <c r="S98" s="234">
        <v>0</v>
      </c>
      <c r="T98" s="234">
        <v>0</v>
      </c>
      <c r="U98" s="165">
        <f t="shared" si="10"/>
        <v>0</v>
      </c>
    </row>
    <row r="99" spans="1:25" x14ac:dyDescent="0.35">
      <c r="A99" s="72"/>
      <c r="B99" s="72"/>
      <c r="C99" s="47" t="s">
        <v>175</v>
      </c>
      <c r="D99" s="48" t="s">
        <v>176</v>
      </c>
      <c r="E99" s="47"/>
      <c r="F99" s="49"/>
      <c r="G99" s="50"/>
      <c r="H99" s="51"/>
      <c r="I99" s="52">
        <f>SUM(I100:I111)</f>
        <v>447945.50000000006</v>
      </c>
      <c r="M99" s="170"/>
      <c r="N99" s="170"/>
      <c r="O99" s="170" t="s">
        <v>175</v>
      </c>
      <c r="P99" s="171" t="s">
        <v>176</v>
      </c>
      <c r="Q99" s="170"/>
      <c r="R99" s="172"/>
      <c r="S99" s="173"/>
      <c r="T99" s="174"/>
      <c r="U99" s="175">
        <f>SUM(U100:U111)</f>
        <v>195227.37950958023</v>
      </c>
    </row>
    <row r="100" spans="1:25" x14ac:dyDescent="0.35">
      <c r="A100" s="61">
        <v>810260</v>
      </c>
      <c r="B100" s="421" t="s">
        <v>176</v>
      </c>
      <c r="C100" s="38" t="s">
        <v>177</v>
      </c>
      <c r="D100" s="39" t="s">
        <v>178</v>
      </c>
      <c r="E100" s="38" t="s">
        <v>79</v>
      </c>
      <c r="F100" s="110">
        <v>118.5</v>
      </c>
      <c r="G100" s="238">
        <v>70</v>
      </c>
      <c r="H100" s="42"/>
      <c r="I100" s="66">
        <f t="shared" ref="I100:I111" si="11">F100*G100+H100*F100</f>
        <v>8295</v>
      </c>
      <c r="M100" s="184">
        <v>810260</v>
      </c>
      <c r="N100" s="446" t="s">
        <v>176</v>
      </c>
      <c r="O100" s="161" t="s">
        <v>177</v>
      </c>
      <c r="P100" s="162" t="s">
        <v>178</v>
      </c>
      <c r="Q100" s="161" t="s">
        <v>79</v>
      </c>
      <c r="R100" s="229">
        <v>60</v>
      </c>
      <c r="S100" s="164">
        <v>0</v>
      </c>
      <c r="T100" s="164">
        <v>19.174208771272411</v>
      </c>
      <c r="U100" s="165">
        <f t="shared" ref="U100:U111" si="12">R100*S100+T100*R100</f>
        <v>1150.4525262763448</v>
      </c>
    </row>
    <row r="101" spans="1:25" ht="26" x14ac:dyDescent="0.35">
      <c r="A101" s="61">
        <v>810260</v>
      </c>
      <c r="B101" s="422"/>
      <c r="C101" s="38" t="s">
        <v>179</v>
      </c>
      <c r="D101" s="39" t="s">
        <v>180</v>
      </c>
      <c r="E101" s="38" t="s">
        <v>79</v>
      </c>
      <c r="F101" s="223">
        <f>57.1+18.3</f>
        <v>75.400000000000006</v>
      </c>
      <c r="G101" s="238">
        <v>80</v>
      </c>
      <c r="H101" s="42">
        <v>45</v>
      </c>
      <c r="I101" s="66">
        <f t="shared" si="11"/>
        <v>9425</v>
      </c>
      <c r="M101" s="184">
        <v>810260</v>
      </c>
      <c r="N101" s="429"/>
      <c r="O101" s="161" t="s">
        <v>179</v>
      </c>
      <c r="P101" s="162" t="s">
        <v>180</v>
      </c>
      <c r="Q101" s="161" t="s">
        <v>79</v>
      </c>
      <c r="R101" s="163">
        <v>41.2</v>
      </c>
      <c r="S101" s="164">
        <v>65.973400190983881</v>
      </c>
      <c r="T101" s="164">
        <v>63.911013280468147</v>
      </c>
      <c r="U101" s="165">
        <f t="shared" si="12"/>
        <v>5351.2378350238241</v>
      </c>
    </row>
    <row r="102" spans="1:25" s="1" customFormat="1" ht="26" x14ac:dyDescent="0.35">
      <c r="A102" s="61">
        <v>810260</v>
      </c>
      <c r="B102" s="422"/>
      <c r="C102" s="38" t="s">
        <v>181</v>
      </c>
      <c r="D102" s="39" t="s">
        <v>182</v>
      </c>
      <c r="E102" s="38" t="s">
        <v>79</v>
      </c>
      <c r="F102" s="223">
        <f>57.1+18.3</f>
        <v>75.400000000000006</v>
      </c>
      <c r="G102" s="254">
        <v>80</v>
      </c>
      <c r="H102" s="105">
        <v>67</v>
      </c>
      <c r="I102" s="66">
        <f t="shared" si="11"/>
        <v>11083.8</v>
      </c>
      <c r="J102" s="109"/>
      <c r="K102"/>
      <c r="L102"/>
      <c r="M102" s="184">
        <v>810260</v>
      </c>
      <c r="N102" s="429"/>
      <c r="O102" s="161" t="s">
        <v>181</v>
      </c>
      <c r="P102" s="162" t="s">
        <v>182</v>
      </c>
      <c r="Q102" s="161" t="s">
        <v>79</v>
      </c>
      <c r="R102" s="167">
        <v>61.8</v>
      </c>
      <c r="S102" s="236">
        <v>97.766635109849958</v>
      </c>
      <c r="T102" s="164">
        <v>63.911013280468147</v>
      </c>
      <c r="U102" s="165">
        <f t="shared" si="12"/>
        <v>9991.6786705216582</v>
      </c>
      <c r="V102"/>
      <c r="W102" s="122"/>
      <c r="X102"/>
      <c r="Y102"/>
    </row>
    <row r="103" spans="1:25" s="1" customFormat="1" x14ac:dyDescent="0.35">
      <c r="A103" s="61">
        <v>810260</v>
      </c>
      <c r="B103" s="422"/>
      <c r="C103" s="38" t="s">
        <v>183</v>
      </c>
      <c r="D103" s="39" t="s">
        <v>184</v>
      </c>
      <c r="E103" s="38" t="s">
        <v>68</v>
      </c>
      <c r="F103" s="103">
        <f>24.49+48.28+48.28</f>
        <v>121.05</v>
      </c>
      <c r="G103" s="104">
        <v>68</v>
      </c>
      <c r="H103" s="105">
        <v>10</v>
      </c>
      <c r="I103" s="66">
        <f t="shared" si="11"/>
        <v>9441.9</v>
      </c>
      <c r="J103" s="109"/>
      <c r="K103"/>
      <c r="L103"/>
      <c r="M103" s="184">
        <v>810260</v>
      </c>
      <c r="N103" s="429"/>
      <c r="O103" s="161" t="s">
        <v>183</v>
      </c>
      <c r="P103" s="162" t="s">
        <v>184</v>
      </c>
      <c r="Q103" s="161" t="s">
        <v>68</v>
      </c>
      <c r="R103" s="167">
        <v>143.6</v>
      </c>
      <c r="S103" s="236">
        <v>44.739820466302291</v>
      </c>
      <c r="T103" s="164">
        <v>31.957014618787348</v>
      </c>
      <c r="U103" s="165">
        <f t="shared" si="12"/>
        <v>11013.665518218872</v>
      </c>
      <c r="V103" s="186"/>
      <c r="W103" s="122"/>
      <c r="X103"/>
      <c r="Y103"/>
    </row>
    <row r="104" spans="1:25" s="1" customFormat="1" ht="27" customHeight="1" x14ac:dyDescent="0.35">
      <c r="A104" s="61">
        <v>810260</v>
      </c>
      <c r="B104" s="422"/>
      <c r="C104" s="38" t="s">
        <v>185</v>
      </c>
      <c r="D104" s="39" t="s">
        <v>186</v>
      </c>
      <c r="E104" s="38" t="s">
        <v>228</v>
      </c>
      <c r="F104" s="228">
        <v>248.44</v>
      </c>
      <c r="G104" s="254">
        <v>380</v>
      </c>
      <c r="H104" s="105"/>
      <c r="I104" s="66">
        <f t="shared" si="11"/>
        <v>94407.2</v>
      </c>
      <c r="J104" s="109"/>
      <c r="K104"/>
      <c r="L104"/>
      <c r="M104" s="184">
        <v>810260</v>
      </c>
      <c r="N104" s="429"/>
      <c r="O104" s="161" t="s">
        <v>185</v>
      </c>
      <c r="P104" s="162" t="s">
        <v>186</v>
      </c>
      <c r="Q104" s="161" t="s">
        <v>68</v>
      </c>
      <c r="R104" s="167">
        <v>1.27</v>
      </c>
      <c r="S104" s="236">
        <v>1533.9367017017928</v>
      </c>
      <c r="T104" s="164">
        <v>447.39820466302291</v>
      </c>
      <c r="U104" s="165">
        <f t="shared" si="12"/>
        <v>2516.2953310833159</v>
      </c>
      <c r="V104"/>
      <c r="W104" s="122"/>
      <c r="X104"/>
      <c r="Y104"/>
    </row>
    <row r="105" spans="1:25" s="1" customFormat="1" x14ac:dyDescent="0.35">
      <c r="A105" s="61">
        <v>810260</v>
      </c>
      <c r="B105" s="422"/>
      <c r="C105" s="113" t="s">
        <v>187</v>
      </c>
      <c r="D105" s="39" t="s">
        <v>121</v>
      </c>
      <c r="E105" s="38" t="s">
        <v>68</v>
      </c>
      <c r="F105" s="40">
        <v>36.76</v>
      </c>
      <c r="G105" s="41">
        <v>35</v>
      </c>
      <c r="H105" s="42"/>
      <c r="I105" s="66">
        <f t="shared" si="11"/>
        <v>1286.5999999999999</v>
      </c>
      <c r="J105" s="109" t="s">
        <v>254</v>
      </c>
      <c r="K105"/>
      <c r="L105"/>
      <c r="M105" s="184">
        <v>810260</v>
      </c>
      <c r="N105" s="429"/>
      <c r="O105" s="161" t="s">
        <v>187</v>
      </c>
      <c r="P105" s="162" t="s">
        <v>121</v>
      </c>
      <c r="Q105" s="161" t="s">
        <v>68</v>
      </c>
      <c r="R105" s="163">
        <v>36.76</v>
      </c>
      <c r="S105" s="164">
        <v>201.96833239073604</v>
      </c>
      <c r="T105" s="164">
        <v>38.348417542544823</v>
      </c>
      <c r="U105" s="165">
        <f t="shared" si="12"/>
        <v>8834.0437275474033</v>
      </c>
      <c r="V105"/>
      <c r="W105" s="122"/>
      <c r="X105"/>
      <c r="Y105"/>
    </row>
    <row r="106" spans="1:25" s="1" customFormat="1" x14ac:dyDescent="0.35">
      <c r="A106" s="61">
        <v>810260</v>
      </c>
      <c r="B106" s="422"/>
      <c r="C106" s="38" t="s">
        <v>188</v>
      </c>
      <c r="D106" s="63" t="s">
        <v>347</v>
      </c>
      <c r="E106" s="38" t="s">
        <v>79</v>
      </c>
      <c r="F106" s="40">
        <v>67.73</v>
      </c>
      <c r="G106" s="238">
        <f>2800*1.25</f>
        <v>3500</v>
      </c>
      <c r="H106" s="42">
        <v>80</v>
      </c>
      <c r="I106" s="66">
        <f t="shared" si="11"/>
        <v>242473.4</v>
      </c>
      <c r="J106" s="109"/>
      <c r="K106"/>
      <c r="L106"/>
      <c r="M106" s="184">
        <v>810260</v>
      </c>
      <c r="N106" s="429"/>
      <c r="O106" s="161" t="s">
        <v>188</v>
      </c>
      <c r="P106" s="63" t="s">
        <v>347</v>
      </c>
      <c r="Q106" s="161" t="s">
        <v>79</v>
      </c>
      <c r="R106" s="163">
        <v>67.73</v>
      </c>
      <c r="S106" s="164">
        <v>268.43892279781375</v>
      </c>
      <c r="T106" s="164">
        <v>19.174208771272411</v>
      </c>
      <c r="U106" s="165">
        <f t="shared" si="12"/>
        <v>19480.037401174206</v>
      </c>
      <c r="V106"/>
      <c r="W106" s="122"/>
      <c r="X106"/>
      <c r="Y106"/>
    </row>
    <row r="107" spans="1:25" s="1" customFormat="1" x14ac:dyDescent="0.35">
      <c r="A107" s="61">
        <v>810260</v>
      </c>
      <c r="B107" s="422"/>
      <c r="C107" s="38" t="s">
        <v>190</v>
      </c>
      <c r="D107" s="39" t="s">
        <v>191</v>
      </c>
      <c r="E107" s="38" t="s">
        <v>79</v>
      </c>
      <c r="F107" s="40">
        <f>26.23-11.85</f>
        <v>14.38</v>
      </c>
      <c r="G107" s="41">
        <v>680</v>
      </c>
      <c r="H107" s="42"/>
      <c r="I107" s="66">
        <f t="shared" si="11"/>
        <v>9778.4</v>
      </c>
      <c r="J107" s="109"/>
      <c r="K107"/>
      <c r="L107"/>
      <c r="M107" s="184">
        <v>810260</v>
      </c>
      <c r="N107" s="429"/>
      <c r="O107" s="161" t="s">
        <v>190</v>
      </c>
      <c r="P107" s="162" t="s">
        <v>191</v>
      </c>
      <c r="Q107" s="161" t="s">
        <v>79</v>
      </c>
      <c r="R107" s="163">
        <v>150</v>
      </c>
      <c r="S107" s="164">
        <v>575.22626313817227</v>
      </c>
      <c r="T107" s="164">
        <v>153.39367017017929</v>
      </c>
      <c r="U107" s="165">
        <f t="shared" si="12"/>
        <v>109292.98999625274</v>
      </c>
      <c r="V107"/>
      <c r="W107" s="122"/>
      <c r="X107"/>
      <c r="Y107"/>
    </row>
    <row r="108" spans="1:25" s="1" customFormat="1" x14ac:dyDescent="0.35">
      <c r="A108" s="61">
        <v>810260</v>
      </c>
      <c r="B108" s="422"/>
      <c r="C108" s="38" t="s">
        <v>192</v>
      </c>
      <c r="D108" s="39" t="s">
        <v>193</v>
      </c>
      <c r="E108" s="38" t="s">
        <v>68</v>
      </c>
      <c r="F108" s="40">
        <v>10.14</v>
      </c>
      <c r="G108" s="41">
        <v>250</v>
      </c>
      <c r="H108" s="42"/>
      <c r="I108" s="66">
        <f t="shared" si="11"/>
        <v>2535</v>
      </c>
      <c r="J108" s="109"/>
      <c r="K108"/>
      <c r="L108"/>
      <c r="M108" s="184">
        <v>810260</v>
      </c>
      <c r="N108" s="429"/>
      <c r="O108" s="161" t="s">
        <v>192</v>
      </c>
      <c r="P108" s="162" t="s">
        <v>193</v>
      </c>
      <c r="Q108" s="161" t="s">
        <v>68</v>
      </c>
      <c r="R108" s="163">
        <v>136</v>
      </c>
      <c r="S108" s="164">
        <v>65.179527016478687</v>
      </c>
      <c r="T108" s="164">
        <v>17.895928186520916</v>
      </c>
      <c r="U108" s="165">
        <f t="shared" si="12"/>
        <v>11298.261907607946</v>
      </c>
      <c r="V108"/>
      <c r="W108" s="122"/>
      <c r="X108"/>
      <c r="Y108"/>
    </row>
    <row r="109" spans="1:25" s="1" customFormat="1" x14ac:dyDescent="0.35">
      <c r="A109" s="61">
        <v>810260</v>
      </c>
      <c r="B109" s="422"/>
      <c r="C109" s="38" t="s">
        <v>194</v>
      </c>
      <c r="D109" s="39" t="s">
        <v>195</v>
      </c>
      <c r="E109" s="64" t="s">
        <v>228</v>
      </c>
      <c r="F109" s="40">
        <f>62.16+F101</f>
        <v>137.56</v>
      </c>
      <c r="G109" s="41">
        <v>320</v>
      </c>
      <c r="H109" s="42"/>
      <c r="I109" s="66">
        <f t="shared" si="11"/>
        <v>44019.199999999997</v>
      </c>
      <c r="J109" s="109"/>
      <c r="K109"/>
      <c r="L109"/>
      <c r="M109" s="184">
        <v>810260</v>
      </c>
      <c r="N109" s="429"/>
      <c r="O109" s="161" t="s">
        <v>194</v>
      </c>
      <c r="P109" s="162" t="s">
        <v>195</v>
      </c>
      <c r="Q109" s="161" t="s">
        <v>46</v>
      </c>
      <c r="R109" s="163">
        <v>1</v>
      </c>
      <c r="S109" s="236">
        <v>6471.2954603044382</v>
      </c>
      <c r="T109" s="236">
        <v>2396.7760964090512</v>
      </c>
      <c r="U109" s="165">
        <f t="shared" si="12"/>
        <v>8868.0715567134903</v>
      </c>
      <c r="V109"/>
      <c r="W109" s="122"/>
      <c r="X109"/>
      <c r="Y109"/>
    </row>
    <row r="110" spans="1:25" s="1" customFormat="1" x14ac:dyDescent="0.35">
      <c r="A110" s="61">
        <v>810260</v>
      </c>
      <c r="B110" s="422"/>
      <c r="C110" s="38" t="s">
        <v>196</v>
      </c>
      <c r="D110" s="39" t="s">
        <v>197</v>
      </c>
      <c r="E110" s="38" t="s">
        <v>103</v>
      </c>
      <c r="F110" s="40">
        <v>1</v>
      </c>
      <c r="G110" s="224"/>
      <c r="H110" s="225"/>
      <c r="I110" s="66">
        <f t="shared" si="11"/>
        <v>0</v>
      </c>
      <c r="J110" s="109"/>
      <c r="K110"/>
      <c r="L110"/>
      <c r="M110" s="184">
        <v>810260</v>
      </c>
      <c r="N110" s="429"/>
      <c r="O110" s="161" t="s">
        <v>196</v>
      </c>
      <c r="P110" s="162" t="s">
        <v>197</v>
      </c>
      <c r="Q110" s="161" t="s">
        <v>103</v>
      </c>
      <c r="R110" s="163">
        <v>1</v>
      </c>
      <c r="S110" s="236">
        <v>2718.3914915325272</v>
      </c>
      <c r="T110" s="236">
        <v>1165.0249249425117</v>
      </c>
      <c r="U110" s="165">
        <f t="shared" si="12"/>
        <v>3883.4164164750391</v>
      </c>
      <c r="V110"/>
      <c r="W110" s="122"/>
      <c r="X110"/>
      <c r="Y110"/>
    </row>
    <row r="111" spans="1:25" s="1" customFormat="1" x14ac:dyDescent="0.35">
      <c r="A111" s="61">
        <v>810260</v>
      </c>
      <c r="B111" s="423"/>
      <c r="C111" s="38" t="s">
        <v>198</v>
      </c>
      <c r="D111" s="39" t="s">
        <v>199</v>
      </c>
      <c r="E111" s="38" t="s">
        <v>46</v>
      </c>
      <c r="F111" s="40">
        <v>4</v>
      </c>
      <c r="G111" s="238">
        <v>3800</v>
      </c>
      <c r="H111" s="42"/>
      <c r="I111" s="66">
        <f t="shared" si="11"/>
        <v>15200</v>
      </c>
      <c r="J111" s="109"/>
      <c r="K111"/>
      <c r="L111"/>
      <c r="M111" s="184">
        <v>810260</v>
      </c>
      <c r="N111" s="432"/>
      <c r="O111" s="161" t="s">
        <v>198</v>
      </c>
      <c r="P111" s="162" t="s">
        <v>199</v>
      </c>
      <c r="Q111" s="161" t="s">
        <v>46</v>
      </c>
      <c r="R111" s="163">
        <v>1</v>
      </c>
      <c r="S111" s="236">
        <v>2588.5181841217754</v>
      </c>
      <c r="T111" s="164">
        <v>958.71043856362053</v>
      </c>
      <c r="U111" s="165">
        <f t="shared" si="12"/>
        <v>3547.2286226853957</v>
      </c>
      <c r="V111"/>
      <c r="W111" s="122"/>
      <c r="X111"/>
      <c r="Y111"/>
    </row>
    <row r="112" spans="1:25" s="1" customFormat="1" x14ac:dyDescent="0.35">
      <c r="A112" s="72"/>
      <c r="B112" s="72"/>
      <c r="C112" s="47" t="s">
        <v>200</v>
      </c>
      <c r="D112" s="48" t="s">
        <v>32</v>
      </c>
      <c r="E112" s="47"/>
      <c r="F112" s="49"/>
      <c r="G112" s="50"/>
      <c r="H112" s="51"/>
      <c r="I112" s="52">
        <f>SUM(I113:I138)</f>
        <v>439388.50749999995</v>
      </c>
      <c r="J112" s="109"/>
      <c r="K112"/>
      <c r="L112"/>
      <c r="M112" s="170"/>
      <c r="N112" s="170"/>
      <c r="O112" s="170" t="s">
        <v>200</v>
      </c>
      <c r="P112" s="171" t="s">
        <v>32</v>
      </c>
      <c r="Q112" s="170"/>
      <c r="R112" s="172"/>
      <c r="S112" s="173"/>
      <c r="T112" s="174"/>
      <c r="U112" s="175">
        <f>SUM(U113:U133)</f>
        <v>231548.30482515</v>
      </c>
      <c r="V112"/>
      <c r="W112" s="122"/>
      <c r="X112"/>
      <c r="Y112"/>
    </row>
    <row r="113" spans="1:25" s="1" customFormat="1" x14ac:dyDescent="0.35">
      <c r="A113" s="61">
        <v>810213</v>
      </c>
      <c r="B113" s="409" t="s">
        <v>32</v>
      </c>
      <c r="C113" s="38" t="s">
        <v>305</v>
      </c>
      <c r="D113" s="39" t="s">
        <v>226</v>
      </c>
      <c r="E113" s="62" t="s">
        <v>46</v>
      </c>
      <c r="F113" s="40">
        <v>1</v>
      </c>
      <c r="G113" s="252">
        <v>6500</v>
      </c>
      <c r="H113" s="70"/>
      <c r="I113" s="43">
        <f t="shared" ref="I113:I118" si="13">F113*G113+H113*F113</f>
        <v>6500</v>
      </c>
      <c r="J113" s="109"/>
      <c r="K113"/>
      <c r="L113"/>
      <c r="M113" s="184">
        <v>810213</v>
      </c>
      <c r="N113" s="445" t="s">
        <v>32</v>
      </c>
      <c r="O113" s="166" t="s">
        <v>305</v>
      </c>
      <c r="P113" s="162" t="s">
        <v>306</v>
      </c>
      <c r="Q113" s="190" t="s">
        <v>103</v>
      </c>
      <c r="R113" s="163">
        <v>9</v>
      </c>
      <c r="S113" s="164">
        <v>0</v>
      </c>
      <c r="T113" s="236">
        <v>115.04525262763445</v>
      </c>
      <c r="U113" s="165">
        <f t="shared" ref="U113:U133" si="14">R113*S113+T113*R113</f>
        <v>1035.4072736487101</v>
      </c>
      <c r="V113"/>
      <c r="W113" s="122"/>
      <c r="X113"/>
      <c r="Y113"/>
    </row>
    <row r="114" spans="1:25" s="1" customFormat="1" x14ac:dyDescent="0.35">
      <c r="A114" s="61">
        <v>810213</v>
      </c>
      <c r="B114" s="410"/>
      <c r="C114" s="38" t="s">
        <v>307</v>
      </c>
      <c r="D114" s="63" t="s">
        <v>227</v>
      </c>
      <c r="E114" s="65" t="s">
        <v>228</v>
      </c>
      <c r="F114" s="44">
        <v>40</v>
      </c>
      <c r="G114" s="252">
        <v>80</v>
      </c>
      <c r="H114" s="70">
        <v>50</v>
      </c>
      <c r="I114" s="43">
        <f t="shared" si="13"/>
        <v>5200</v>
      </c>
      <c r="J114" s="109"/>
      <c r="K114"/>
      <c r="L114"/>
      <c r="M114" s="184">
        <v>810213</v>
      </c>
      <c r="N114" s="429"/>
      <c r="O114" s="166" t="s">
        <v>307</v>
      </c>
      <c r="P114" s="185" t="s">
        <v>308</v>
      </c>
      <c r="Q114" s="161" t="s">
        <v>79</v>
      </c>
      <c r="R114" s="194">
        <v>118.5</v>
      </c>
      <c r="S114" s="164">
        <v>0</v>
      </c>
      <c r="T114" s="237">
        <v>25.56561169502988</v>
      </c>
      <c r="U114" s="165">
        <f t="shared" si="14"/>
        <v>3029.5249858610409</v>
      </c>
      <c r="V114" s="243" t="s">
        <v>372</v>
      </c>
      <c r="W114" s="122"/>
      <c r="X114"/>
      <c r="Y114"/>
    </row>
    <row r="115" spans="1:25" s="1" customFormat="1" x14ac:dyDescent="0.35">
      <c r="A115" s="61">
        <v>810041</v>
      </c>
      <c r="B115" s="410"/>
      <c r="C115" s="38" t="s">
        <v>309</v>
      </c>
      <c r="D115" s="63" t="s">
        <v>229</v>
      </c>
      <c r="E115" s="62" t="s">
        <v>228</v>
      </c>
      <c r="F115" s="40">
        <v>162.94999999999999</v>
      </c>
      <c r="G115" s="238">
        <v>90</v>
      </c>
      <c r="H115" s="42">
        <v>50</v>
      </c>
      <c r="I115" s="43">
        <f t="shared" si="13"/>
        <v>22812.999999999996</v>
      </c>
      <c r="J115" s="109"/>
      <c r="K115"/>
      <c r="L115"/>
      <c r="M115" s="184">
        <v>810041</v>
      </c>
      <c r="N115" s="429"/>
      <c r="O115" s="166" t="s">
        <v>309</v>
      </c>
      <c r="P115" s="185" t="s">
        <v>310</v>
      </c>
      <c r="Q115" s="161" t="s">
        <v>79</v>
      </c>
      <c r="R115" s="163">
        <v>50</v>
      </c>
      <c r="S115" s="164">
        <v>0</v>
      </c>
      <c r="T115" s="236">
        <v>191.7420877127241</v>
      </c>
      <c r="U115" s="165">
        <f t="shared" si="14"/>
        <v>9587.1043856362048</v>
      </c>
      <c r="V115"/>
      <c r="W115" s="122"/>
      <c r="X115"/>
      <c r="Y115"/>
    </row>
    <row r="116" spans="1:25" s="1" customFormat="1" x14ac:dyDescent="0.35">
      <c r="A116" s="61">
        <v>810080</v>
      </c>
      <c r="B116" s="410"/>
      <c r="C116" s="38" t="s">
        <v>311</v>
      </c>
      <c r="D116" s="39" t="s">
        <v>230</v>
      </c>
      <c r="E116" s="38" t="s">
        <v>228</v>
      </c>
      <c r="F116" s="40">
        <f>F114*4</f>
        <v>160</v>
      </c>
      <c r="G116" s="41">
        <v>30</v>
      </c>
      <c r="H116" s="42">
        <v>20</v>
      </c>
      <c r="I116" s="43">
        <f t="shared" si="13"/>
        <v>8000</v>
      </c>
      <c r="J116" s="109"/>
      <c r="K116"/>
      <c r="L116"/>
      <c r="M116" s="184">
        <v>810080</v>
      </c>
      <c r="N116" s="429"/>
      <c r="O116" s="166" t="s">
        <v>311</v>
      </c>
      <c r="P116" s="39" t="s">
        <v>232</v>
      </c>
      <c r="Q116" s="38" t="s">
        <v>233</v>
      </c>
      <c r="R116" s="40">
        <v>2</v>
      </c>
      <c r="S116" s="164">
        <v>0</v>
      </c>
      <c r="T116" s="164">
        <v>0</v>
      </c>
      <c r="U116" s="165">
        <f t="shared" si="14"/>
        <v>0</v>
      </c>
      <c r="V116"/>
      <c r="W116" s="122"/>
      <c r="X116"/>
      <c r="Y116"/>
    </row>
    <row r="117" spans="1:25" s="1" customFormat="1" x14ac:dyDescent="0.35">
      <c r="A117" s="61" t="s">
        <v>32</v>
      </c>
      <c r="B117" s="410"/>
      <c r="C117" s="38" t="s">
        <v>312</v>
      </c>
      <c r="D117" s="39" t="s">
        <v>231</v>
      </c>
      <c r="E117" s="38" t="s">
        <v>206</v>
      </c>
      <c r="F117" s="40">
        <v>896.875</v>
      </c>
      <c r="G117" s="252">
        <v>20</v>
      </c>
      <c r="H117" s="69">
        <v>3</v>
      </c>
      <c r="I117" s="43">
        <f t="shared" si="13"/>
        <v>20628.125</v>
      </c>
      <c r="J117" s="109"/>
      <c r="K117"/>
      <c r="L117"/>
      <c r="M117" s="184" t="s">
        <v>32</v>
      </c>
      <c r="N117" s="429"/>
      <c r="O117" s="166" t="s">
        <v>312</v>
      </c>
      <c r="P117" s="162" t="s">
        <v>313</v>
      </c>
      <c r="Q117" s="161" t="s">
        <v>79</v>
      </c>
      <c r="R117" s="163">
        <v>1.46</v>
      </c>
      <c r="S117" s="236">
        <v>242.87331110278384</v>
      </c>
      <c r="T117" s="164">
        <v>19.174208771272411</v>
      </c>
      <c r="U117" s="165">
        <f t="shared" si="14"/>
        <v>382.58937901612211</v>
      </c>
      <c r="V117"/>
      <c r="W117" s="122"/>
      <c r="X117"/>
      <c r="Y117"/>
    </row>
    <row r="118" spans="1:25" s="1" customFormat="1" x14ac:dyDescent="0.35">
      <c r="A118" s="61" t="s">
        <v>32</v>
      </c>
      <c r="B118" s="410"/>
      <c r="C118" s="38" t="s">
        <v>314</v>
      </c>
      <c r="D118" s="39" t="s">
        <v>232</v>
      </c>
      <c r="E118" s="38" t="s">
        <v>233</v>
      </c>
      <c r="F118" s="40">
        <v>2</v>
      </c>
      <c r="G118" s="252">
        <v>1200</v>
      </c>
      <c r="H118" s="69"/>
      <c r="I118" s="43">
        <f t="shared" si="13"/>
        <v>2400</v>
      </c>
      <c r="J118" s="109"/>
      <c r="K118"/>
      <c r="L118"/>
      <c r="M118" s="184" t="s">
        <v>32</v>
      </c>
      <c r="N118" s="429"/>
      <c r="O118" s="166" t="s">
        <v>314</v>
      </c>
      <c r="P118" s="162" t="s">
        <v>315</v>
      </c>
      <c r="Q118" s="161" t="s">
        <v>79</v>
      </c>
      <c r="R118" s="163">
        <v>6.11</v>
      </c>
      <c r="S118" s="236">
        <v>802.55194602616109</v>
      </c>
      <c r="T118" s="236">
        <v>382.57499085898183</v>
      </c>
      <c r="U118" s="165">
        <f t="shared" si="14"/>
        <v>7241.1255843682238</v>
      </c>
      <c r="V118"/>
      <c r="W118" s="122"/>
      <c r="X118"/>
      <c r="Y118"/>
    </row>
    <row r="119" spans="1:25" s="1" customFormat="1" ht="26" x14ac:dyDescent="0.35">
      <c r="A119" s="61" t="s">
        <v>32</v>
      </c>
      <c r="B119" s="410"/>
      <c r="C119" s="38" t="s">
        <v>316</v>
      </c>
      <c r="D119" s="39" t="s">
        <v>235</v>
      </c>
      <c r="E119" s="38" t="s">
        <v>206</v>
      </c>
      <c r="F119" s="44">
        <v>677.1</v>
      </c>
      <c r="G119" s="252">
        <v>70</v>
      </c>
      <c r="H119" s="69"/>
      <c r="I119" s="43">
        <f>G119*F119+H119*F119</f>
        <v>47397</v>
      </c>
      <c r="J119" s="109"/>
      <c r="K119"/>
      <c r="L119"/>
      <c r="M119" s="184" t="s">
        <v>32</v>
      </c>
      <c r="N119" s="429"/>
      <c r="O119" s="166" t="s">
        <v>316</v>
      </c>
      <c r="P119" s="162" t="s">
        <v>317</v>
      </c>
      <c r="Q119" s="161" t="s">
        <v>79</v>
      </c>
      <c r="R119" s="194">
        <v>96.22</v>
      </c>
      <c r="S119" s="164">
        <v>53.292795858874541</v>
      </c>
      <c r="T119" s="236">
        <v>39.390634670353649</v>
      </c>
      <c r="U119" s="165">
        <f t="shared" si="14"/>
        <v>8917.9996855223362</v>
      </c>
      <c r="V119"/>
      <c r="W119" s="122"/>
      <c r="X119"/>
      <c r="Y119"/>
    </row>
    <row r="120" spans="1:25" s="1" customFormat="1" x14ac:dyDescent="0.35">
      <c r="A120" s="61" t="s">
        <v>32</v>
      </c>
      <c r="B120" s="411"/>
      <c r="C120" s="38" t="s">
        <v>318</v>
      </c>
      <c r="D120" s="39" t="s">
        <v>358</v>
      </c>
      <c r="E120" s="38" t="s">
        <v>68</v>
      </c>
      <c r="F120" s="40">
        <v>191.63</v>
      </c>
      <c r="G120" s="69">
        <v>30</v>
      </c>
      <c r="H120" s="252">
        <v>10</v>
      </c>
      <c r="I120" s="66">
        <f>F120*G120+H120*F120</f>
        <v>7665.2</v>
      </c>
      <c r="J120" s="109"/>
      <c r="K120"/>
      <c r="L120"/>
      <c r="M120" s="184" t="s">
        <v>32</v>
      </c>
      <c r="N120" s="429"/>
      <c r="O120" s="166" t="s">
        <v>318</v>
      </c>
      <c r="P120" s="193" t="s">
        <v>319</v>
      </c>
      <c r="Q120" s="161" t="s">
        <v>79</v>
      </c>
      <c r="R120" s="194">
        <v>321.10000000000002</v>
      </c>
      <c r="S120" s="236">
        <v>127.6846098279286</v>
      </c>
      <c r="T120" s="164">
        <v>51.131223390059759</v>
      </c>
      <c r="U120" s="165">
        <f t="shared" si="14"/>
        <v>57417.764046296063</v>
      </c>
      <c r="V120"/>
      <c r="W120" s="122"/>
      <c r="X120"/>
      <c r="Y120"/>
    </row>
    <row r="121" spans="1:25" s="1" customFormat="1" x14ac:dyDescent="0.35">
      <c r="A121" s="61"/>
      <c r="B121" s="106"/>
      <c r="C121" s="38" t="s">
        <v>320</v>
      </c>
      <c r="D121" s="63" t="s">
        <v>240</v>
      </c>
      <c r="E121" s="38" t="s">
        <v>228</v>
      </c>
      <c r="F121" s="40">
        <v>96.22</v>
      </c>
      <c r="G121" s="252">
        <f>145*1.4</f>
        <v>203</v>
      </c>
      <c r="H121" s="69">
        <v>45</v>
      </c>
      <c r="I121" s="66">
        <f>F121*G121+H121*F121</f>
        <v>23862.559999999998</v>
      </c>
      <c r="J121" s="109" t="s">
        <v>287</v>
      </c>
      <c r="K121"/>
      <c r="L121"/>
      <c r="M121" s="184" t="s">
        <v>32</v>
      </c>
      <c r="N121" s="429"/>
      <c r="O121" s="166" t="s">
        <v>320</v>
      </c>
      <c r="P121" s="162" t="s">
        <v>321</v>
      </c>
      <c r="Q121" s="161" t="s">
        <v>68</v>
      </c>
      <c r="R121" s="194">
        <v>295.88</v>
      </c>
      <c r="S121" s="164">
        <v>38.296570482027299</v>
      </c>
      <c r="T121" s="236">
        <v>72.206488780931736</v>
      </c>
      <c r="U121" s="165">
        <f t="shared" si="14"/>
        <v>32695.645174724319</v>
      </c>
      <c r="V121"/>
      <c r="W121" s="122"/>
      <c r="X121"/>
      <c r="Y121"/>
    </row>
    <row r="122" spans="1:25" s="1" customFormat="1" x14ac:dyDescent="0.35">
      <c r="A122" s="61"/>
      <c r="B122" s="106"/>
      <c r="C122" s="38" t="s">
        <v>322</v>
      </c>
      <c r="D122" s="39" t="s">
        <v>237</v>
      </c>
      <c r="E122" s="38" t="s">
        <v>228</v>
      </c>
      <c r="F122" s="40">
        <v>6.11</v>
      </c>
      <c r="G122" s="252">
        <f>245*1.35</f>
        <v>330.75</v>
      </c>
      <c r="H122" s="252">
        <v>30</v>
      </c>
      <c r="I122" s="66">
        <f>F122*G122+H122*F122</f>
        <v>2204.1825000000003</v>
      </c>
      <c r="J122" s="109"/>
      <c r="K122"/>
      <c r="L122"/>
      <c r="M122" s="184" t="s">
        <v>32</v>
      </c>
      <c r="N122" s="429"/>
      <c r="O122" s="166" t="s">
        <v>322</v>
      </c>
      <c r="P122" s="242" t="s">
        <v>323</v>
      </c>
      <c r="Q122" s="161" t="s">
        <v>68</v>
      </c>
      <c r="R122" s="194">
        <v>164.69</v>
      </c>
      <c r="S122" s="164">
        <v>72.570406024928076</v>
      </c>
      <c r="T122" s="164">
        <v>19.719625438206574</v>
      </c>
      <c r="U122" s="165">
        <f t="shared" si="14"/>
        <v>15199.245281663645</v>
      </c>
      <c r="V122"/>
      <c r="W122" s="122"/>
      <c r="X122"/>
      <c r="Y122"/>
    </row>
    <row r="123" spans="1:25" s="1" customFormat="1" x14ac:dyDescent="0.35">
      <c r="A123" s="61"/>
      <c r="B123" s="106"/>
      <c r="C123" s="38" t="s">
        <v>324</v>
      </c>
      <c r="D123" s="39" t="s">
        <v>274</v>
      </c>
      <c r="E123" s="38" t="s">
        <v>228</v>
      </c>
      <c r="F123" s="40">
        <v>38.1</v>
      </c>
      <c r="G123" s="252">
        <v>750</v>
      </c>
      <c r="H123" s="69"/>
      <c r="I123" s="66">
        <f t="shared" ref="I123:I137" si="15">F123*G123+H123*F123</f>
        <v>28575</v>
      </c>
      <c r="J123" s="109"/>
      <c r="K123"/>
      <c r="L123"/>
      <c r="M123" s="184" t="s">
        <v>32</v>
      </c>
      <c r="N123" s="429"/>
      <c r="O123" s="166" t="s">
        <v>324</v>
      </c>
      <c r="P123" s="242" t="s">
        <v>325</v>
      </c>
      <c r="Q123" s="161" t="s">
        <v>68</v>
      </c>
      <c r="R123" s="194">
        <v>160.25</v>
      </c>
      <c r="S123" s="164">
        <v>40.314273749308882</v>
      </c>
      <c r="T123" s="164">
        <v>19.719625438206574</v>
      </c>
      <c r="U123" s="165">
        <f t="shared" si="14"/>
        <v>9620.432344799352</v>
      </c>
      <c r="V123"/>
      <c r="W123" s="122"/>
      <c r="X123"/>
      <c r="Y123"/>
    </row>
    <row r="124" spans="1:25" s="1" customFormat="1" ht="37.5" customHeight="1" x14ac:dyDescent="0.35">
      <c r="A124" s="61"/>
      <c r="B124" s="106"/>
      <c r="C124" s="38" t="s">
        <v>326</v>
      </c>
      <c r="D124" s="39" t="s">
        <v>238</v>
      </c>
      <c r="E124" s="38" t="s">
        <v>228</v>
      </c>
      <c r="F124" s="40">
        <f>825.22*1.2</f>
        <v>990.26400000000001</v>
      </c>
      <c r="G124" s="69"/>
      <c r="H124" s="252">
        <v>35</v>
      </c>
      <c r="I124" s="66">
        <f t="shared" si="15"/>
        <v>34659.24</v>
      </c>
      <c r="J124" s="117" t="s">
        <v>286</v>
      </c>
      <c r="K124"/>
      <c r="L124"/>
      <c r="M124" s="184" t="s">
        <v>32</v>
      </c>
      <c r="N124" s="429"/>
      <c r="O124" s="166" t="s">
        <v>326</v>
      </c>
      <c r="P124" s="162" t="s">
        <v>327</v>
      </c>
      <c r="Q124" s="161" t="s">
        <v>46</v>
      </c>
      <c r="R124" s="194">
        <v>1</v>
      </c>
      <c r="S124" s="164">
        <v>0</v>
      </c>
      <c r="T124" s="236">
        <v>8947.964093260458</v>
      </c>
      <c r="U124" s="165">
        <f t="shared" si="14"/>
        <v>8947.964093260458</v>
      </c>
      <c r="V124"/>
      <c r="W124" s="122"/>
      <c r="X124"/>
      <c r="Y124"/>
    </row>
    <row r="125" spans="1:25" s="1" customFormat="1" x14ac:dyDescent="0.35">
      <c r="A125" s="61"/>
      <c r="B125" s="106"/>
      <c r="C125" s="38" t="s">
        <v>329</v>
      </c>
      <c r="D125" s="39" t="s">
        <v>273</v>
      </c>
      <c r="E125" s="38" t="s">
        <v>228</v>
      </c>
      <c r="F125" s="40">
        <v>1.46</v>
      </c>
      <c r="G125" s="252">
        <v>350</v>
      </c>
      <c r="H125" s="252">
        <v>150</v>
      </c>
      <c r="I125" s="66">
        <f t="shared" si="15"/>
        <v>730</v>
      </c>
      <c r="J125" s="109"/>
      <c r="K125"/>
      <c r="L125"/>
      <c r="M125" s="184"/>
      <c r="N125" s="429"/>
      <c r="O125" s="166"/>
      <c r="P125" s="162" t="s">
        <v>328</v>
      </c>
      <c r="Q125" s="161"/>
      <c r="R125" s="194"/>
      <c r="S125" s="164">
        <v>0</v>
      </c>
      <c r="T125" s="164">
        <v>0</v>
      </c>
      <c r="U125" s="165">
        <f t="shared" si="14"/>
        <v>0</v>
      </c>
      <c r="V125"/>
      <c r="W125" s="122"/>
      <c r="X125"/>
      <c r="Y125"/>
    </row>
    <row r="126" spans="1:25" s="1" customFormat="1" ht="26" x14ac:dyDescent="0.35">
      <c r="A126" s="61"/>
      <c r="B126" s="106"/>
      <c r="C126" s="38" t="s">
        <v>331</v>
      </c>
      <c r="D126" s="63" t="s">
        <v>256</v>
      </c>
      <c r="E126" s="38" t="s">
        <v>239</v>
      </c>
      <c r="F126" s="40">
        <v>164.69</v>
      </c>
      <c r="G126" s="252">
        <v>95</v>
      </c>
      <c r="H126" s="252">
        <v>30</v>
      </c>
      <c r="I126" s="66">
        <f t="shared" si="15"/>
        <v>20586.25</v>
      </c>
      <c r="J126" s="109"/>
      <c r="K126"/>
      <c r="L126"/>
      <c r="M126" s="184" t="s">
        <v>32</v>
      </c>
      <c r="N126" s="429"/>
      <c r="O126" s="166" t="s">
        <v>329</v>
      </c>
      <c r="P126" s="193" t="s">
        <v>330</v>
      </c>
      <c r="Q126" s="161" t="s">
        <v>79</v>
      </c>
      <c r="R126" s="194">
        <v>65.23</v>
      </c>
      <c r="S126" s="236">
        <v>169.94433586930771</v>
      </c>
      <c r="T126" s="236">
        <v>51.131223390059759</v>
      </c>
      <c r="U126" s="165">
        <f t="shared" si="14"/>
        <v>14420.75873048854</v>
      </c>
      <c r="V126"/>
      <c r="W126" s="122"/>
      <c r="X126"/>
      <c r="Y126"/>
    </row>
    <row r="127" spans="1:25" s="1" customFormat="1" ht="39" x14ac:dyDescent="0.35">
      <c r="A127" s="61"/>
      <c r="B127" s="106"/>
      <c r="C127" s="38" t="s">
        <v>333</v>
      </c>
      <c r="D127" s="63" t="s">
        <v>257</v>
      </c>
      <c r="E127" s="38" t="s">
        <v>239</v>
      </c>
      <c r="F127" s="40">
        <v>160.25</v>
      </c>
      <c r="G127" s="252">
        <v>30</v>
      </c>
      <c r="H127" s="252">
        <v>30</v>
      </c>
      <c r="I127" s="66">
        <f t="shared" si="15"/>
        <v>9615</v>
      </c>
      <c r="J127" s="109"/>
      <c r="K127"/>
      <c r="L127"/>
      <c r="M127" s="184" t="s">
        <v>32</v>
      </c>
      <c r="N127" s="429"/>
      <c r="O127" s="166" t="s">
        <v>331</v>
      </c>
      <c r="P127" s="162" t="s">
        <v>332</v>
      </c>
      <c r="Q127" s="161" t="s">
        <v>79</v>
      </c>
      <c r="R127" s="194">
        <v>13.76</v>
      </c>
      <c r="S127" s="236">
        <v>169.94433586930771</v>
      </c>
      <c r="T127" s="236">
        <v>51.131223390059759</v>
      </c>
      <c r="U127" s="165">
        <f t="shared" si="14"/>
        <v>3041.9996954088961</v>
      </c>
      <c r="V127"/>
      <c r="W127" s="122"/>
      <c r="X127"/>
      <c r="Y127"/>
    </row>
    <row r="128" spans="1:25" s="1" customFormat="1" ht="26" x14ac:dyDescent="0.35">
      <c r="A128" s="61"/>
      <c r="B128" s="106"/>
      <c r="C128" s="38" t="s">
        <v>335</v>
      </c>
      <c r="D128" s="39" t="s">
        <v>258</v>
      </c>
      <c r="E128" s="38" t="s">
        <v>239</v>
      </c>
      <c r="F128" s="40">
        <v>295.88</v>
      </c>
      <c r="G128" s="69">
        <v>10</v>
      </c>
      <c r="H128" s="69">
        <v>10</v>
      </c>
      <c r="I128" s="66">
        <f t="shared" si="15"/>
        <v>5917.6</v>
      </c>
      <c r="J128" s="109"/>
      <c r="K128"/>
      <c r="L128"/>
      <c r="M128" s="184" t="s">
        <v>32</v>
      </c>
      <c r="N128" s="429"/>
      <c r="O128" s="166" t="s">
        <v>333</v>
      </c>
      <c r="P128" s="162" t="s">
        <v>334</v>
      </c>
      <c r="Q128" s="161" t="s">
        <v>79</v>
      </c>
      <c r="R128" s="194">
        <v>44.8</v>
      </c>
      <c r="S128" s="164">
        <v>31.957014618787348</v>
      </c>
      <c r="T128" s="164">
        <v>23.009050525526892</v>
      </c>
      <c r="U128" s="165">
        <f t="shared" si="14"/>
        <v>2462.479718465278</v>
      </c>
      <c r="V128"/>
      <c r="W128" s="122"/>
      <c r="X128"/>
      <c r="Y128"/>
    </row>
    <row r="129" spans="1:25" s="1" customFormat="1" x14ac:dyDescent="0.35">
      <c r="A129" s="61"/>
      <c r="B129" s="106"/>
      <c r="C129" s="38" t="s">
        <v>337</v>
      </c>
      <c r="D129" s="39" t="s">
        <v>259</v>
      </c>
      <c r="E129" s="38" t="s">
        <v>228</v>
      </c>
      <c r="F129" s="44">
        <v>32.69</v>
      </c>
      <c r="G129" s="252">
        <v>450</v>
      </c>
      <c r="H129" s="69"/>
      <c r="I129" s="66">
        <f t="shared" si="15"/>
        <v>14710.499999999998</v>
      </c>
      <c r="J129" s="109"/>
      <c r="K129"/>
      <c r="L129"/>
      <c r="M129" s="184" t="s">
        <v>32</v>
      </c>
      <c r="N129" s="429"/>
      <c r="O129" s="166" t="s">
        <v>335</v>
      </c>
      <c r="P129" s="162" t="s">
        <v>336</v>
      </c>
      <c r="Q129" s="161" t="s">
        <v>79</v>
      </c>
      <c r="R129" s="194">
        <v>123.21000000000001</v>
      </c>
      <c r="S129" s="237">
        <v>173.1851896101881</v>
      </c>
      <c r="T129" s="237">
        <v>63.911013280468147</v>
      </c>
      <c r="U129" s="165">
        <f t="shared" si="14"/>
        <v>29212.623158157759</v>
      </c>
      <c r="V129" s="243" t="s">
        <v>355</v>
      </c>
      <c r="W129" s="122"/>
      <c r="X129"/>
      <c r="Y129"/>
    </row>
    <row r="130" spans="1:25" s="1" customFormat="1" x14ac:dyDescent="0.35">
      <c r="A130" s="61"/>
      <c r="B130" s="106"/>
      <c r="C130" s="38" t="s">
        <v>339</v>
      </c>
      <c r="D130" s="39" t="s">
        <v>260</v>
      </c>
      <c r="E130" s="38" t="s">
        <v>228</v>
      </c>
      <c r="F130" s="40">
        <v>37.380000000000003</v>
      </c>
      <c r="G130" s="252">
        <v>480</v>
      </c>
      <c r="H130" s="69"/>
      <c r="I130" s="66">
        <f t="shared" si="15"/>
        <v>17942.400000000001</v>
      </c>
      <c r="J130" s="109"/>
      <c r="K130"/>
      <c r="L130"/>
      <c r="M130" s="184" t="s">
        <v>32</v>
      </c>
      <c r="N130" s="429"/>
      <c r="O130" s="166" t="s">
        <v>337</v>
      </c>
      <c r="P130" s="162" t="s">
        <v>338</v>
      </c>
      <c r="Q130" s="161" t="s">
        <v>79</v>
      </c>
      <c r="R130" s="194">
        <v>19.649999999999999</v>
      </c>
      <c r="S130" s="236">
        <v>192.24361343046786</v>
      </c>
      <c r="T130" s="236">
        <v>63.911013280468147</v>
      </c>
      <c r="U130" s="165">
        <f t="shared" si="14"/>
        <v>5033.4384148698919</v>
      </c>
      <c r="V130"/>
      <c r="W130" s="122"/>
      <c r="X130"/>
      <c r="Y130"/>
    </row>
    <row r="131" spans="1:25" s="1" customFormat="1" x14ac:dyDescent="0.35">
      <c r="A131" s="61"/>
      <c r="B131" s="106"/>
      <c r="C131" s="38" t="s">
        <v>341</v>
      </c>
      <c r="D131" s="39" t="s">
        <v>266</v>
      </c>
      <c r="E131" s="38" t="s">
        <v>46</v>
      </c>
      <c r="F131" s="40">
        <v>1</v>
      </c>
      <c r="G131" s="252">
        <f>(16200*1.4)+5000</f>
        <v>27680</v>
      </c>
      <c r="H131" s="69"/>
      <c r="I131" s="66">
        <f>F131*G131+H131*F131</f>
        <v>27680</v>
      </c>
      <c r="J131" s="109"/>
      <c r="K131"/>
      <c r="L131"/>
      <c r="M131" s="184" t="s">
        <v>32</v>
      </c>
      <c r="N131" s="429"/>
      <c r="O131" s="166" t="s">
        <v>339</v>
      </c>
      <c r="P131" s="162" t="s">
        <v>340</v>
      </c>
      <c r="Q131" s="161" t="s">
        <v>46</v>
      </c>
      <c r="R131" s="194">
        <v>1</v>
      </c>
      <c r="S131" s="236">
        <v>21768.266171261439</v>
      </c>
      <c r="T131" s="164">
        <v>0</v>
      </c>
      <c r="U131" s="165">
        <f t="shared" si="14"/>
        <v>21768.266171261439</v>
      </c>
      <c r="V131"/>
      <c r="W131" s="122"/>
      <c r="X131"/>
      <c r="Y131"/>
    </row>
    <row r="132" spans="1:25" s="1" customFormat="1" x14ac:dyDescent="0.35">
      <c r="A132" s="61"/>
      <c r="B132" s="106"/>
      <c r="C132" s="38" t="s">
        <v>343</v>
      </c>
      <c r="D132" s="39" t="s">
        <v>268</v>
      </c>
      <c r="E132" s="38" t="s">
        <v>228</v>
      </c>
      <c r="F132" s="40">
        <v>69.239999999999995</v>
      </c>
      <c r="G132" s="252">
        <v>390</v>
      </c>
      <c r="H132" s="69"/>
      <c r="I132" s="66">
        <f>F132*G132+H132*F132</f>
        <v>27003.599999999999</v>
      </c>
      <c r="J132" s="109"/>
      <c r="K132"/>
      <c r="L132"/>
      <c r="M132" s="184" t="s">
        <v>32</v>
      </c>
      <c r="N132" s="429"/>
      <c r="O132" s="166" t="s">
        <v>341</v>
      </c>
      <c r="P132" s="193" t="s">
        <v>342</v>
      </c>
      <c r="Q132" s="166" t="s">
        <v>46</v>
      </c>
      <c r="R132" s="163">
        <v>1</v>
      </c>
      <c r="S132" s="164">
        <v>0</v>
      </c>
      <c r="T132" s="236">
        <v>1533.9367017017928</v>
      </c>
      <c r="U132" s="165">
        <f t="shared" si="14"/>
        <v>1533.9367017017928</v>
      </c>
      <c r="V132"/>
      <c r="W132" s="122"/>
      <c r="X132"/>
      <c r="Y132"/>
    </row>
    <row r="133" spans="1:25" s="1" customFormat="1" x14ac:dyDescent="0.35">
      <c r="A133" s="61"/>
      <c r="B133" s="106"/>
      <c r="C133" s="38" t="s">
        <v>359</v>
      </c>
      <c r="D133" s="39" t="s">
        <v>269</v>
      </c>
      <c r="E133" s="38" t="s">
        <v>228</v>
      </c>
      <c r="F133" s="40">
        <v>39.674999999999997</v>
      </c>
      <c r="G133" s="252">
        <v>390</v>
      </c>
      <c r="H133" s="69"/>
      <c r="I133" s="66">
        <f>F133*G133+H133*F133</f>
        <v>15473.249999999998</v>
      </c>
      <c r="J133" s="109"/>
      <c r="K133"/>
      <c r="L133"/>
      <c r="M133" s="184" t="s">
        <v>32</v>
      </c>
      <c r="N133" s="432"/>
      <c r="O133" s="166" t="s">
        <v>343</v>
      </c>
      <c r="P133" s="63" t="s">
        <v>227</v>
      </c>
      <c r="Q133" s="65" t="s">
        <v>228</v>
      </c>
      <c r="R133" s="241"/>
      <c r="S133" s="234">
        <v>0</v>
      </c>
      <c r="T133" s="234">
        <v>0</v>
      </c>
      <c r="U133" s="165">
        <f t="shared" si="14"/>
        <v>0</v>
      </c>
      <c r="V133"/>
      <c r="W133" s="122"/>
      <c r="X133"/>
      <c r="Y133"/>
    </row>
    <row r="134" spans="1:25" s="1" customFormat="1" x14ac:dyDescent="0.35">
      <c r="A134" s="61"/>
      <c r="B134" s="106"/>
      <c r="C134" s="38" t="s">
        <v>360</v>
      </c>
      <c r="D134" s="39" t="s">
        <v>281</v>
      </c>
      <c r="E134" s="38" t="s">
        <v>275</v>
      </c>
      <c r="F134" s="40">
        <f>(58.52)*0.15*1.5</f>
        <v>13.167000000000002</v>
      </c>
      <c r="G134" s="252">
        <f>320*1.4</f>
        <v>448</v>
      </c>
      <c r="H134" s="252">
        <f>480*1.4</f>
        <v>672</v>
      </c>
      <c r="I134" s="66">
        <f>F134*G134+H134*F134</f>
        <v>14747.040000000003</v>
      </c>
      <c r="J134" s="109"/>
      <c r="K134"/>
      <c r="L134"/>
      <c r="M134" s="184"/>
      <c r="N134" s="221"/>
      <c r="O134" s="166" t="s">
        <v>359</v>
      </c>
      <c r="P134" s="63" t="s">
        <v>229</v>
      </c>
      <c r="Q134" s="62" t="s">
        <v>228</v>
      </c>
      <c r="R134" s="241"/>
      <c r="S134" s="234"/>
      <c r="T134" s="234"/>
      <c r="U134" s="165"/>
      <c r="V134"/>
      <c r="W134" s="122"/>
      <c r="X134"/>
      <c r="Y134"/>
    </row>
    <row r="135" spans="1:25" s="1" customFormat="1" x14ac:dyDescent="0.35">
      <c r="A135" s="61"/>
      <c r="B135" s="106"/>
      <c r="C135" s="38" t="s">
        <v>361</v>
      </c>
      <c r="D135" s="39" t="s">
        <v>282</v>
      </c>
      <c r="E135" s="38" t="s">
        <v>228</v>
      </c>
      <c r="F135" s="40">
        <f>50*2*3.1</f>
        <v>310</v>
      </c>
      <c r="G135" s="69">
        <v>80</v>
      </c>
      <c r="H135" s="69"/>
      <c r="I135" s="66">
        <f>F135*G135+H135*F135</f>
        <v>24800</v>
      </c>
      <c r="J135" s="109"/>
      <c r="K135"/>
      <c r="L135"/>
      <c r="M135" s="184"/>
      <c r="N135" s="221"/>
      <c r="O135" s="166" t="s">
        <v>360</v>
      </c>
      <c r="P135" s="39" t="s">
        <v>358</v>
      </c>
      <c r="Q135" s="38" t="s">
        <v>68</v>
      </c>
      <c r="R135" s="241"/>
      <c r="S135" s="234"/>
      <c r="T135" s="234"/>
      <c r="U135" s="165"/>
      <c r="V135"/>
      <c r="W135" s="122"/>
      <c r="X135"/>
      <c r="Y135"/>
    </row>
    <row r="136" spans="1:25" s="1" customFormat="1" x14ac:dyDescent="0.35">
      <c r="A136" s="61"/>
      <c r="B136" s="106"/>
      <c r="C136" s="38" t="s">
        <v>362</v>
      </c>
      <c r="D136" s="39" t="s">
        <v>276</v>
      </c>
      <c r="E136" s="38" t="s">
        <v>275</v>
      </c>
      <c r="F136" s="40">
        <f>15.8*1.32*1.5</f>
        <v>31.284000000000002</v>
      </c>
      <c r="G136" s="252">
        <f>300*1.4</f>
        <v>420</v>
      </c>
      <c r="H136" s="252">
        <f>300*1.4</f>
        <v>420</v>
      </c>
      <c r="I136" s="66">
        <f t="shared" si="15"/>
        <v>26278.560000000001</v>
      </c>
      <c r="J136" s="109"/>
      <c r="K136"/>
      <c r="L136"/>
      <c r="M136" s="184"/>
      <c r="N136" s="221"/>
      <c r="O136" s="166" t="s">
        <v>361</v>
      </c>
      <c r="P136" s="39" t="s">
        <v>352</v>
      </c>
      <c r="Q136" s="1" t="s">
        <v>206</v>
      </c>
      <c r="R136" s="241"/>
      <c r="S136" s="234"/>
      <c r="T136" s="234"/>
      <c r="U136" s="165"/>
      <c r="V136"/>
      <c r="W136" s="122"/>
      <c r="X136"/>
      <c r="Y136"/>
    </row>
    <row r="137" spans="1:25" s="1" customFormat="1" x14ac:dyDescent="0.35">
      <c r="A137" s="61"/>
      <c r="B137" s="106"/>
      <c r="C137" s="38" t="s">
        <v>363</v>
      </c>
      <c r="D137" s="39" t="s">
        <v>283</v>
      </c>
      <c r="E137" s="38" t="s">
        <v>275</v>
      </c>
      <c r="F137" s="40">
        <v>6</v>
      </c>
      <c r="G137" s="252">
        <f>930*1.4</f>
        <v>1302</v>
      </c>
      <c r="H137" s="252">
        <f>620*1.4</f>
        <v>868</v>
      </c>
      <c r="I137" s="66">
        <f t="shared" si="15"/>
        <v>13020</v>
      </c>
      <c r="J137" s="109"/>
      <c r="K137"/>
      <c r="L137"/>
      <c r="M137" s="184"/>
      <c r="N137" s="221"/>
      <c r="O137" s="166" t="s">
        <v>362</v>
      </c>
      <c r="P137" s="39" t="s">
        <v>353</v>
      </c>
      <c r="Q137" s="166" t="s">
        <v>206</v>
      </c>
      <c r="R137" s="241"/>
      <c r="S137" s="234"/>
      <c r="T137" s="234"/>
      <c r="U137" s="165"/>
      <c r="V137"/>
      <c r="W137" s="122"/>
      <c r="X137"/>
      <c r="Y137"/>
    </row>
    <row r="138" spans="1:25" s="1" customFormat="1" x14ac:dyDescent="0.35">
      <c r="A138" s="61"/>
      <c r="B138" s="106"/>
      <c r="C138" s="38" t="s">
        <v>364</v>
      </c>
      <c r="D138" s="39" t="s">
        <v>288</v>
      </c>
      <c r="E138" s="38" t="s">
        <v>289</v>
      </c>
      <c r="F138" s="40">
        <v>61</v>
      </c>
      <c r="G138" s="252">
        <v>180</v>
      </c>
      <c r="H138" s="69"/>
      <c r="I138" s="66">
        <f>F138*G138+H138*F138</f>
        <v>10980</v>
      </c>
      <c r="J138" s="109"/>
      <c r="K138"/>
      <c r="L138"/>
      <c r="M138" s="184"/>
      <c r="N138" s="221"/>
      <c r="O138" s="166" t="s">
        <v>363</v>
      </c>
      <c r="P138" s="63" t="s">
        <v>348</v>
      </c>
      <c r="Q138" s="166" t="s">
        <v>206</v>
      </c>
      <c r="R138" s="241"/>
      <c r="S138" s="234"/>
      <c r="T138" s="234"/>
      <c r="U138" s="165"/>
      <c r="V138"/>
      <c r="W138" s="122"/>
      <c r="X138"/>
      <c r="Y138"/>
    </row>
    <row r="139" spans="1:25" s="1" customFormat="1" x14ac:dyDescent="0.35">
      <c r="A139" s="61"/>
      <c r="B139" s="106"/>
      <c r="C139" s="38" t="s">
        <v>365</v>
      </c>
      <c r="D139" s="63" t="s">
        <v>348</v>
      </c>
      <c r="E139" s="62" t="s">
        <v>79</v>
      </c>
      <c r="F139" s="44">
        <v>35</v>
      </c>
      <c r="G139" s="227"/>
      <c r="H139" s="227"/>
      <c r="I139" s="66"/>
      <c r="J139" s="109"/>
      <c r="K139"/>
      <c r="L139"/>
      <c r="M139" s="184"/>
      <c r="N139" s="221"/>
      <c r="O139" s="166" t="s">
        <v>364</v>
      </c>
      <c r="P139" s="39" t="s">
        <v>268</v>
      </c>
      <c r="Q139" s="166" t="s">
        <v>206</v>
      </c>
      <c r="R139" s="241"/>
      <c r="S139" s="234"/>
      <c r="T139" s="234"/>
      <c r="U139" s="165"/>
      <c r="V139"/>
      <c r="W139" s="122"/>
      <c r="X139"/>
      <c r="Y139"/>
    </row>
    <row r="140" spans="1:25" s="1" customFormat="1" x14ac:dyDescent="0.35">
      <c r="A140" s="61"/>
      <c r="B140" s="106"/>
      <c r="C140" s="38" t="s">
        <v>366</v>
      </c>
      <c r="D140" s="63" t="s">
        <v>349</v>
      </c>
      <c r="E140" s="62" t="s">
        <v>79</v>
      </c>
      <c r="F140" s="40">
        <v>833</v>
      </c>
      <c r="G140" s="227"/>
      <c r="H140" s="227"/>
      <c r="I140" s="66"/>
      <c r="J140" s="109"/>
      <c r="K140"/>
      <c r="L140"/>
      <c r="M140" s="184"/>
      <c r="N140" s="221"/>
      <c r="O140" s="166" t="s">
        <v>365</v>
      </c>
      <c r="P140" s="39" t="s">
        <v>281</v>
      </c>
      <c r="Q140" s="38" t="s">
        <v>275</v>
      </c>
      <c r="R140" s="241"/>
      <c r="S140" s="234"/>
      <c r="T140" s="234"/>
      <c r="U140" s="165"/>
      <c r="V140"/>
      <c r="W140" s="122"/>
      <c r="X140"/>
      <c r="Y140"/>
    </row>
    <row r="141" spans="1:25" s="1" customFormat="1" x14ac:dyDescent="0.35">
      <c r="A141" s="61"/>
      <c r="B141" s="106"/>
      <c r="C141" s="38" t="s">
        <v>367</v>
      </c>
      <c r="D141" s="39" t="s">
        <v>350</v>
      </c>
      <c r="E141" s="62" t="s">
        <v>79</v>
      </c>
      <c r="F141" s="40">
        <v>6</v>
      </c>
      <c r="G141" s="227"/>
      <c r="H141" s="227"/>
      <c r="I141" s="66"/>
      <c r="J141" s="109"/>
      <c r="K141"/>
      <c r="L141"/>
      <c r="M141" s="184"/>
      <c r="N141" s="221"/>
      <c r="O141" s="166" t="s">
        <v>366</v>
      </c>
      <c r="P141" s="39" t="s">
        <v>282</v>
      </c>
      <c r="Q141" s="38" t="s">
        <v>228</v>
      </c>
      <c r="R141" s="241"/>
      <c r="S141" s="234"/>
      <c r="T141" s="234"/>
      <c r="U141" s="165"/>
      <c r="V141"/>
      <c r="W141" s="122"/>
      <c r="X141"/>
      <c r="Y141"/>
    </row>
    <row r="142" spans="1:25" s="1" customFormat="1" x14ac:dyDescent="0.35">
      <c r="A142" s="61"/>
      <c r="B142" s="106"/>
      <c r="C142" s="38" t="s">
        <v>368</v>
      </c>
      <c r="D142" s="39" t="s">
        <v>351</v>
      </c>
      <c r="E142" s="62" t="s">
        <v>79</v>
      </c>
      <c r="F142" s="44">
        <v>103.3</v>
      </c>
      <c r="G142" s="227"/>
      <c r="H142" s="227"/>
      <c r="I142" s="66"/>
      <c r="J142" s="120"/>
      <c r="K142"/>
      <c r="L142"/>
      <c r="M142" s="184"/>
      <c r="N142" s="221"/>
      <c r="O142" s="166" t="s">
        <v>367</v>
      </c>
      <c r="P142" s="39" t="s">
        <v>276</v>
      </c>
      <c r="Q142" s="38" t="s">
        <v>275</v>
      </c>
      <c r="R142" s="241"/>
      <c r="S142" s="234"/>
      <c r="T142" s="234"/>
      <c r="U142" s="165"/>
      <c r="V142"/>
      <c r="W142" s="122"/>
      <c r="X142"/>
      <c r="Y142"/>
    </row>
    <row r="143" spans="1:25" s="1" customFormat="1" x14ac:dyDescent="0.35">
      <c r="A143" s="61"/>
      <c r="B143" s="106"/>
      <c r="C143" s="38" t="s">
        <v>369</v>
      </c>
      <c r="D143" s="39" t="s">
        <v>352</v>
      </c>
      <c r="E143" s="62" t="s">
        <v>79</v>
      </c>
      <c r="F143" s="44">
        <v>67</v>
      </c>
      <c r="G143" s="227"/>
      <c r="H143" s="227"/>
      <c r="I143" s="66"/>
      <c r="J143" s="120"/>
      <c r="K143"/>
      <c r="L143"/>
      <c r="M143" s="184"/>
      <c r="N143" s="221"/>
      <c r="O143" s="166" t="s">
        <v>368</v>
      </c>
      <c r="P143" s="39" t="s">
        <v>283</v>
      </c>
      <c r="Q143" s="38" t="s">
        <v>275</v>
      </c>
      <c r="R143" s="241"/>
      <c r="S143" s="234"/>
      <c r="T143" s="234"/>
      <c r="U143" s="165"/>
      <c r="V143"/>
      <c r="W143" s="122"/>
      <c r="X143"/>
      <c r="Y143"/>
    </row>
    <row r="144" spans="1:25" s="1" customFormat="1" x14ac:dyDescent="0.35">
      <c r="A144" s="61"/>
      <c r="B144" s="106"/>
      <c r="C144" s="38" t="s">
        <v>370</v>
      </c>
      <c r="D144" s="39" t="s">
        <v>353</v>
      </c>
      <c r="E144" s="62" t="s">
        <v>68</v>
      </c>
      <c r="F144" s="44">
        <v>30</v>
      </c>
      <c r="G144" s="227"/>
      <c r="H144" s="227"/>
      <c r="I144" s="66"/>
      <c r="J144" s="120"/>
      <c r="K144"/>
      <c r="L144"/>
      <c r="M144" s="184"/>
      <c r="N144" s="221"/>
      <c r="O144" s="166"/>
      <c r="P144" s="162"/>
      <c r="Q144" s="161"/>
      <c r="R144" s="163"/>
      <c r="S144" s="164"/>
      <c r="T144" s="164"/>
      <c r="U144" s="165"/>
      <c r="V144"/>
      <c r="W144" s="122"/>
      <c r="X144"/>
      <c r="Y144"/>
    </row>
    <row r="145" spans="1:25" s="1" customFormat="1" x14ac:dyDescent="0.35">
      <c r="A145" s="61"/>
      <c r="B145" s="106"/>
      <c r="C145" s="38" t="s">
        <v>371</v>
      </c>
      <c r="D145" s="162" t="s">
        <v>306</v>
      </c>
      <c r="E145" s="190" t="s">
        <v>103</v>
      </c>
      <c r="F145" s="163">
        <v>9</v>
      </c>
      <c r="G145" s="227"/>
      <c r="H145" s="227"/>
      <c r="I145" s="66"/>
      <c r="J145" s="120"/>
      <c r="K145"/>
      <c r="L145"/>
      <c r="M145" s="184"/>
      <c r="N145" s="221"/>
      <c r="O145" s="166"/>
      <c r="P145" s="162"/>
      <c r="Q145" s="161"/>
      <c r="R145" s="163"/>
      <c r="S145" s="164"/>
      <c r="T145" s="164"/>
      <c r="U145" s="165"/>
      <c r="V145"/>
      <c r="W145" s="122"/>
      <c r="X145"/>
      <c r="Y145"/>
    </row>
    <row r="146" spans="1:25" s="1" customFormat="1" x14ac:dyDescent="0.35">
      <c r="A146" s="61"/>
      <c r="B146" s="106"/>
      <c r="C146" s="64"/>
      <c r="D146" s="39"/>
      <c r="E146" s="62"/>
      <c r="F146" s="44"/>
      <c r="G146" s="69"/>
      <c r="H146" s="69"/>
      <c r="I146" s="66"/>
      <c r="J146" s="120"/>
      <c r="K146"/>
      <c r="L146"/>
      <c r="M146" s="184"/>
      <c r="N146" s="221"/>
      <c r="O146" s="166"/>
      <c r="P146" s="162"/>
      <c r="Q146" s="161"/>
      <c r="R146" s="163"/>
      <c r="S146" s="164"/>
      <c r="T146" s="164"/>
      <c r="U146" s="165"/>
      <c r="V146"/>
      <c r="W146" s="122"/>
      <c r="X146"/>
      <c r="Y146"/>
    </row>
    <row r="147" spans="1:25" s="1" customFormat="1" x14ac:dyDescent="0.35">
      <c r="A147" s="61"/>
      <c r="B147" s="106"/>
      <c r="C147" s="64"/>
      <c r="D147" s="39"/>
      <c r="E147" s="62"/>
      <c r="F147" s="44"/>
      <c r="G147" s="69"/>
      <c r="H147" s="69"/>
      <c r="I147" s="66"/>
      <c r="J147" s="120"/>
      <c r="K147"/>
      <c r="L147"/>
      <c r="M147" s="184"/>
      <c r="N147" s="221"/>
      <c r="O147" s="166"/>
      <c r="P147" s="162"/>
      <c r="Q147" s="161"/>
      <c r="R147" s="163"/>
      <c r="S147" s="164"/>
      <c r="T147" s="164"/>
      <c r="U147" s="165"/>
      <c r="V147"/>
      <c r="W147" s="122"/>
      <c r="X147"/>
      <c r="Y147"/>
    </row>
    <row r="148" spans="1:25" s="1" customFormat="1" x14ac:dyDescent="0.35">
      <c r="A148" s="73"/>
      <c r="B148" s="74"/>
      <c r="C148" s="75"/>
      <c r="D148" s="73"/>
      <c r="E148" s="76"/>
      <c r="F148" s="76"/>
      <c r="G148" s="76"/>
      <c r="H148" s="76"/>
      <c r="I148" s="77">
        <f>SUM(I112,I99,I77,I45,I30)</f>
        <v>3184885.5375000001</v>
      </c>
      <c r="J148" s="109"/>
      <c r="K148"/>
      <c r="L148"/>
      <c r="M148" s="184"/>
      <c r="N148" s="221"/>
      <c r="O148" s="166"/>
      <c r="P148" s="162"/>
      <c r="Q148" s="161"/>
      <c r="R148" s="163"/>
      <c r="S148" s="164"/>
      <c r="T148" s="164"/>
      <c r="U148" s="165"/>
      <c r="V148"/>
      <c r="W148" s="122"/>
      <c r="X148"/>
      <c r="Y148"/>
    </row>
    <row r="149" spans="1:25" s="1" customFormat="1" x14ac:dyDescent="0.35">
      <c r="A149" s="78"/>
      <c r="B149" s="79"/>
      <c r="C149" s="80"/>
      <c r="D149" s="78"/>
      <c r="E149" s="81"/>
      <c r="F149" s="81"/>
      <c r="G149" s="81"/>
      <c r="H149" s="81"/>
      <c r="I149" s="82"/>
      <c r="J149" s="109"/>
      <c r="K149"/>
      <c r="L149"/>
      <c r="M149" s="166"/>
      <c r="N149" s="193"/>
      <c r="O149" s="166"/>
      <c r="P149" s="163"/>
      <c r="Q149" s="164"/>
      <c r="R149" s="164"/>
      <c r="S149" s="165"/>
      <c r="T149" s="166"/>
      <c r="U149" s="193"/>
      <c r="V149"/>
      <c r="W149" s="122"/>
      <c r="X149"/>
      <c r="Y149"/>
    </row>
    <row r="150" spans="1:25" s="1" customFormat="1" x14ac:dyDescent="0.35">
      <c r="A150" s="78"/>
      <c r="B150" s="79"/>
      <c r="C150" s="80"/>
      <c r="D150" s="78"/>
      <c r="E150" s="81"/>
      <c r="F150" s="81"/>
      <c r="G150" s="81"/>
      <c r="H150" s="81"/>
      <c r="I150" s="82"/>
      <c r="J150" s="109"/>
      <c r="K150"/>
      <c r="L150"/>
      <c r="M150" s="166"/>
      <c r="N150" s="162"/>
      <c r="O150" s="161"/>
      <c r="P150" s="163"/>
      <c r="Q150" s="164"/>
      <c r="R150" s="164"/>
      <c r="S150" s="165"/>
      <c r="T150" s="166"/>
      <c r="U150" s="162"/>
      <c r="V150"/>
      <c r="W150" s="122"/>
      <c r="X150"/>
      <c r="Y150"/>
    </row>
    <row r="151" spans="1:25" s="1" customFormat="1" x14ac:dyDescent="0.35">
      <c r="A151" s="78"/>
      <c r="B151" s="79"/>
      <c r="C151" s="80"/>
      <c r="D151" s="78"/>
      <c r="E151" s="81"/>
      <c r="F151" s="81"/>
      <c r="G151" s="81"/>
      <c r="H151" s="81"/>
      <c r="I151" s="82"/>
      <c r="J151" s="109"/>
      <c r="K151"/>
      <c r="L151"/>
      <c r="M151" s="433" t="s">
        <v>33</v>
      </c>
      <c r="N151" s="434"/>
      <c r="O151" s="434"/>
      <c r="P151" s="434"/>
      <c r="Q151" s="434"/>
      <c r="R151" s="434"/>
      <c r="S151" s="195"/>
      <c r="T151" s="195"/>
      <c r="U151" s="196">
        <f>SUM(U112,U99,U77,U45,U30)</f>
        <v>3496471.5984617183</v>
      </c>
      <c r="V151"/>
      <c r="W151" s="122"/>
      <c r="X151"/>
      <c r="Y151"/>
    </row>
    <row r="152" spans="1:25" s="1" customFormat="1" ht="30" x14ac:dyDescent="0.35">
      <c r="A152" s="83"/>
      <c r="B152" s="84"/>
      <c r="C152" s="84"/>
      <c r="D152" s="85" t="s">
        <v>12</v>
      </c>
      <c r="E152" s="86" t="s">
        <v>208</v>
      </c>
      <c r="F152" s="87" t="s">
        <v>209</v>
      </c>
      <c r="G152" s="86" t="s">
        <v>210</v>
      </c>
      <c r="H152" s="86" t="s">
        <v>211</v>
      </c>
      <c r="I152" s="86" t="s">
        <v>212</v>
      </c>
      <c r="J152" s="109"/>
      <c r="K152"/>
      <c r="L152"/>
      <c r="M152" s="197"/>
      <c r="N152" s="198"/>
      <c r="O152" s="199"/>
      <c r="P152" s="197"/>
      <c r="Q152" s="200"/>
      <c r="R152" s="200"/>
      <c r="S152" s="200"/>
      <c r="T152" s="200"/>
      <c r="U152" s="201"/>
      <c r="V152"/>
      <c r="W152" s="122"/>
      <c r="X152"/>
      <c r="Y152"/>
    </row>
    <row r="153" spans="1:25" s="1" customFormat="1" ht="15" x14ac:dyDescent="0.35">
      <c r="A153" s="88"/>
      <c r="B153" s="88"/>
      <c r="C153" s="88"/>
      <c r="D153" s="89" t="s">
        <v>213</v>
      </c>
      <c r="E153" s="90"/>
      <c r="F153" s="91"/>
      <c r="G153" s="90"/>
      <c r="H153" s="90"/>
      <c r="I153" s="90"/>
      <c r="J153" s="109"/>
      <c r="K153"/>
      <c r="L153"/>
      <c r="M153" s="197"/>
      <c r="N153" s="198"/>
      <c r="O153" s="199"/>
      <c r="P153" s="197"/>
      <c r="Q153" s="200"/>
      <c r="R153" s="200"/>
      <c r="S153" s="200"/>
      <c r="T153" s="200"/>
      <c r="U153" s="201"/>
      <c r="V153"/>
      <c r="W153" s="122"/>
      <c r="X153"/>
      <c r="Y153"/>
    </row>
    <row r="154" spans="1:25" s="1" customFormat="1" ht="15" x14ac:dyDescent="0.4">
      <c r="A154" s="92"/>
      <c r="B154" s="92"/>
      <c r="C154" s="92"/>
      <c r="D154" s="93" t="s">
        <v>214</v>
      </c>
      <c r="E154" s="92" t="s">
        <v>215</v>
      </c>
      <c r="F154" s="94"/>
      <c r="G154" s="95"/>
      <c r="H154" s="95"/>
      <c r="I154" s="95"/>
      <c r="J154" s="109"/>
      <c r="K154"/>
      <c r="L154"/>
      <c r="M154" s="197"/>
      <c r="N154" s="198"/>
      <c r="O154" s="199"/>
      <c r="P154" s="197"/>
      <c r="Q154" s="200"/>
      <c r="R154" s="200"/>
      <c r="S154" s="200"/>
      <c r="T154" s="200"/>
      <c r="U154" s="201"/>
      <c r="V154"/>
      <c r="W154" s="122"/>
      <c r="X154"/>
      <c r="Y154"/>
    </row>
    <row r="155" spans="1:25" s="1" customFormat="1" ht="30" x14ac:dyDescent="0.4">
      <c r="A155" s="92"/>
      <c r="B155" s="92"/>
      <c r="C155" s="92"/>
      <c r="D155" s="93" t="s">
        <v>216</v>
      </c>
      <c r="E155" s="92" t="s">
        <v>217</v>
      </c>
      <c r="F155" s="94"/>
      <c r="G155" s="95">
        <f t="shared" ref="G155:G161" si="16">F155*1.6</f>
        <v>0</v>
      </c>
      <c r="H155" s="95">
        <f t="shared" ref="H155:H161" si="17">F155*2</f>
        <v>0</v>
      </c>
      <c r="I155" s="95">
        <f t="shared" ref="I155:I161" si="18">F155*1.2</f>
        <v>0</v>
      </c>
      <c r="J155" s="109"/>
      <c r="K155"/>
      <c r="L155"/>
      <c r="M155" s="202"/>
      <c r="N155" s="203"/>
      <c r="O155" s="203"/>
      <c r="P155" s="204" t="s">
        <v>12</v>
      </c>
      <c r="Q155" s="205" t="s">
        <v>208</v>
      </c>
      <c r="R155" s="206" t="s">
        <v>209</v>
      </c>
      <c r="S155" s="205" t="s">
        <v>210</v>
      </c>
      <c r="T155" s="205" t="s">
        <v>211</v>
      </c>
      <c r="U155" s="205" t="s">
        <v>212</v>
      </c>
      <c r="V155"/>
      <c r="W155" s="122"/>
      <c r="X155"/>
      <c r="Y155"/>
    </row>
    <row r="156" spans="1:25" s="1" customFormat="1" ht="15" x14ac:dyDescent="0.4">
      <c r="A156" s="92"/>
      <c r="B156" s="92"/>
      <c r="C156" s="92"/>
      <c r="D156" s="93" t="s">
        <v>218</v>
      </c>
      <c r="E156" s="92" t="s">
        <v>217</v>
      </c>
      <c r="F156" s="94"/>
      <c r="G156" s="95">
        <f t="shared" si="16"/>
        <v>0</v>
      </c>
      <c r="H156" s="95">
        <f t="shared" si="17"/>
        <v>0</v>
      </c>
      <c r="I156" s="95">
        <f t="shared" si="18"/>
        <v>0</v>
      </c>
      <c r="J156" s="109"/>
      <c r="K156"/>
      <c r="L156"/>
      <c r="M156" s="207"/>
      <c r="N156" s="207"/>
      <c r="O156" s="207"/>
      <c r="P156" s="208" t="s">
        <v>213</v>
      </c>
      <c r="Q156" s="209"/>
      <c r="R156" s="210"/>
      <c r="S156" s="209"/>
      <c r="T156" s="209"/>
      <c r="U156" s="209"/>
      <c r="V156"/>
      <c r="W156" s="122"/>
      <c r="X156"/>
      <c r="Y156"/>
    </row>
    <row r="157" spans="1:25" s="1" customFormat="1" ht="15" x14ac:dyDescent="0.4">
      <c r="A157" s="92"/>
      <c r="B157" s="92"/>
      <c r="C157" s="92"/>
      <c r="D157" s="93" t="s">
        <v>219</v>
      </c>
      <c r="E157" s="92" t="s">
        <v>217</v>
      </c>
      <c r="F157" s="94"/>
      <c r="G157" s="95">
        <f t="shared" si="16"/>
        <v>0</v>
      </c>
      <c r="H157" s="95">
        <f t="shared" si="17"/>
        <v>0</v>
      </c>
      <c r="I157" s="95">
        <f t="shared" si="18"/>
        <v>0</v>
      </c>
      <c r="J157" s="109"/>
      <c r="K157"/>
      <c r="L157"/>
      <c r="M157" s="211"/>
      <c r="N157" s="211"/>
      <c r="O157" s="211"/>
      <c r="P157" s="212" t="s">
        <v>214</v>
      </c>
      <c r="Q157" s="211" t="s">
        <v>215</v>
      </c>
      <c r="R157" s="213"/>
      <c r="S157" s="214"/>
      <c r="T157" s="214"/>
      <c r="U157" s="214"/>
      <c r="V157"/>
      <c r="W157" s="122"/>
      <c r="X157"/>
      <c r="Y157"/>
    </row>
    <row r="158" spans="1:25" s="1" customFormat="1" ht="15" x14ac:dyDescent="0.4">
      <c r="A158" s="92"/>
      <c r="B158" s="92"/>
      <c r="C158" s="92"/>
      <c r="D158" s="93" t="s">
        <v>220</v>
      </c>
      <c r="E158" s="92" t="s">
        <v>217</v>
      </c>
      <c r="F158" s="94"/>
      <c r="G158" s="95">
        <f t="shared" si="16"/>
        <v>0</v>
      </c>
      <c r="H158" s="95">
        <f t="shared" si="17"/>
        <v>0</v>
      </c>
      <c r="I158" s="95">
        <f t="shared" si="18"/>
        <v>0</v>
      </c>
      <c r="J158" s="109"/>
      <c r="K158"/>
      <c r="L158"/>
      <c r="M158" s="211"/>
      <c r="N158" s="211"/>
      <c r="O158" s="211"/>
      <c r="P158" s="212" t="s">
        <v>216</v>
      </c>
      <c r="Q158" s="211" t="s">
        <v>217</v>
      </c>
      <c r="R158" s="213"/>
      <c r="S158" s="214">
        <v>0</v>
      </c>
      <c r="T158" s="214">
        <v>0</v>
      </c>
      <c r="U158" s="214">
        <f t="shared" ref="U158:U164" si="19">R158*1.2</f>
        <v>0</v>
      </c>
      <c r="V158"/>
      <c r="W158" s="122"/>
      <c r="X158"/>
      <c r="Y158"/>
    </row>
    <row r="159" spans="1:25" s="1" customFormat="1" ht="15" x14ac:dyDescent="0.4">
      <c r="A159" s="92"/>
      <c r="B159" s="92"/>
      <c r="C159" s="92"/>
      <c r="D159" s="93" t="s">
        <v>221</v>
      </c>
      <c r="E159" s="92" t="s">
        <v>217</v>
      </c>
      <c r="F159" s="94"/>
      <c r="G159" s="95">
        <f t="shared" si="16"/>
        <v>0</v>
      </c>
      <c r="H159" s="95">
        <f t="shared" si="17"/>
        <v>0</v>
      </c>
      <c r="I159" s="95">
        <f t="shared" si="18"/>
        <v>0</v>
      </c>
      <c r="J159" s="109"/>
      <c r="K159"/>
      <c r="L159"/>
      <c r="M159" s="211"/>
      <c r="N159" s="211"/>
      <c r="O159" s="211"/>
      <c r="P159" s="212" t="s">
        <v>218</v>
      </c>
      <c r="Q159" s="211" t="s">
        <v>217</v>
      </c>
      <c r="R159" s="213"/>
      <c r="S159" s="214">
        <v>0</v>
      </c>
      <c r="T159" s="214">
        <v>0</v>
      </c>
      <c r="U159" s="214">
        <f t="shared" si="19"/>
        <v>0</v>
      </c>
      <c r="V159"/>
      <c r="W159" s="122"/>
      <c r="X159"/>
      <c r="Y159"/>
    </row>
    <row r="160" spans="1:25" s="1" customFormat="1" ht="15" x14ac:dyDescent="0.4">
      <c r="A160" s="92"/>
      <c r="B160" s="92"/>
      <c r="C160" s="92"/>
      <c r="D160" s="93" t="s">
        <v>222</v>
      </c>
      <c r="E160" s="92" t="s">
        <v>217</v>
      </c>
      <c r="F160" s="94"/>
      <c r="G160" s="95">
        <f t="shared" si="16"/>
        <v>0</v>
      </c>
      <c r="H160" s="95">
        <f t="shared" si="17"/>
        <v>0</v>
      </c>
      <c r="I160" s="95">
        <f t="shared" si="18"/>
        <v>0</v>
      </c>
      <c r="J160" s="109"/>
      <c r="K160"/>
      <c r="L160"/>
      <c r="M160" s="211"/>
      <c r="N160" s="211"/>
      <c r="O160" s="211"/>
      <c r="P160" s="212" t="s">
        <v>219</v>
      </c>
      <c r="Q160" s="211" t="s">
        <v>217</v>
      </c>
      <c r="R160" s="213"/>
      <c r="S160" s="214">
        <v>0</v>
      </c>
      <c r="T160" s="214">
        <v>0</v>
      </c>
      <c r="U160" s="214">
        <f t="shared" si="19"/>
        <v>0</v>
      </c>
      <c r="V160"/>
      <c r="W160" s="122"/>
      <c r="X160"/>
      <c r="Y160"/>
    </row>
    <row r="161" spans="1:25" s="1" customFormat="1" ht="15" x14ac:dyDescent="0.4">
      <c r="A161" s="92"/>
      <c r="B161" s="92"/>
      <c r="C161" s="92"/>
      <c r="D161" s="93" t="s">
        <v>223</v>
      </c>
      <c r="E161" s="92" t="s">
        <v>217</v>
      </c>
      <c r="F161" s="94"/>
      <c r="G161" s="95">
        <f t="shared" si="16"/>
        <v>0</v>
      </c>
      <c r="H161" s="95">
        <f t="shared" si="17"/>
        <v>0</v>
      </c>
      <c r="I161" s="95">
        <f t="shared" si="18"/>
        <v>0</v>
      </c>
      <c r="J161" s="109"/>
      <c r="K161"/>
      <c r="L161"/>
      <c r="M161" s="211"/>
      <c r="N161" s="211"/>
      <c r="O161" s="211"/>
      <c r="P161" s="212" t="s">
        <v>220</v>
      </c>
      <c r="Q161" s="211" t="s">
        <v>217</v>
      </c>
      <c r="R161" s="213"/>
      <c r="S161" s="214">
        <v>0</v>
      </c>
      <c r="T161" s="214">
        <v>0</v>
      </c>
      <c r="U161" s="214">
        <f t="shared" si="19"/>
        <v>0</v>
      </c>
      <c r="V161"/>
      <c r="W161" s="122"/>
      <c r="X161"/>
      <c r="Y161"/>
    </row>
    <row r="162" spans="1:25" s="1" customFormat="1" ht="15" x14ac:dyDescent="0.4">
      <c r="A162" s="92"/>
      <c r="B162" s="92"/>
      <c r="C162" s="92"/>
      <c r="D162" s="93"/>
      <c r="E162" s="92"/>
      <c r="F162" s="96"/>
      <c r="G162" s="95"/>
      <c r="H162" s="95"/>
      <c r="I162" s="95"/>
      <c r="J162" s="109"/>
      <c r="K162"/>
      <c r="L162"/>
      <c r="M162" s="211"/>
      <c r="N162" s="211"/>
      <c r="O162" s="211"/>
      <c r="P162" s="212" t="s">
        <v>221</v>
      </c>
      <c r="Q162" s="211" t="s">
        <v>217</v>
      </c>
      <c r="R162" s="213"/>
      <c r="S162" s="214">
        <v>0</v>
      </c>
      <c r="T162" s="214">
        <v>0</v>
      </c>
      <c r="U162" s="214">
        <f t="shared" si="19"/>
        <v>0</v>
      </c>
      <c r="V162"/>
      <c r="W162" s="122"/>
      <c r="X162"/>
      <c r="Y162"/>
    </row>
    <row r="163" spans="1:25" s="1" customFormat="1" ht="15" x14ac:dyDescent="0.4">
      <c r="A163" s="97"/>
      <c r="B163" s="98"/>
      <c r="C163" s="98"/>
      <c r="D163" s="98"/>
      <c r="E163" s="98"/>
      <c r="F163" s="97"/>
      <c r="G163" s="98"/>
      <c r="H163" s="98"/>
      <c r="I163" s="98"/>
      <c r="J163" s="109"/>
      <c r="K163"/>
      <c r="L163"/>
      <c r="M163" s="211"/>
      <c r="N163" s="211"/>
      <c r="O163" s="211"/>
      <c r="P163" s="212" t="s">
        <v>222</v>
      </c>
      <c r="Q163" s="211" t="s">
        <v>217</v>
      </c>
      <c r="R163" s="213"/>
      <c r="S163" s="214">
        <v>0</v>
      </c>
      <c r="T163" s="214">
        <v>0</v>
      </c>
      <c r="U163" s="214">
        <f t="shared" si="19"/>
        <v>0</v>
      </c>
      <c r="V163"/>
      <c r="W163" s="122"/>
      <c r="X163"/>
      <c r="Y163"/>
    </row>
    <row r="164" spans="1:25" s="1" customFormat="1" ht="15" x14ac:dyDescent="0.4">
      <c r="A164" s="97"/>
      <c r="B164" s="98"/>
      <c r="C164" s="98"/>
      <c r="D164" s="99"/>
      <c r="E164" s="100"/>
      <c r="F164" s="101"/>
      <c r="G164" s="98"/>
      <c r="H164" s="98"/>
      <c r="I164" s="98"/>
      <c r="J164" s="109"/>
      <c r="K164"/>
      <c r="L164"/>
      <c r="M164" s="211"/>
      <c r="N164" s="211"/>
      <c r="O164" s="211"/>
      <c r="P164" s="212" t="s">
        <v>223</v>
      </c>
      <c r="Q164" s="211" t="s">
        <v>217</v>
      </c>
      <c r="R164" s="213"/>
      <c r="S164" s="214">
        <v>0</v>
      </c>
      <c r="T164" s="214">
        <v>0</v>
      </c>
      <c r="U164" s="214">
        <f t="shared" si="19"/>
        <v>0</v>
      </c>
      <c r="V164"/>
      <c r="W164" s="122"/>
      <c r="X164"/>
      <c r="Y164"/>
    </row>
    <row r="165" spans="1:25" s="1" customFormat="1" ht="15" x14ac:dyDescent="0.4">
      <c r="A165" s="15"/>
      <c r="C165" s="98"/>
      <c r="D165" s="99"/>
      <c r="E165" s="100"/>
      <c r="F165" s="101"/>
      <c r="G165" s="98"/>
      <c r="H165" s="98"/>
      <c r="I165" s="98"/>
      <c r="J165" s="109"/>
      <c r="K165"/>
      <c r="L165"/>
      <c r="M165" s="211"/>
      <c r="N165" s="211"/>
      <c r="O165" s="211"/>
      <c r="P165" s="212"/>
      <c r="Q165" s="211"/>
      <c r="R165" s="215"/>
      <c r="S165" s="214"/>
      <c r="T165" s="214"/>
      <c r="U165" s="214"/>
      <c r="V165"/>
      <c r="W165" s="122"/>
      <c r="X165"/>
      <c r="Y165"/>
    </row>
    <row r="166" spans="1:25" x14ac:dyDescent="0.35">
      <c r="M166" s="135"/>
      <c r="N166" s="136"/>
      <c r="O166" s="136"/>
      <c r="P166" s="136"/>
      <c r="Q166" s="136"/>
      <c r="R166" s="136"/>
      <c r="S166" s="136"/>
      <c r="T166" s="136"/>
      <c r="U166" s="136"/>
    </row>
    <row r="167" spans="1:25" x14ac:dyDescent="0.35">
      <c r="M167" s="135"/>
      <c r="N167" s="136"/>
      <c r="O167" s="136"/>
      <c r="P167" s="136"/>
      <c r="Q167" s="136"/>
      <c r="R167" s="136"/>
      <c r="S167" s="136"/>
      <c r="T167" s="136"/>
      <c r="U167" s="136"/>
    </row>
    <row r="168" spans="1:25" x14ac:dyDescent="0.35">
      <c r="M168" s="135"/>
      <c r="N168" s="136"/>
      <c r="O168" s="136"/>
      <c r="P168" s="136"/>
      <c r="Q168" s="136"/>
      <c r="R168" s="136"/>
      <c r="S168" s="136"/>
      <c r="T168" s="136"/>
      <c r="U168" s="136"/>
    </row>
    <row r="169" spans="1:25" x14ac:dyDescent="0.35">
      <c r="M169" s="135"/>
      <c r="N169" s="136"/>
      <c r="O169" s="136"/>
      <c r="P169" s="136"/>
      <c r="Q169" s="136"/>
      <c r="R169" s="136"/>
      <c r="S169" s="136"/>
      <c r="T169" s="136"/>
      <c r="U169" s="136"/>
    </row>
    <row r="170" spans="1:25" x14ac:dyDescent="0.35">
      <c r="M170" s="135"/>
      <c r="N170" s="136"/>
      <c r="O170" s="136"/>
      <c r="P170" s="136"/>
      <c r="Q170" s="136"/>
      <c r="R170" s="136"/>
      <c r="S170" s="136"/>
      <c r="T170" s="136"/>
      <c r="U170" s="136"/>
    </row>
    <row r="171" spans="1:25" x14ac:dyDescent="0.35">
      <c r="M171" s="135"/>
      <c r="N171" s="136"/>
      <c r="O171" s="136"/>
      <c r="P171" s="136"/>
      <c r="Q171" s="136"/>
      <c r="R171" s="136"/>
      <c r="S171" s="136"/>
      <c r="T171" s="136"/>
      <c r="U171" s="136"/>
    </row>
    <row r="172" spans="1:25" x14ac:dyDescent="0.35">
      <c r="M172" s="135"/>
      <c r="N172" s="136"/>
      <c r="O172" s="136"/>
      <c r="P172" s="136"/>
      <c r="Q172" s="136"/>
      <c r="R172" s="136"/>
      <c r="S172" s="136"/>
      <c r="T172" s="136"/>
      <c r="U172" s="136"/>
    </row>
    <row r="173" spans="1:25" x14ac:dyDescent="0.35">
      <c r="M173" s="135"/>
      <c r="N173" s="136"/>
      <c r="O173" s="136"/>
      <c r="P173" s="136"/>
      <c r="Q173" s="136"/>
      <c r="R173" s="136"/>
      <c r="S173" s="136"/>
      <c r="T173" s="136"/>
      <c r="U173" s="136"/>
    </row>
    <row r="174" spans="1:25" x14ac:dyDescent="0.35">
      <c r="M174" s="135"/>
      <c r="N174" s="136"/>
      <c r="O174" s="136"/>
      <c r="P174" s="136"/>
      <c r="Q174" s="136"/>
      <c r="R174" s="136"/>
      <c r="S174" s="136"/>
      <c r="T174" s="136"/>
      <c r="U174" s="136"/>
    </row>
    <row r="175" spans="1:25" x14ac:dyDescent="0.35">
      <c r="M175" s="135"/>
      <c r="N175" s="136"/>
      <c r="O175" s="136"/>
      <c r="P175" s="136"/>
      <c r="Q175" s="136"/>
      <c r="R175" s="136"/>
      <c r="S175" s="136"/>
      <c r="T175" s="136"/>
      <c r="U175" s="136"/>
    </row>
    <row r="176" spans="1:25" x14ac:dyDescent="0.35">
      <c r="M176" s="135"/>
      <c r="N176" s="136"/>
      <c r="O176" s="136"/>
      <c r="P176" s="136"/>
      <c r="Q176" s="136"/>
      <c r="R176" s="136"/>
      <c r="S176" s="136"/>
      <c r="T176" s="136"/>
      <c r="U176" s="136"/>
    </row>
    <row r="177" spans="13:21" x14ac:dyDescent="0.35">
      <c r="M177" s="135"/>
      <c r="N177" s="136"/>
      <c r="O177" s="136"/>
      <c r="P177" s="136"/>
      <c r="Q177" s="136"/>
      <c r="R177" s="136"/>
      <c r="S177" s="136"/>
      <c r="T177" s="136"/>
      <c r="U177" s="136"/>
    </row>
    <row r="178" spans="13:21" x14ac:dyDescent="0.35">
      <c r="M178" s="135"/>
      <c r="N178" s="136"/>
      <c r="O178" s="136"/>
      <c r="P178" s="136"/>
      <c r="Q178" s="136"/>
      <c r="R178" s="136"/>
      <c r="S178" s="136"/>
      <c r="T178" s="136"/>
      <c r="U178" s="136"/>
    </row>
    <row r="179" spans="13:21" x14ac:dyDescent="0.35">
      <c r="M179" s="135"/>
      <c r="N179" s="136"/>
      <c r="O179" s="136"/>
      <c r="P179" s="136"/>
      <c r="Q179" s="136"/>
      <c r="R179" s="136"/>
      <c r="S179" s="136"/>
      <c r="T179" s="136"/>
      <c r="U179" s="136"/>
    </row>
    <row r="180" spans="13:21" x14ac:dyDescent="0.35">
      <c r="M180" s="135"/>
      <c r="N180" s="136"/>
      <c r="O180" s="136"/>
      <c r="P180" s="136"/>
      <c r="Q180" s="136"/>
      <c r="R180" s="136"/>
      <c r="S180" s="136"/>
      <c r="T180" s="136"/>
      <c r="U180" s="136"/>
    </row>
    <row r="181" spans="13:21" x14ac:dyDescent="0.35">
      <c r="M181" s="135"/>
      <c r="N181" s="136"/>
      <c r="O181" s="136"/>
      <c r="P181" s="136"/>
      <c r="Q181" s="136"/>
      <c r="R181" s="136"/>
      <c r="S181" s="136"/>
      <c r="T181" s="136"/>
      <c r="U181" s="136"/>
    </row>
    <row r="182" spans="13:21" x14ac:dyDescent="0.35">
      <c r="M182" s="135"/>
      <c r="N182" s="136"/>
      <c r="O182" s="136"/>
      <c r="P182" s="136"/>
      <c r="Q182" s="136"/>
      <c r="R182" s="136"/>
      <c r="S182" s="136"/>
      <c r="T182" s="136"/>
      <c r="U182" s="136"/>
    </row>
    <row r="183" spans="13:21" x14ac:dyDescent="0.35">
      <c r="M183" s="135"/>
      <c r="N183" s="136"/>
      <c r="O183" s="136"/>
      <c r="P183" s="136"/>
      <c r="Q183" s="136"/>
      <c r="R183" s="136"/>
      <c r="S183" s="136"/>
      <c r="T183" s="136"/>
      <c r="U183" s="136"/>
    </row>
    <row r="184" spans="13:21" x14ac:dyDescent="0.35">
      <c r="M184" s="135"/>
      <c r="N184" s="136"/>
      <c r="O184" s="136"/>
      <c r="P184" s="136"/>
      <c r="Q184" s="136"/>
      <c r="R184" s="136"/>
      <c r="S184" s="136"/>
      <c r="T184" s="136"/>
      <c r="U184" s="136"/>
    </row>
    <row r="185" spans="13:21" x14ac:dyDescent="0.35">
      <c r="M185" s="135"/>
      <c r="N185" s="136"/>
      <c r="O185" s="136"/>
      <c r="P185" s="136"/>
      <c r="Q185" s="136"/>
      <c r="R185" s="136"/>
      <c r="S185" s="136"/>
      <c r="T185" s="136"/>
      <c r="U185" s="136"/>
    </row>
    <row r="186" spans="13:21" x14ac:dyDescent="0.35">
      <c r="M186" s="135"/>
      <c r="N186" s="136"/>
      <c r="O186" s="136"/>
      <c r="P186" s="136"/>
      <c r="Q186" s="136"/>
      <c r="R186" s="136"/>
      <c r="S186" s="136"/>
      <c r="T186" s="136"/>
      <c r="U186" s="136"/>
    </row>
    <row r="187" spans="13:21" x14ac:dyDescent="0.35">
      <c r="M187" s="135"/>
      <c r="N187" s="136"/>
      <c r="O187" s="136"/>
      <c r="P187" s="136"/>
      <c r="Q187" s="136"/>
      <c r="R187" s="136"/>
      <c r="S187" s="136"/>
      <c r="T187" s="136"/>
      <c r="U187" s="136"/>
    </row>
    <row r="188" spans="13:21" x14ac:dyDescent="0.35">
      <c r="M188" s="135"/>
      <c r="N188" s="136"/>
      <c r="O188" s="136"/>
      <c r="P188" s="136"/>
      <c r="Q188" s="136"/>
      <c r="R188" s="136"/>
      <c r="S188" s="136"/>
      <c r="T188" s="136"/>
      <c r="U188" s="136"/>
    </row>
    <row r="189" spans="13:21" x14ac:dyDescent="0.35">
      <c r="M189" s="135"/>
      <c r="N189" s="136"/>
      <c r="O189" s="136"/>
      <c r="P189" s="136"/>
      <c r="Q189" s="136"/>
      <c r="R189" s="136"/>
      <c r="S189" s="136"/>
      <c r="T189" s="136"/>
      <c r="U189" s="136"/>
    </row>
    <row r="190" spans="13:21" x14ac:dyDescent="0.35">
      <c r="M190" s="135"/>
      <c r="N190" s="136"/>
      <c r="O190" s="136"/>
      <c r="P190" s="136"/>
      <c r="Q190" s="136"/>
      <c r="R190" s="136"/>
      <c r="S190" s="136"/>
      <c r="T190" s="136"/>
      <c r="U190" s="136"/>
    </row>
    <row r="191" spans="13:21" x14ac:dyDescent="0.35">
      <c r="M191" s="135"/>
      <c r="N191" s="136"/>
      <c r="O191" s="136"/>
      <c r="P191" s="136"/>
      <c r="Q191" s="136"/>
      <c r="R191" s="136"/>
      <c r="S191" s="136"/>
      <c r="T191" s="136"/>
      <c r="U191" s="136"/>
    </row>
    <row r="192" spans="13:21" x14ac:dyDescent="0.35">
      <c r="M192" s="135"/>
      <c r="N192" s="136"/>
      <c r="O192" s="136"/>
      <c r="P192" s="136"/>
      <c r="Q192" s="136"/>
      <c r="R192" s="136"/>
      <c r="S192" s="136"/>
      <c r="T192" s="136"/>
      <c r="U192" s="136"/>
    </row>
    <row r="193" spans="13:21" x14ac:dyDescent="0.35">
      <c r="M193" s="135"/>
      <c r="N193" s="136"/>
      <c r="O193" s="136"/>
      <c r="P193" s="136"/>
      <c r="Q193" s="136"/>
      <c r="R193" s="136"/>
      <c r="S193" s="136"/>
      <c r="T193" s="136"/>
      <c r="U193" s="136"/>
    </row>
    <row r="194" spans="13:21" x14ac:dyDescent="0.35">
      <c r="M194" s="135"/>
      <c r="N194" s="136"/>
      <c r="O194" s="136"/>
      <c r="P194" s="136"/>
      <c r="Q194" s="136"/>
      <c r="R194" s="136"/>
      <c r="S194" s="136"/>
      <c r="T194" s="136"/>
      <c r="U194" s="136"/>
    </row>
    <row r="195" spans="13:21" x14ac:dyDescent="0.35">
      <c r="M195" s="135"/>
      <c r="N195" s="136"/>
      <c r="O195" s="136"/>
      <c r="P195" s="136"/>
      <c r="Q195" s="136"/>
      <c r="R195" s="136"/>
      <c r="S195" s="136"/>
      <c r="T195" s="136"/>
      <c r="U195" s="136"/>
    </row>
    <row r="196" spans="13:21" x14ac:dyDescent="0.35">
      <c r="M196" s="135"/>
      <c r="N196" s="136"/>
      <c r="O196" s="136"/>
      <c r="P196" s="136"/>
      <c r="Q196" s="136"/>
      <c r="R196" s="136"/>
      <c r="S196" s="136"/>
      <c r="T196" s="136"/>
      <c r="U196" s="136"/>
    </row>
    <row r="197" spans="13:21" x14ac:dyDescent="0.35">
      <c r="M197" s="135"/>
      <c r="N197" s="136"/>
      <c r="O197" s="136"/>
      <c r="P197" s="136"/>
      <c r="Q197" s="136"/>
      <c r="R197" s="136"/>
      <c r="S197" s="136"/>
      <c r="T197" s="136"/>
      <c r="U197" s="136"/>
    </row>
    <row r="198" spans="13:21" x14ac:dyDescent="0.35">
      <c r="M198" s="135"/>
      <c r="N198" s="136"/>
      <c r="O198" s="136"/>
      <c r="P198" s="136"/>
      <c r="Q198" s="136"/>
      <c r="R198" s="136"/>
      <c r="S198" s="136"/>
      <c r="T198" s="136"/>
      <c r="U198" s="136"/>
    </row>
    <row r="199" spans="13:21" x14ac:dyDescent="0.35">
      <c r="M199" s="135"/>
      <c r="N199" s="136"/>
      <c r="O199" s="136"/>
      <c r="P199" s="136"/>
      <c r="Q199" s="136"/>
      <c r="R199" s="136"/>
      <c r="S199" s="136"/>
      <c r="T199" s="136"/>
      <c r="U199" s="136"/>
    </row>
    <row r="200" spans="13:21" x14ac:dyDescent="0.35">
      <c r="M200" s="135"/>
      <c r="N200" s="136"/>
      <c r="O200" s="136"/>
      <c r="P200" s="136"/>
      <c r="Q200" s="136"/>
      <c r="R200" s="136"/>
      <c r="S200" s="136"/>
      <c r="T200" s="136"/>
      <c r="U200" s="136"/>
    </row>
    <row r="201" spans="13:21" x14ac:dyDescent="0.35">
      <c r="M201" s="135"/>
      <c r="N201" s="136"/>
      <c r="O201" s="136"/>
      <c r="P201" s="136"/>
      <c r="Q201" s="136"/>
      <c r="R201" s="136"/>
      <c r="S201" s="136"/>
      <c r="T201" s="136"/>
      <c r="U201" s="136"/>
    </row>
    <row r="202" spans="13:21" x14ac:dyDescent="0.35">
      <c r="M202" s="135"/>
      <c r="N202" s="136"/>
      <c r="O202" s="136"/>
      <c r="P202" s="136"/>
      <c r="Q202" s="136"/>
      <c r="R202" s="136"/>
      <c r="S202" s="136"/>
      <c r="T202" s="136"/>
      <c r="U202" s="136"/>
    </row>
    <row r="203" spans="13:21" x14ac:dyDescent="0.35">
      <c r="M203" s="135"/>
      <c r="N203" s="136"/>
      <c r="O203" s="136"/>
      <c r="P203" s="136"/>
      <c r="Q203" s="136"/>
      <c r="R203" s="136"/>
      <c r="S203" s="136"/>
      <c r="T203" s="136"/>
      <c r="U203" s="136"/>
    </row>
    <row r="204" spans="13:21" x14ac:dyDescent="0.35">
      <c r="M204" s="135"/>
      <c r="N204" s="136"/>
      <c r="O204" s="136"/>
      <c r="P204" s="136"/>
      <c r="Q204" s="136"/>
      <c r="R204" s="136"/>
      <c r="S204" s="136"/>
      <c r="T204" s="136"/>
      <c r="U204" s="136"/>
    </row>
    <row r="205" spans="13:21" x14ac:dyDescent="0.35">
      <c r="M205" s="135"/>
      <c r="N205" s="136"/>
      <c r="O205" s="136"/>
      <c r="P205" s="136"/>
      <c r="Q205" s="136"/>
      <c r="R205" s="136"/>
      <c r="S205" s="136"/>
      <c r="T205" s="136"/>
      <c r="U205" s="136"/>
    </row>
    <row r="206" spans="13:21" x14ac:dyDescent="0.35">
      <c r="M206" s="135"/>
      <c r="N206" s="136"/>
      <c r="O206" s="136"/>
      <c r="P206" s="136"/>
      <c r="Q206" s="136"/>
      <c r="R206" s="136"/>
      <c r="S206" s="136"/>
      <c r="T206" s="136"/>
      <c r="U206" s="136"/>
    </row>
    <row r="207" spans="13:21" x14ac:dyDescent="0.35">
      <c r="M207" s="135"/>
      <c r="N207" s="136"/>
      <c r="O207" s="136"/>
      <c r="P207" s="136"/>
      <c r="Q207" s="136"/>
      <c r="R207" s="136"/>
      <c r="S207" s="136"/>
      <c r="T207" s="136"/>
      <c r="U207" s="136"/>
    </row>
    <row r="208" spans="13:21" x14ac:dyDescent="0.35">
      <c r="M208" s="135"/>
      <c r="N208" s="136"/>
      <c r="O208" s="136"/>
      <c r="P208" s="136"/>
      <c r="Q208" s="136"/>
      <c r="R208" s="136"/>
      <c r="S208" s="136"/>
      <c r="T208" s="136"/>
      <c r="U208" s="136"/>
    </row>
    <row r="209" spans="13:21" x14ac:dyDescent="0.35">
      <c r="M209" s="135"/>
      <c r="N209" s="136"/>
      <c r="O209" s="136"/>
      <c r="P209" s="136"/>
      <c r="Q209" s="136"/>
      <c r="R209" s="136"/>
      <c r="S209" s="136"/>
      <c r="T209" s="136"/>
      <c r="U209" s="136"/>
    </row>
    <row r="210" spans="13:21" x14ac:dyDescent="0.35">
      <c r="M210" s="135"/>
      <c r="N210" s="136"/>
      <c r="O210" s="136"/>
      <c r="P210" s="136"/>
      <c r="Q210" s="136"/>
      <c r="R210" s="136"/>
      <c r="S210" s="136"/>
      <c r="T210" s="136"/>
      <c r="U210" s="136"/>
    </row>
    <row r="211" spans="13:21" x14ac:dyDescent="0.35">
      <c r="M211" s="135"/>
      <c r="N211" s="136"/>
      <c r="O211" s="136"/>
      <c r="P211" s="136"/>
      <c r="Q211" s="136"/>
      <c r="R211" s="136"/>
      <c r="S211" s="136"/>
      <c r="T211" s="136"/>
      <c r="U211" s="136"/>
    </row>
    <row r="212" spans="13:21" x14ac:dyDescent="0.35">
      <c r="M212" s="135"/>
      <c r="N212" s="136"/>
      <c r="O212" s="136"/>
      <c r="P212" s="136"/>
      <c r="Q212" s="136"/>
      <c r="R212" s="136"/>
      <c r="S212" s="136"/>
      <c r="T212" s="136"/>
      <c r="U212" s="136"/>
    </row>
    <row r="213" spans="13:21" x14ac:dyDescent="0.35">
      <c r="M213" s="135"/>
      <c r="N213" s="136"/>
      <c r="O213" s="136"/>
      <c r="P213" s="136"/>
      <c r="Q213" s="136"/>
      <c r="R213" s="136"/>
      <c r="S213" s="136"/>
      <c r="T213" s="136"/>
      <c r="U213" s="136"/>
    </row>
    <row r="214" spans="13:21" x14ac:dyDescent="0.35">
      <c r="M214" s="135"/>
      <c r="N214" s="136"/>
      <c r="O214" s="136"/>
      <c r="P214" s="136"/>
      <c r="Q214" s="136"/>
      <c r="R214" s="136"/>
      <c r="S214" s="136"/>
      <c r="T214" s="136"/>
      <c r="U214" s="136"/>
    </row>
    <row r="215" spans="13:21" x14ac:dyDescent="0.35">
      <c r="M215" s="135"/>
      <c r="N215" s="136"/>
      <c r="O215" s="136"/>
      <c r="P215" s="136"/>
      <c r="Q215" s="136"/>
      <c r="R215" s="136"/>
      <c r="S215" s="136"/>
      <c r="T215" s="136"/>
      <c r="U215" s="136"/>
    </row>
    <row r="216" spans="13:21" x14ac:dyDescent="0.35">
      <c r="M216" s="135"/>
      <c r="N216" s="136"/>
      <c r="O216" s="136"/>
      <c r="P216" s="136"/>
      <c r="Q216" s="136"/>
      <c r="R216" s="136"/>
      <c r="S216" s="136"/>
      <c r="T216" s="136"/>
      <c r="U216" s="136"/>
    </row>
    <row r="217" spans="13:21" x14ac:dyDescent="0.35">
      <c r="M217" s="135"/>
      <c r="N217" s="136"/>
      <c r="O217" s="136"/>
      <c r="P217" s="136"/>
      <c r="Q217" s="136"/>
      <c r="R217" s="136"/>
      <c r="S217" s="136"/>
      <c r="T217" s="136"/>
      <c r="U217" s="136"/>
    </row>
    <row r="218" spans="13:21" x14ac:dyDescent="0.35">
      <c r="M218" s="135"/>
      <c r="N218" s="136"/>
      <c r="O218" s="136"/>
      <c r="P218" s="136"/>
      <c r="Q218" s="136"/>
      <c r="R218" s="136"/>
      <c r="S218" s="136"/>
      <c r="T218" s="136"/>
      <c r="U218" s="136"/>
    </row>
    <row r="219" spans="13:21" x14ac:dyDescent="0.35">
      <c r="M219" s="135"/>
      <c r="N219" s="136"/>
      <c r="O219" s="136"/>
      <c r="P219" s="136"/>
      <c r="Q219" s="136"/>
      <c r="R219" s="136"/>
      <c r="S219" s="136"/>
      <c r="T219" s="136"/>
      <c r="U219" s="136"/>
    </row>
    <row r="220" spans="13:21" x14ac:dyDescent="0.35">
      <c r="M220" s="135"/>
      <c r="N220" s="136"/>
      <c r="O220" s="136"/>
      <c r="P220" s="136"/>
      <c r="Q220" s="136"/>
      <c r="R220" s="136"/>
      <c r="S220" s="136"/>
      <c r="T220" s="136"/>
      <c r="U220" s="136"/>
    </row>
    <row r="221" spans="13:21" x14ac:dyDescent="0.35">
      <c r="M221" s="135"/>
      <c r="N221" s="136"/>
      <c r="O221" s="136"/>
      <c r="P221" s="136"/>
      <c r="Q221" s="136"/>
      <c r="R221" s="136"/>
      <c r="S221" s="136"/>
      <c r="T221" s="136"/>
      <c r="U221" s="136"/>
    </row>
    <row r="222" spans="13:21" x14ac:dyDescent="0.35">
      <c r="M222" s="135"/>
      <c r="N222" s="136"/>
      <c r="O222" s="136"/>
      <c r="P222" s="136"/>
      <c r="Q222" s="136"/>
      <c r="R222" s="136"/>
      <c r="S222" s="136"/>
      <c r="T222" s="136"/>
      <c r="U222" s="136"/>
    </row>
    <row r="223" spans="13:21" x14ac:dyDescent="0.35">
      <c r="M223" s="135"/>
      <c r="N223" s="136"/>
      <c r="O223" s="136"/>
      <c r="P223" s="136"/>
      <c r="Q223" s="136"/>
      <c r="R223" s="136"/>
      <c r="S223" s="136"/>
      <c r="T223" s="136"/>
      <c r="U223" s="136"/>
    </row>
    <row r="224" spans="13:21" x14ac:dyDescent="0.35">
      <c r="M224" s="135"/>
      <c r="N224" s="136"/>
      <c r="O224" s="136"/>
      <c r="P224" s="136"/>
      <c r="Q224" s="136"/>
      <c r="R224" s="136"/>
      <c r="S224" s="136"/>
      <c r="T224" s="136"/>
      <c r="U224" s="136"/>
    </row>
    <row r="225" spans="13:21" x14ac:dyDescent="0.35">
      <c r="M225" s="135"/>
      <c r="N225" s="136"/>
      <c r="O225" s="136"/>
      <c r="P225" s="136"/>
      <c r="Q225" s="136"/>
      <c r="R225" s="136"/>
      <c r="S225" s="136"/>
      <c r="T225" s="136"/>
      <c r="U225" s="136"/>
    </row>
    <row r="226" spans="13:21" x14ac:dyDescent="0.35">
      <c r="M226" s="135"/>
      <c r="N226" s="136"/>
      <c r="O226" s="136"/>
      <c r="P226" s="136"/>
      <c r="Q226" s="136"/>
      <c r="R226" s="136"/>
      <c r="S226" s="136"/>
      <c r="T226" s="136"/>
      <c r="U226" s="136"/>
    </row>
    <row r="227" spans="13:21" x14ac:dyDescent="0.35">
      <c r="M227" s="135"/>
      <c r="N227" s="136"/>
      <c r="O227" s="136"/>
      <c r="P227" s="136"/>
      <c r="Q227" s="136"/>
      <c r="R227" s="136"/>
      <c r="S227" s="136"/>
      <c r="T227" s="136"/>
      <c r="U227" s="136"/>
    </row>
    <row r="228" spans="13:21" x14ac:dyDescent="0.35">
      <c r="M228" s="135"/>
      <c r="N228" s="136"/>
      <c r="O228" s="136"/>
      <c r="P228" s="136"/>
      <c r="Q228" s="136"/>
      <c r="R228" s="136"/>
      <c r="S228" s="136"/>
      <c r="T228" s="136"/>
      <c r="U228" s="136"/>
    </row>
    <row r="229" spans="13:21" x14ac:dyDescent="0.35">
      <c r="M229" s="135"/>
      <c r="N229" s="136"/>
      <c r="O229" s="136"/>
      <c r="P229" s="136"/>
      <c r="Q229" s="136"/>
      <c r="R229" s="136"/>
      <c r="S229" s="136"/>
      <c r="T229" s="136"/>
      <c r="U229" s="136"/>
    </row>
    <row r="230" spans="13:21" x14ac:dyDescent="0.35">
      <c r="M230" s="135"/>
      <c r="N230" s="136"/>
      <c r="O230" s="136"/>
      <c r="P230" s="136"/>
      <c r="Q230" s="136"/>
      <c r="R230" s="136"/>
      <c r="S230" s="136"/>
      <c r="T230" s="136"/>
      <c r="U230" s="136"/>
    </row>
    <row r="231" spans="13:21" x14ac:dyDescent="0.35">
      <c r="M231" s="135"/>
      <c r="N231" s="136"/>
      <c r="O231" s="136"/>
      <c r="P231" s="136"/>
      <c r="Q231" s="136"/>
      <c r="R231" s="136"/>
      <c r="S231" s="136"/>
      <c r="T231" s="136"/>
      <c r="U231" s="136"/>
    </row>
    <row r="232" spans="13:21" x14ac:dyDescent="0.35">
      <c r="M232" s="135"/>
      <c r="N232" s="136"/>
      <c r="O232" s="136"/>
      <c r="P232" s="136"/>
      <c r="Q232" s="136"/>
      <c r="R232" s="136"/>
      <c r="S232" s="136"/>
      <c r="T232" s="136"/>
      <c r="U232" s="136"/>
    </row>
    <row r="233" spans="13:21" x14ac:dyDescent="0.35">
      <c r="M233" s="135"/>
      <c r="N233" s="136"/>
      <c r="O233" s="136"/>
      <c r="P233" s="136"/>
      <c r="Q233" s="136"/>
      <c r="R233" s="136"/>
      <c r="S233" s="136"/>
      <c r="T233" s="136"/>
      <c r="U233" s="136"/>
    </row>
    <row r="234" spans="13:21" x14ac:dyDescent="0.35">
      <c r="M234" s="135"/>
      <c r="N234" s="136"/>
      <c r="O234" s="136"/>
      <c r="P234" s="136"/>
      <c r="Q234" s="136"/>
      <c r="R234" s="136"/>
      <c r="S234" s="136"/>
      <c r="T234" s="136"/>
      <c r="U234" s="136"/>
    </row>
    <row r="235" spans="13:21" x14ac:dyDescent="0.35">
      <c r="M235" s="135"/>
      <c r="N235" s="136"/>
      <c r="O235" s="136"/>
      <c r="P235" s="136"/>
      <c r="Q235" s="136"/>
      <c r="R235" s="136"/>
      <c r="S235" s="136"/>
      <c r="T235" s="136"/>
      <c r="U235" s="136"/>
    </row>
    <row r="236" spans="13:21" x14ac:dyDescent="0.35">
      <c r="M236" s="135"/>
      <c r="N236" s="136"/>
      <c r="O236" s="136"/>
      <c r="P236" s="136"/>
      <c r="Q236" s="136"/>
      <c r="R236" s="136"/>
      <c r="S236" s="136"/>
      <c r="T236" s="136"/>
      <c r="U236" s="136"/>
    </row>
    <row r="237" spans="13:21" x14ac:dyDescent="0.35">
      <c r="M237" s="135"/>
      <c r="N237" s="136"/>
      <c r="O237" s="136"/>
      <c r="P237" s="136"/>
      <c r="Q237" s="136"/>
      <c r="R237" s="136"/>
      <c r="S237" s="136"/>
      <c r="T237" s="136"/>
      <c r="U237" s="136"/>
    </row>
    <row r="238" spans="13:21" x14ac:dyDescent="0.35">
      <c r="M238" s="135"/>
      <c r="N238" s="136"/>
      <c r="O238" s="136"/>
      <c r="P238" s="136"/>
      <c r="Q238" s="136"/>
      <c r="R238" s="136"/>
      <c r="S238" s="136"/>
      <c r="T238" s="136"/>
      <c r="U238" s="136"/>
    </row>
    <row r="239" spans="13:21" x14ac:dyDescent="0.35">
      <c r="M239" s="135"/>
      <c r="N239" s="136"/>
      <c r="O239" s="136"/>
      <c r="P239" s="136"/>
      <c r="Q239" s="136"/>
      <c r="R239" s="136"/>
      <c r="S239" s="136"/>
      <c r="T239" s="136"/>
      <c r="U239" s="136"/>
    </row>
    <row r="240" spans="13:21" x14ac:dyDescent="0.35">
      <c r="M240" s="135"/>
      <c r="N240" s="136"/>
      <c r="O240" s="136"/>
      <c r="P240" s="136"/>
      <c r="Q240" s="136"/>
      <c r="R240" s="136"/>
      <c r="S240" s="136"/>
      <c r="T240" s="136"/>
      <c r="U240" s="136"/>
    </row>
    <row r="241" spans="13:21" x14ac:dyDescent="0.35">
      <c r="M241" s="135"/>
      <c r="N241" s="136"/>
      <c r="O241" s="136"/>
      <c r="P241" s="136"/>
      <c r="Q241" s="136"/>
      <c r="R241" s="136"/>
      <c r="S241" s="136"/>
      <c r="T241" s="136"/>
      <c r="U241" s="136"/>
    </row>
    <row r="242" spans="13:21" x14ac:dyDescent="0.35">
      <c r="M242" s="135"/>
      <c r="N242" s="136"/>
      <c r="O242" s="136"/>
      <c r="P242" s="136"/>
      <c r="Q242" s="136"/>
      <c r="R242" s="136"/>
      <c r="S242" s="136"/>
      <c r="T242" s="136"/>
      <c r="U242" s="136"/>
    </row>
    <row r="243" spans="13:21" x14ac:dyDescent="0.35">
      <c r="M243" s="135"/>
      <c r="N243" s="136"/>
      <c r="O243" s="136"/>
      <c r="P243" s="136"/>
      <c r="Q243" s="136"/>
      <c r="R243" s="136"/>
      <c r="S243" s="136"/>
      <c r="T243" s="136"/>
      <c r="U243" s="136"/>
    </row>
    <row r="244" spans="13:21" x14ac:dyDescent="0.35">
      <c r="M244" s="135"/>
      <c r="N244" s="136"/>
      <c r="O244" s="136"/>
      <c r="P244" s="136"/>
      <c r="Q244" s="136"/>
      <c r="R244" s="136"/>
      <c r="S244" s="136"/>
      <c r="T244" s="136"/>
      <c r="U244" s="136"/>
    </row>
    <row r="245" spans="13:21" x14ac:dyDescent="0.35">
      <c r="M245" s="135"/>
      <c r="N245" s="136"/>
      <c r="O245" s="136"/>
      <c r="P245" s="136"/>
      <c r="Q245" s="136"/>
      <c r="R245" s="136"/>
      <c r="S245" s="136"/>
      <c r="T245" s="136"/>
      <c r="U245" s="136"/>
    </row>
    <row r="246" spans="13:21" x14ac:dyDescent="0.35">
      <c r="M246" s="135"/>
      <c r="N246" s="136"/>
      <c r="O246" s="136"/>
      <c r="P246" s="136"/>
      <c r="Q246" s="136"/>
      <c r="R246" s="136"/>
      <c r="S246" s="136"/>
      <c r="T246" s="136"/>
      <c r="U246" s="136"/>
    </row>
    <row r="247" spans="13:21" x14ac:dyDescent="0.35">
      <c r="M247" s="135"/>
      <c r="N247" s="136"/>
      <c r="O247" s="136"/>
      <c r="P247" s="136"/>
      <c r="Q247" s="136"/>
      <c r="R247" s="136"/>
      <c r="S247" s="136"/>
      <c r="T247" s="136"/>
      <c r="U247" s="136"/>
    </row>
    <row r="248" spans="13:21" x14ac:dyDescent="0.35">
      <c r="M248" s="135"/>
      <c r="N248" s="136"/>
      <c r="O248" s="136"/>
      <c r="P248" s="136"/>
      <c r="Q248" s="136"/>
      <c r="R248" s="136"/>
      <c r="S248" s="136"/>
      <c r="T248" s="136"/>
      <c r="U248" s="136"/>
    </row>
    <row r="249" spans="13:21" x14ac:dyDescent="0.35">
      <c r="M249" s="135"/>
      <c r="N249" s="136"/>
      <c r="O249" s="136"/>
      <c r="P249" s="136"/>
      <c r="Q249" s="136"/>
      <c r="R249" s="136"/>
      <c r="S249" s="136"/>
      <c r="T249" s="136"/>
      <c r="U249" s="136"/>
    </row>
    <row r="250" spans="13:21" x14ac:dyDescent="0.35">
      <c r="M250" s="135"/>
      <c r="N250" s="136"/>
      <c r="O250" s="136"/>
      <c r="P250" s="136"/>
      <c r="Q250" s="136"/>
      <c r="R250" s="136"/>
      <c r="S250" s="136"/>
      <c r="T250" s="136"/>
      <c r="U250" s="136"/>
    </row>
    <row r="251" spans="13:21" x14ac:dyDescent="0.35">
      <c r="M251" s="135"/>
      <c r="N251" s="136"/>
      <c r="O251" s="136"/>
      <c r="P251" s="136"/>
      <c r="Q251" s="136"/>
      <c r="R251" s="136"/>
      <c r="S251" s="136"/>
      <c r="T251" s="136"/>
      <c r="U251" s="136"/>
    </row>
    <row r="252" spans="13:21" x14ac:dyDescent="0.35">
      <c r="M252" s="135"/>
      <c r="N252" s="136"/>
      <c r="O252" s="136"/>
      <c r="P252" s="136"/>
      <c r="Q252" s="136"/>
      <c r="R252" s="136"/>
      <c r="S252" s="136"/>
      <c r="T252" s="136"/>
      <c r="U252" s="136"/>
    </row>
    <row r="253" spans="13:21" x14ac:dyDescent="0.35">
      <c r="M253" s="135"/>
      <c r="N253" s="136"/>
      <c r="O253" s="136"/>
      <c r="P253" s="136"/>
      <c r="Q253" s="136"/>
      <c r="R253" s="136"/>
      <c r="S253" s="136"/>
      <c r="T253" s="136"/>
      <c r="U253" s="136"/>
    </row>
    <row r="254" spans="13:21" x14ac:dyDescent="0.35">
      <c r="M254" s="135"/>
      <c r="N254" s="136"/>
      <c r="O254" s="136"/>
      <c r="P254" s="136"/>
      <c r="Q254" s="136"/>
      <c r="R254" s="136"/>
      <c r="S254" s="136"/>
      <c r="T254" s="136"/>
      <c r="U254" s="136"/>
    </row>
    <row r="255" spans="13:21" x14ac:dyDescent="0.35">
      <c r="M255" s="135"/>
      <c r="N255" s="136"/>
      <c r="O255" s="136"/>
      <c r="P255" s="136"/>
      <c r="Q255" s="136"/>
      <c r="R255" s="136"/>
      <c r="S255" s="136"/>
      <c r="T255" s="136"/>
      <c r="U255" s="136"/>
    </row>
    <row r="256" spans="13:21" x14ac:dyDescent="0.35">
      <c r="M256" s="135"/>
      <c r="N256" s="136"/>
      <c r="O256" s="136"/>
      <c r="P256" s="136"/>
      <c r="Q256" s="136"/>
      <c r="R256" s="136"/>
      <c r="S256" s="136"/>
      <c r="T256" s="136"/>
      <c r="U256" s="136"/>
    </row>
    <row r="257" spans="13:21" x14ac:dyDescent="0.35">
      <c r="M257" s="135"/>
      <c r="N257" s="136"/>
      <c r="O257" s="136"/>
      <c r="P257" s="136"/>
      <c r="Q257" s="136"/>
      <c r="R257" s="136"/>
      <c r="S257" s="136"/>
      <c r="T257" s="136"/>
      <c r="U257" s="136"/>
    </row>
    <row r="258" spans="13:21" x14ac:dyDescent="0.35">
      <c r="M258" s="135"/>
      <c r="N258" s="136"/>
      <c r="O258" s="136"/>
      <c r="P258" s="136"/>
      <c r="Q258" s="136"/>
      <c r="R258" s="136"/>
      <c r="S258" s="136"/>
      <c r="T258" s="136"/>
      <c r="U258" s="136"/>
    </row>
    <row r="259" spans="13:21" x14ac:dyDescent="0.35">
      <c r="M259" s="135"/>
      <c r="N259" s="136"/>
      <c r="O259" s="136"/>
      <c r="P259" s="136"/>
      <c r="Q259" s="136"/>
      <c r="R259" s="136"/>
      <c r="S259" s="136"/>
      <c r="T259" s="136"/>
      <c r="U259" s="136"/>
    </row>
    <row r="260" spans="13:21" x14ac:dyDescent="0.35">
      <c r="M260" s="135"/>
      <c r="N260" s="136"/>
      <c r="O260" s="136"/>
      <c r="P260" s="136"/>
      <c r="Q260" s="136"/>
      <c r="R260" s="136"/>
      <c r="S260" s="136"/>
      <c r="T260" s="136"/>
      <c r="U260" s="136"/>
    </row>
    <row r="261" spans="13:21" x14ac:dyDescent="0.35">
      <c r="M261" s="135"/>
      <c r="N261" s="136"/>
      <c r="O261" s="136"/>
      <c r="P261" s="136"/>
      <c r="Q261" s="136"/>
      <c r="R261" s="136"/>
      <c r="S261" s="136"/>
      <c r="T261" s="136"/>
      <c r="U261" s="136"/>
    </row>
    <row r="262" spans="13:21" x14ac:dyDescent="0.35">
      <c r="M262" s="135"/>
      <c r="N262" s="136"/>
      <c r="O262" s="136"/>
      <c r="P262" s="136"/>
      <c r="Q262" s="136"/>
      <c r="R262" s="136"/>
      <c r="S262" s="136"/>
      <c r="T262" s="136"/>
      <c r="U262" s="136"/>
    </row>
    <row r="263" spans="13:21" x14ac:dyDescent="0.35">
      <c r="M263" s="135"/>
      <c r="N263" s="136"/>
      <c r="O263" s="136"/>
      <c r="P263" s="136"/>
      <c r="Q263" s="136"/>
      <c r="R263" s="136"/>
      <c r="S263" s="136"/>
      <c r="T263" s="136"/>
      <c r="U263" s="136"/>
    </row>
    <row r="264" spans="13:21" x14ac:dyDescent="0.35">
      <c r="M264" s="135"/>
      <c r="N264" s="136"/>
      <c r="O264" s="136"/>
      <c r="P264" s="136"/>
      <c r="Q264" s="136"/>
      <c r="R264" s="136"/>
      <c r="S264" s="136"/>
      <c r="T264" s="136"/>
      <c r="U264" s="136"/>
    </row>
    <row r="265" spans="13:21" x14ac:dyDescent="0.35">
      <c r="M265" s="135"/>
      <c r="N265" s="136"/>
      <c r="O265" s="136"/>
      <c r="P265" s="136"/>
      <c r="Q265" s="136"/>
      <c r="R265" s="136"/>
      <c r="S265" s="136"/>
      <c r="T265" s="136"/>
      <c r="U265" s="136"/>
    </row>
    <row r="266" spans="13:21" x14ac:dyDescent="0.35">
      <c r="M266" s="135"/>
      <c r="N266" s="136"/>
      <c r="O266" s="136"/>
      <c r="P266" s="136"/>
      <c r="Q266" s="136"/>
      <c r="R266" s="136"/>
      <c r="S266" s="136"/>
      <c r="T266" s="136"/>
      <c r="U266" s="136"/>
    </row>
    <row r="267" spans="13:21" x14ac:dyDescent="0.35">
      <c r="M267" s="135"/>
      <c r="N267" s="136"/>
      <c r="O267" s="136"/>
      <c r="P267" s="136"/>
      <c r="Q267" s="136"/>
      <c r="R267" s="136"/>
      <c r="S267" s="136"/>
      <c r="T267" s="136"/>
      <c r="U267" s="136"/>
    </row>
    <row r="268" spans="13:21" x14ac:dyDescent="0.35">
      <c r="M268" s="135"/>
      <c r="N268" s="136"/>
      <c r="O268" s="136"/>
      <c r="P268" s="136"/>
      <c r="Q268" s="136"/>
      <c r="R268" s="136"/>
      <c r="S268" s="136"/>
      <c r="T268" s="136"/>
      <c r="U268" s="136"/>
    </row>
    <row r="269" spans="13:21" x14ac:dyDescent="0.35">
      <c r="M269" s="135"/>
      <c r="N269" s="136"/>
      <c r="O269" s="136"/>
      <c r="P269" s="136"/>
      <c r="Q269" s="136"/>
      <c r="R269" s="136"/>
      <c r="S269" s="136"/>
      <c r="T269" s="136"/>
      <c r="U269" s="136"/>
    </row>
    <row r="270" spans="13:21" x14ac:dyDescent="0.35">
      <c r="M270" s="135"/>
      <c r="N270" s="136"/>
      <c r="O270" s="136"/>
      <c r="P270" s="136"/>
      <c r="Q270" s="136"/>
      <c r="R270" s="136"/>
      <c r="S270" s="136"/>
      <c r="T270" s="136"/>
      <c r="U270" s="136"/>
    </row>
    <row r="271" spans="13:21" x14ac:dyDescent="0.35">
      <c r="M271" s="135"/>
      <c r="N271" s="136"/>
      <c r="O271" s="136"/>
      <c r="P271" s="136"/>
      <c r="Q271" s="136"/>
      <c r="R271" s="136"/>
      <c r="S271" s="136"/>
      <c r="T271" s="136"/>
      <c r="U271" s="136"/>
    </row>
    <row r="272" spans="13:21" x14ac:dyDescent="0.35">
      <c r="M272" s="135"/>
      <c r="N272" s="136"/>
      <c r="O272" s="136"/>
      <c r="P272" s="136"/>
      <c r="Q272" s="136"/>
      <c r="R272" s="136"/>
      <c r="S272" s="136"/>
      <c r="T272" s="136"/>
      <c r="U272" s="136"/>
    </row>
    <row r="273" spans="13:21" x14ac:dyDescent="0.35">
      <c r="M273" s="135"/>
      <c r="N273" s="136"/>
      <c r="O273" s="136"/>
      <c r="P273" s="136"/>
      <c r="Q273" s="136"/>
      <c r="R273" s="136"/>
      <c r="S273" s="136"/>
      <c r="T273" s="136"/>
      <c r="U273" s="136"/>
    </row>
    <row r="274" spans="13:21" x14ac:dyDescent="0.35">
      <c r="M274" s="135"/>
      <c r="N274" s="136"/>
      <c r="O274" s="136"/>
      <c r="P274" s="136"/>
      <c r="Q274" s="136"/>
      <c r="R274" s="136"/>
      <c r="S274" s="136"/>
      <c r="T274" s="136"/>
      <c r="U274" s="136"/>
    </row>
    <row r="275" spans="13:21" x14ac:dyDescent="0.35">
      <c r="M275" s="135"/>
      <c r="N275" s="136"/>
      <c r="O275" s="136"/>
      <c r="P275" s="136"/>
      <c r="Q275" s="136"/>
      <c r="R275" s="136"/>
      <c r="S275" s="136"/>
      <c r="T275" s="136"/>
      <c r="U275" s="136"/>
    </row>
    <row r="276" spans="13:21" x14ac:dyDescent="0.35">
      <c r="M276" s="135"/>
      <c r="N276" s="136"/>
      <c r="O276" s="136"/>
      <c r="P276" s="136"/>
      <c r="Q276" s="136"/>
      <c r="R276" s="136"/>
      <c r="S276" s="136"/>
      <c r="T276" s="136"/>
      <c r="U276" s="136"/>
    </row>
    <row r="277" spans="13:21" x14ac:dyDescent="0.35">
      <c r="M277" s="135"/>
      <c r="N277" s="136"/>
      <c r="O277" s="136"/>
      <c r="P277" s="136"/>
      <c r="Q277" s="136"/>
      <c r="R277" s="136"/>
      <c r="S277" s="136"/>
      <c r="T277" s="136"/>
      <c r="U277" s="136"/>
    </row>
    <row r="278" spans="13:21" x14ac:dyDescent="0.35">
      <c r="M278" s="135"/>
      <c r="N278" s="136"/>
      <c r="O278" s="136"/>
      <c r="P278" s="136"/>
      <c r="Q278" s="136"/>
      <c r="R278" s="136"/>
      <c r="S278" s="136"/>
      <c r="T278" s="136"/>
      <c r="U278" s="136"/>
    </row>
    <row r="279" spans="13:21" x14ac:dyDescent="0.35">
      <c r="M279" s="135"/>
      <c r="N279" s="136"/>
      <c r="O279" s="136"/>
      <c r="P279" s="136"/>
      <c r="Q279" s="136"/>
      <c r="R279" s="136"/>
      <c r="S279" s="136"/>
      <c r="T279" s="136"/>
      <c r="U279" s="136"/>
    </row>
    <row r="280" spans="13:21" x14ac:dyDescent="0.35">
      <c r="M280" s="135"/>
      <c r="N280" s="136"/>
      <c r="O280" s="136"/>
      <c r="P280" s="136"/>
      <c r="Q280" s="136"/>
      <c r="R280" s="136"/>
      <c r="S280" s="136"/>
      <c r="T280" s="136"/>
      <c r="U280" s="136"/>
    </row>
    <row r="281" spans="13:21" x14ac:dyDescent="0.35">
      <c r="M281" s="135"/>
      <c r="N281" s="136"/>
      <c r="O281" s="136"/>
      <c r="P281" s="136"/>
      <c r="Q281" s="136"/>
      <c r="R281" s="136"/>
      <c r="S281" s="136"/>
      <c r="T281" s="136"/>
      <c r="U281" s="136"/>
    </row>
    <row r="282" spans="13:21" x14ac:dyDescent="0.35">
      <c r="M282" s="135"/>
      <c r="N282" s="136"/>
      <c r="O282" s="136"/>
      <c r="P282" s="136"/>
      <c r="Q282" s="136"/>
      <c r="R282" s="136"/>
      <c r="S282" s="136"/>
      <c r="T282" s="136"/>
      <c r="U282" s="136"/>
    </row>
    <row r="283" spans="13:21" x14ac:dyDescent="0.35">
      <c r="M283" s="135"/>
      <c r="N283" s="136"/>
      <c r="O283" s="136"/>
      <c r="P283" s="136"/>
      <c r="Q283" s="136"/>
      <c r="R283" s="136"/>
      <c r="S283" s="136"/>
      <c r="T283" s="136"/>
      <c r="U283" s="136"/>
    </row>
    <row r="284" spans="13:21" x14ac:dyDescent="0.35">
      <c r="M284" s="135"/>
      <c r="N284" s="136"/>
      <c r="O284" s="136"/>
      <c r="P284" s="136"/>
      <c r="Q284" s="136"/>
      <c r="R284" s="136"/>
      <c r="S284" s="136"/>
      <c r="T284" s="136"/>
      <c r="U284" s="136"/>
    </row>
    <row r="285" spans="13:21" x14ac:dyDescent="0.35">
      <c r="M285" s="135"/>
      <c r="N285" s="136"/>
      <c r="O285" s="136"/>
      <c r="P285" s="136"/>
      <c r="Q285" s="136"/>
      <c r="R285" s="136"/>
      <c r="S285" s="136"/>
      <c r="T285" s="136"/>
      <c r="U285" s="136"/>
    </row>
    <row r="286" spans="13:21" x14ac:dyDescent="0.35">
      <c r="M286" s="135"/>
      <c r="N286" s="136"/>
      <c r="O286" s="136"/>
      <c r="P286" s="136"/>
      <c r="Q286" s="136"/>
      <c r="R286" s="136"/>
      <c r="S286" s="136"/>
      <c r="T286" s="136"/>
      <c r="U286" s="136"/>
    </row>
    <row r="287" spans="13:21" x14ac:dyDescent="0.35">
      <c r="M287" s="135"/>
      <c r="N287" s="136"/>
      <c r="O287" s="136"/>
      <c r="P287" s="136"/>
      <c r="Q287" s="136"/>
      <c r="R287" s="136"/>
      <c r="S287" s="136"/>
      <c r="T287" s="136"/>
      <c r="U287" s="136"/>
    </row>
    <row r="288" spans="13:21" x14ac:dyDescent="0.35">
      <c r="M288" s="135"/>
      <c r="N288" s="136"/>
      <c r="O288" s="136"/>
      <c r="P288" s="136"/>
      <c r="Q288" s="136"/>
      <c r="R288" s="136"/>
      <c r="S288" s="136"/>
      <c r="T288" s="136"/>
      <c r="U288" s="136"/>
    </row>
    <row r="289" spans="13:21" x14ac:dyDescent="0.35">
      <c r="M289" s="135"/>
      <c r="N289" s="136"/>
      <c r="O289" s="136"/>
      <c r="P289" s="136"/>
      <c r="Q289" s="136"/>
      <c r="R289" s="136"/>
      <c r="S289" s="136"/>
      <c r="T289" s="136"/>
      <c r="U289" s="136"/>
    </row>
    <row r="290" spans="13:21" x14ac:dyDescent="0.35">
      <c r="M290" s="135"/>
      <c r="N290" s="136"/>
      <c r="O290" s="136"/>
      <c r="P290" s="136"/>
      <c r="Q290" s="136"/>
      <c r="R290" s="136"/>
      <c r="S290" s="136"/>
      <c r="T290" s="136"/>
      <c r="U290" s="136"/>
    </row>
    <row r="291" spans="13:21" x14ac:dyDescent="0.35">
      <c r="M291" s="135"/>
      <c r="N291" s="136"/>
      <c r="O291" s="136"/>
      <c r="P291" s="136"/>
      <c r="Q291" s="136"/>
      <c r="R291" s="136"/>
      <c r="S291" s="136"/>
      <c r="T291" s="136"/>
      <c r="U291" s="136"/>
    </row>
    <row r="292" spans="13:21" x14ac:dyDescent="0.35">
      <c r="M292" s="135"/>
      <c r="N292" s="136"/>
      <c r="O292" s="136"/>
      <c r="P292" s="136"/>
      <c r="Q292" s="136"/>
      <c r="R292" s="136"/>
      <c r="S292" s="136"/>
      <c r="T292" s="136"/>
      <c r="U292" s="136"/>
    </row>
    <row r="293" spans="13:21" x14ac:dyDescent="0.35">
      <c r="M293" s="135"/>
      <c r="N293" s="136"/>
      <c r="O293" s="136"/>
      <c r="P293" s="136"/>
      <c r="Q293" s="136"/>
      <c r="R293" s="136"/>
      <c r="S293" s="136"/>
      <c r="T293" s="136"/>
      <c r="U293" s="136"/>
    </row>
    <row r="294" spans="13:21" x14ac:dyDescent="0.35">
      <c r="M294" s="135"/>
      <c r="N294" s="136"/>
      <c r="O294" s="136"/>
      <c r="P294" s="136"/>
      <c r="Q294" s="136"/>
      <c r="R294" s="136"/>
      <c r="S294" s="136"/>
      <c r="T294" s="136"/>
      <c r="U294" s="136"/>
    </row>
    <row r="295" spans="13:21" x14ac:dyDescent="0.35">
      <c r="M295" s="135"/>
      <c r="N295" s="136"/>
      <c r="O295" s="136"/>
      <c r="P295" s="136"/>
      <c r="Q295" s="136"/>
      <c r="R295" s="136"/>
      <c r="S295" s="136"/>
      <c r="T295" s="136"/>
      <c r="U295" s="136"/>
    </row>
    <row r="296" spans="13:21" x14ac:dyDescent="0.35">
      <c r="M296" s="135"/>
      <c r="N296" s="136"/>
      <c r="O296" s="136"/>
      <c r="P296" s="136"/>
      <c r="Q296" s="136"/>
      <c r="R296" s="136"/>
      <c r="S296" s="136"/>
      <c r="T296" s="136"/>
      <c r="U296" s="136"/>
    </row>
    <row r="297" spans="13:21" x14ac:dyDescent="0.35">
      <c r="M297" s="135"/>
      <c r="N297" s="136"/>
      <c r="O297" s="136"/>
      <c r="P297" s="136"/>
      <c r="Q297" s="136"/>
      <c r="R297" s="136"/>
      <c r="S297" s="136"/>
      <c r="T297" s="136"/>
      <c r="U297" s="136"/>
    </row>
    <row r="298" spans="13:21" x14ac:dyDescent="0.35">
      <c r="M298" s="135"/>
      <c r="N298" s="136"/>
      <c r="O298" s="136"/>
      <c r="P298" s="136"/>
      <c r="Q298" s="136"/>
      <c r="R298" s="136"/>
      <c r="S298" s="136"/>
      <c r="T298" s="136"/>
      <c r="U298" s="136"/>
    </row>
    <row r="299" spans="13:21" x14ac:dyDescent="0.35">
      <c r="M299" s="135"/>
      <c r="N299" s="136"/>
      <c r="O299" s="136"/>
      <c r="P299" s="136"/>
      <c r="Q299" s="136"/>
      <c r="R299" s="136"/>
      <c r="S299" s="136"/>
      <c r="T299" s="136"/>
      <c r="U299" s="136"/>
    </row>
    <row r="300" spans="13:21" x14ac:dyDescent="0.35">
      <c r="M300" s="135"/>
      <c r="N300" s="136"/>
      <c r="O300" s="136"/>
      <c r="P300" s="136"/>
      <c r="Q300" s="136"/>
      <c r="R300" s="136"/>
      <c r="S300" s="136"/>
      <c r="T300" s="136"/>
      <c r="U300" s="136"/>
    </row>
    <row r="301" spans="13:21" x14ac:dyDescent="0.35">
      <c r="M301" s="135"/>
      <c r="N301" s="136"/>
      <c r="O301" s="136"/>
      <c r="P301" s="136"/>
      <c r="Q301" s="136"/>
      <c r="R301" s="136"/>
      <c r="S301" s="136"/>
      <c r="T301" s="136"/>
      <c r="U301" s="136"/>
    </row>
    <row r="302" spans="13:21" x14ac:dyDescent="0.35">
      <c r="M302" s="135"/>
      <c r="N302" s="136"/>
      <c r="O302" s="136"/>
      <c r="P302" s="136"/>
      <c r="Q302" s="136"/>
      <c r="R302" s="136"/>
      <c r="S302" s="136"/>
      <c r="T302" s="136"/>
      <c r="U302" s="136"/>
    </row>
    <row r="303" spans="13:21" x14ac:dyDescent="0.35">
      <c r="M303" s="135"/>
      <c r="N303" s="136"/>
      <c r="O303" s="136"/>
      <c r="P303" s="136"/>
      <c r="Q303" s="136"/>
      <c r="R303" s="136"/>
      <c r="S303" s="136"/>
      <c r="T303" s="136"/>
      <c r="U303" s="136"/>
    </row>
    <row r="304" spans="13:21" x14ac:dyDescent="0.35">
      <c r="M304" s="135"/>
      <c r="N304" s="136"/>
      <c r="O304" s="136"/>
      <c r="P304" s="136"/>
      <c r="Q304" s="136"/>
      <c r="R304" s="136"/>
      <c r="S304" s="136"/>
      <c r="T304" s="136"/>
      <c r="U304" s="136"/>
    </row>
    <row r="305" spans="13:21" x14ac:dyDescent="0.35">
      <c r="M305" s="135"/>
      <c r="N305" s="136"/>
      <c r="O305" s="136"/>
      <c r="P305" s="136"/>
      <c r="Q305" s="136"/>
      <c r="R305" s="136"/>
      <c r="S305" s="136"/>
      <c r="T305" s="136"/>
      <c r="U305" s="136"/>
    </row>
    <row r="306" spans="13:21" x14ac:dyDescent="0.35">
      <c r="M306" s="135"/>
      <c r="N306" s="136"/>
      <c r="O306" s="136"/>
      <c r="P306" s="136"/>
      <c r="Q306" s="136"/>
      <c r="R306" s="136"/>
      <c r="S306" s="136"/>
      <c r="T306" s="136"/>
      <c r="U306" s="136"/>
    </row>
    <row r="307" spans="13:21" x14ac:dyDescent="0.35">
      <c r="M307" s="135"/>
      <c r="N307" s="136"/>
      <c r="O307" s="136"/>
      <c r="P307" s="136"/>
      <c r="Q307" s="136"/>
      <c r="R307" s="136"/>
      <c r="S307" s="136"/>
      <c r="T307" s="136"/>
      <c r="U307" s="136"/>
    </row>
    <row r="308" spans="13:21" x14ac:dyDescent="0.35">
      <c r="M308" s="135"/>
      <c r="N308" s="136"/>
      <c r="O308" s="136"/>
      <c r="P308" s="136"/>
      <c r="Q308" s="136"/>
      <c r="R308" s="136"/>
      <c r="S308" s="136"/>
      <c r="T308" s="136"/>
      <c r="U308" s="136"/>
    </row>
    <row r="309" spans="13:21" x14ac:dyDescent="0.35">
      <c r="M309" s="135"/>
      <c r="N309" s="136"/>
      <c r="O309" s="136"/>
      <c r="P309" s="136"/>
      <c r="Q309" s="136"/>
      <c r="R309" s="136"/>
      <c r="S309" s="136"/>
      <c r="T309" s="136"/>
      <c r="U309" s="136"/>
    </row>
    <row r="310" spans="13:21" x14ac:dyDescent="0.35">
      <c r="M310" s="135"/>
      <c r="N310" s="136"/>
      <c r="O310" s="136"/>
      <c r="P310" s="136"/>
      <c r="Q310" s="136"/>
      <c r="R310" s="136"/>
      <c r="S310" s="136"/>
      <c r="T310" s="136"/>
      <c r="U310" s="136"/>
    </row>
    <row r="311" spans="13:21" x14ac:dyDescent="0.35">
      <c r="M311" s="135"/>
      <c r="N311" s="136"/>
      <c r="O311" s="136"/>
      <c r="P311" s="136"/>
      <c r="Q311" s="136"/>
      <c r="R311" s="136"/>
      <c r="S311" s="136"/>
      <c r="T311" s="136"/>
      <c r="U311" s="136"/>
    </row>
    <row r="312" spans="13:21" x14ac:dyDescent="0.35">
      <c r="M312" s="135"/>
      <c r="N312" s="136"/>
      <c r="O312" s="136"/>
      <c r="P312" s="136"/>
      <c r="Q312" s="136"/>
      <c r="R312" s="136"/>
      <c r="S312" s="136"/>
      <c r="T312" s="136"/>
      <c r="U312" s="136"/>
    </row>
    <row r="313" spans="13:21" x14ac:dyDescent="0.35">
      <c r="M313" s="135"/>
      <c r="N313" s="136"/>
      <c r="O313" s="136"/>
      <c r="P313" s="136"/>
      <c r="Q313" s="136"/>
      <c r="R313" s="136"/>
      <c r="S313" s="136"/>
      <c r="T313" s="136"/>
      <c r="U313" s="136"/>
    </row>
    <row r="314" spans="13:21" x14ac:dyDescent="0.35">
      <c r="M314" s="135"/>
      <c r="N314" s="136"/>
      <c r="O314" s="136"/>
      <c r="P314" s="136"/>
      <c r="Q314" s="136"/>
      <c r="R314" s="136"/>
      <c r="S314" s="136"/>
      <c r="T314" s="136"/>
      <c r="U314" s="136"/>
    </row>
    <row r="315" spans="13:21" x14ac:dyDescent="0.35">
      <c r="M315" s="135"/>
      <c r="N315" s="136"/>
      <c r="O315" s="136"/>
      <c r="P315" s="136"/>
      <c r="Q315" s="136"/>
      <c r="R315" s="136"/>
      <c r="S315" s="136"/>
      <c r="T315" s="136"/>
      <c r="U315" s="136"/>
    </row>
    <row r="316" spans="13:21" x14ac:dyDescent="0.35">
      <c r="M316" s="135"/>
      <c r="N316" s="136"/>
      <c r="O316" s="136"/>
      <c r="P316" s="136"/>
      <c r="Q316" s="136"/>
      <c r="R316" s="136"/>
      <c r="S316" s="136"/>
      <c r="T316" s="136"/>
      <c r="U316" s="136"/>
    </row>
    <row r="317" spans="13:21" x14ac:dyDescent="0.35">
      <c r="M317" s="135"/>
      <c r="N317" s="136"/>
      <c r="O317" s="136"/>
      <c r="P317" s="136"/>
      <c r="Q317" s="136"/>
      <c r="R317" s="136"/>
      <c r="S317" s="136"/>
      <c r="T317" s="136"/>
      <c r="U317" s="136"/>
    </row>
    <row r="318" spans="13:21" x14ac:dyDescent="0.35">
      <c r="M318" s="135"/>
      <c r="N318" s="136"/>
      <c r="O318" s="136"/>
      <c r="P318" s="136"/>
      <c r="Q318" s="136"/>
      <c r="R318" s="136"/>
      <c r="S318" s="136"/>
      <c r="T318" s="136"/>
      <c r="U318" s="136"/>
    </row>
    <row r="319" spans="13:21" x14ac:dyDescent="0.35">
      <c r="M319" s="135"/>
      <c r="N319" s="136"/>
      <c r="O319" s="136"/>
      <c r="P319" s="136"/>
      <c r="Q319" s="136"/>
      <c r="R319" s="136"/>
      <c r="S319" s="136"/>
      <c r="T319" s="136"/>
      <c r="U319" s="136"/>
    </row>
    <row r="320" spans="13:21" x14ac:dyDescent="0.35">
      <c r="M320" s="135"/>
      <c r="N320" s="136"/>
      <c r="O320" s="136"/>
      <c r="P320" s="136"/>
      <c r="Q320" s="136"/>
      <c r="R320" s="136"/>
      <c r="S320" s="136"/>
      <c r="T320" s="136"/>
      <c r="U320" s="136"/>
    </row>
    <row r="321" spans="13:21" x14ac:dyDescent="0.35">
      <c r="M321" s="135"/>
      <c r="N321" s="136"/>
      <c r="O321" s="136"/>
      <c r="P321" s="136"/>
      <c r="Q321" s="136"/>
      <c r="R321" s="136"/>
      <c r="S321" s="136"/>
      <c r="T321" s="136"/>
      <c r="U321" s="136"/>
    </row>
    <row r="322" spans="13:21" x14ac:dyDescent="0.35">
      <c r="M322" s="135"/>
      <c r="N322" s="136"/>
      <c r="O322" s="136"/>
      <c r="P322" s="136"/>
      <c r="Q322" s="136"/>
      <c r="R322" s="136"/>
      <c r="S322" s="136"/>
      <c r="T322" s="136"/>
      <c r="U322" s="136"/>
    </row>
    <row r="323" spans="13:21" x14ac:dyDescent="0.35">
      <c r="M323" s="135"/>
      <c r="N323" s="136"/>
      <c r="O323" s="136"/>
      <c r="P323" s="136"/>
      <c r="Q323" s="136"/>
      <c r="R323" s="136"/>
      <c r="S323" s="136"/>
      <c r="T323" s="136"/>
      <c r="U323" s="136"/>
    </row>
    <row r="324" spans="13:21" x14ac:dyDescent="0.35">
      <c r="M324" s="135"/>
      <c r="N324" s="136"/>
      <c r="O324" s="136"/>
      <c r="P324" s="136"/>
      <c r="Q324" s="136"/>
      <c r="R324" s="136"/>
      <c r="S324" s="136"/>
      <c r="T324" s="136"/>
      <c r="U324" s="136"/>
    </row>
    <row r="325" spans="13:21" x14ac:dyDescent="0.35">
      <c r="M325" s="135"/>
      <c r="N325" s="136"/>
      <c r="O325" s="136"/>
      <c r="P325" s="136"/>
      <c r="Q325" s="136"/>
      <c r="R325" s="136"/>
      <c r="S325" s="136"/>
      <c r="T325" s="136"/>
      <c r="U325" s="136"/>
    </row>
    <row r="326" spans="13:21" x14ac:dyDescent="0.35">
      <c r="M326" s="135"/>
      <c r="N326" s="136"/>
      <c r="O326" s="136"/>
      <c r="P326" s="136"/>
      <c r="Q326" s="136"/>
      <c r="R326" s="136"/>
      <c r="S326" s="136"/>
      <c r="T326" s="136"/>
      <c r="U326" s="136"/>
    </row>
    <row r="327" spans="13:21" x14ac:dyDescent="0.35">
      <c r="M327" s="135"/>
      <c r="N327" s="136"/>
      <c r="O327" s="136"/>
      <c r="P327" s="136"/>
      <c r="Q327" s="136"/>
      <c r="R327" s="136"/>
      <c r="S327" s="136"/>
      <c r="T327" s="136"/>
      <c r="U327" s="136"/>
    </row>
    <row r="328" spans="13:21" x14ac:dyDescent="0.35">
      <c r="M328" s="135"/>
      <c r="N328" s="136"/>
      <c r="O328" s="136"/>
      <c r="P328" s="136"/>
      <c r="Q328" s="136"/>
      <c r="R328" s="136"/>
      <c r="S328" s="136"/>
      <c r="T328" s="136"/>
      <c r="U328" s="136"/>
    </row>
    <row r="329" spans="13:21" x14ac:dyDescent="0.35">
      <c r="M329" s="135"/>
      <c r="N329" s="136"/>
      <c r="O329" s="136"/>
      <c r="P329" s="136"/>
      <c r="Q329" s="136"/>
      <c r="R329" s="136"/>
      <c r="S329" s="136"/>
      <c r="T329" s="136"/>
      <c r="U329" s="136"/>
    </row>
    <row r="330" spans="13:21" x14ac:dyDescent="0.35">
      <c r="M330" s="135"/>
      <c r="N330" s="136"/>
      <c r="O330" s="136"/>
      <c r="P330" s="136"/>
      <c r="Q330" s="136"/>
      <c r="R330" s="136"/>
      <c r="S330" s="136"/>
      <c r="T330" s="136"/>
      <c r="U330" s="136"/>
    </row>
    <row r="331" spans="13:21" x14ac:dyDescent="0.35">
      <c r="M331" s="135"/>
      <c r="N331" s="136"/>
      <c r="O331" s="136"/>
      <c r="P331" s="136"/>
      <c r="Q331" s="136"/>
      <c r="R331" s="136"/>
      <c r="S331" s="136"/>
      <c r="T331" s="136"/>
      <c r="U331" s="136"/>
    </row>
    <row r="332" spans="13:21" x14ac:dyDescent="0.35">
      <c r="M332" s="135"/>
      <c r="N332" s="136"/>
      <c r="O332" s="136"/>
      <c r="P332" s="136"/>
      <c r="Q332" s="136"/>
      <c r="R332" s="136"/>
      <c r="S332" s="136"/>
      <c r="T332" s="136"/>
      <c r="U332" s="136"/>
    </row>
    <row r="333" spans="13:21" x14ac:dyDescent="0.35">
      <c r="M333" s="135"/>
      <c r="N333" s="136"/>
      <c r="O333" s="136"/>
      <c r="P333" s="136"/>
      <c r="Q333" s="136"/>
      <c r="R333" s="136"/>
      <c r="S333" s="136"/>
      <c r="T333" s="136"/>
      <c r="U333" s="136"/>
    </row>
    <row r="334" spans="13:21" x14ac:dyDescent="0.35">
      <c r="M334" s="135"/>
      <c r="N334" s="136"/>
      <c r="O334" s="136"/>
      <c r="P334" s="136"/>
      <c r="Q334" s="136"/>
      <c r="R334" s="136"/>
      <c r="S334" s="136"/>
      <c r="T334" s="136"/>
      <c r="U334" s="136"/>
    </row>
    <row r="335" spans="13:21" x14ac:dyDescent="0.35">
      <c r="M335" s="135"/>
      <c r="N335" s="136"/>
      <c r="O335" s="136"/>
      <c r="P335" s="136"/>
      <c r="Q335" s="136"/>
      <c r="R335" s="136"/>
      <c r="S335" s="136"/>
      <c r="T335" s="136"/>
      <c r="U335" s="136"/>
    </row>
    <row r="336" spans="13:21" x14ac:dyDescent="0.35">
      <c r="M336" s="135"/>
      <c r="N336" s="136"/>
      <c r="O336" s="136"/>
      <c r="P336" s="136"/>
      <c r="Q336" s="136"/>
      <c r="R336" s="136"/>
      <c r="S336" s="136"/>
      <c r="T336" s="136"/>
      <c r="U336" s="136"/>
    </row>
    <row r="337" spans="13:21" x14ac:dyDescent="0.35">
      <c r="M337" s="135"/>
      <c r="N337" s="136"/>
      <c r="O337" s="136"/>
      <c r="P337" s="136"/>
      <c r="Q337" s="136"/>
      <c r="R337" s="136"/>
      <c r="S337" s="136"/>
      <c r="T337" s="136"/>
      <c r="U337" s="136"/>
    </row>
    <row r="338" spans="13:21" x14ac:dyDescent="0.35">
      <c r="M338" s="135"/>
      <c r="N338" s="136"/>
      <c r="O338" s="136"/>
      <c r="P338" s="136"/>
      <c r="Q338" s="136"/>
      <c r="R338" s="136"/>
      <c r="S338" s="136"/>
      <c r="T338" s="136"/>
      <c r="U338" s="136"/>
    </row>
    <row r="339" spans="13:21" x14ac:dyDescent="0.35">
      <c r="M339" s="135"/>
      <c r="N339" s="136"/>
      <c r="O339" s="136"/>
      <c r="P339" s="136"/>
      <c r="Q339" s="136"/>
      <c r="R339" s="136"/>
      <c r="S339" s="136"/>
      <c r="T339" s="136"/>
      <c r="U339" s="136"/>
    </row>
    <row r="340" spans="13:21" x14ac:dyDescent="0.35">
      <c r="M340" s="135"/>
      <c r="N340" s="136"/>
      <c r="O340" s="136"/>
      <c r="P340" s="136"/>
      <c r="Q340" s="136"/>
      <c r="R340" s="136"/>
      <c r="S340" s="136"/>
      <c r="T340" s="136"/>
      <c r="U340" s="136"/>
    </row>
    <row r="341" spans="13:21" x14ac:dyDescent="0.35">
      <c r="M341" s="135"/>
      <c r="N341" s="136"/>
      <c r="O341" s="136"/>
      <c r="P341" s="136"/>
      <c r="Q341" s="136"/>
      <c r="R341" s="136"/>
      <c r="S341" s="136"/>
      <c r="T341" s="136"/>
      <c r="U341" s="136"/>
    </row>
    <row r="342" spans="13:21" x14ac:dyDescent="0.35">
      <c r="M342" s="135"/>
      <c r="N342" s="136"/>
      <c r="O342" s="136"/>
      <c r="P342" s="136"/>
      <c r="Q342" s="136"/>
      <c r="R342" s="136"/>
      <c r="S342" s="136"/>
      <c r="T342" s="136"/>
      <c r="U342" s="136"/>
    </row>
    <row r="343" spans="13:21" x14ac:dyDescent="0.35">
      <c r="M343" s="135"/>
      <c r="N343" s="136"/>
      <c r="O343" s="136"/>
      <c r="P343" s="136"/>
      <c r="Q343" s="136"/>
      <c r="R343" s="136"/>
      <c r="S343" s="136"/>
      <c r="T343" s="136"/>
      <c r="U343" s="136"/>
    </row>
    <row r="344" spans="13:21" x14ac:dyDescent="0.35">
      <c r="M344" s="135"/>
      <c r="N344" s="136"/>
      <c r="O344" s="136"/>
      <c r="P344" s="136"/>
      <c r="Q344" s="136"/>
      <c r="R344" s="136"/>
      <c r="S344" s="136"/>
      <c r="T344" s="136"/>
      <c r="U344" s="136"/>
    </row>
    <row r="345" spans="13:21" x14ac:dyDescent="0.35">
      <c r="M345" s="135"/>
      <c r="N345" s="136"/>
      <c r="O345" s="136"/>
      <c r="P345" s="136"/>
      <c r="Q345" s="136"/>
      <c r="R345" s="136"/>
      <c r="S345" s="136"/>
      <c r="T345" s="136"/>
      <c r="U345" s="136"/>
    </row>
    <row r="346" spans="13:21" x14ac:dyDescent="0.35">
      <c r="M346" s="135"/>
      <c r="N346" s="136"/>
      <c r="O346" s="136"/>
      <c r="P346" s="136"/>
      <c r="Q346" s="136"/>
      <c r="R346" s="136"/>
      <c r="S346" s="136"/>
      <c r="T346" s="136"/>
      <c r="U346" s="136"/>
    </row>
    <row r="347" spans="13:21" x14ac:dyDescent="0.35">
      <c r="M347" s="135"/>
      <c r="N347" s="136"/>
      <c r="O347" s="136"/>
      <c r="P347" s="136"/>
      <c r="Q347" s="136"/>
      <c r="R347" s="136"/>
      <c r="S347" s="136"/>
      <c r="T347" s="136"/>
      <c r="U347" s="136"/>
    </row>
    <row r="348" spans="13:21" x14ac:dyDescent="0.35">
      <c r="M348" s="135"/>
      <c r="N348" s="136"/>
      <c r="O348" s="136"/>
      <c r="P348" s="136"/>
      <c r="Q348" s="136"/>
      <c r="R348" s="136"/>
      <c r="S348" s="136"/>
      <c r="T348" s="136"/>
      <c r="U348" s="136"/>
    </row>
    <row r="349" spans="13:21" x14ac:dyDescent="0.35">
      <c r="M349" s="135"/>
      <c r="N349" s="136"/>
      <c r="O349" s="136"/>
      <c r="P349" s="136"/>
      <c r="Q349" s="136"/>
      <c r="R349" s="136"/>
      <c r="S349" s="136"/>
      <c r="T349" s="136"/>
      <c r="U349" s="136"/>
    </row>
    <row r="350" spans="13:21" x14ac:dyDescent="0.35">
      <c r="M350" s="135"/>
      <c r="N350" s="136"/>
      <c r="O350" s="136"/>
      <c r="P350" s="136"/>
      <c r="Q350" s="136"/>
      <c r="R350" s="136"/>
      <c r="S350" s="136"/>
      <c r="T350" s="136"/>
      <c r="U350" s="136"/>
    </row>
    <row r="351" spans="13:21" x14ac:dyDescent="0.35">
      <c r="M351" s="135"/>
      <c r="N351" s="136"/>
      <c r="O351" s="136"/>
      <c r="P351" s="136"/>
      <c r="Q351" s="136"/>
      <c r="R351" s="136"/>
      <c r="S351" s="136"/>
      <c r="T351" s="136"/>
      <c r="U351" s="136"/>
    </row>
    <row r="352" spans="13:21" x14ac:dyDescent="0.35">
      <c r="M352" s="135"/>
      <c r="N352" s="136"/>
      <c r="O352" s="136"/>
      <c r="P352" s="136"/>
      <c r="Q352" s="136"/>
      <c r="R352" s="136"/>
      <c r="S352" s="136"/>
      <c r="T352" s="136"/>
      <c r="U352" s="136"/>
    </row>
    <row r="353" spans="13:21" x14ac:dyDescent="0.35">
      <c r="M353" s="135"/>
      <c r="N353" s="136"/>
      <c r="O353" s="136"/>
      <c r="P353" s="136"/>
      <c r="Q353" s="136"/>
      <c r="R353" s="136"/>
      <c r="S353" s="136"/>
      <c r="T353" s="136"/>
      <c r="U353" s="136"/>
    </row>
    <row r="354" spans="13:21" x14ac:dyDescent="0.35">
      <c r="M354" s="135"/>
      <c r="N354" s="136"/>
      <c r="O354" s="136"/>
      <c r="P354" s="136"/>
      <c r="Q354" s="136"/>
      <c r="R354" s="136"/>
      <c r="S354" s="136"/>
      <c r="T354" s="136"/>
      <c r="U354" s="136"/>
    </row>
    <row r="355" spans="13:21" x14ac:dyDescent="0.35">
      <c r="M355" s="135"/>
      <c r="N355" s="136"/>
      <c r="O355" s="136"/>
      <c r="P355" s="136"/>
      <c r="Q355" s="136"/>
      <c r="R355" s="136"/>
      <c r="S355" s="136"/>
      <c r="T355" s="136"/>
      <c r="U355" s="136"/>
    </row>
    <row r="356" spans="13:21" x14ac:dyDescent="0.35">
      <c r="M356" s="135"/>
      <c r="N356" s="136"/>
      <c r="O356" s="136"/>
      <c r="P356" s="136"/>
      <c r="Q356" s="136"/>
      <c r="R356" s="136"/>
      <c r="S356" s="136"/>
      <c r="T356" s="136"/>
      <c r="U356" s="136"/>
    </row>
    <row r="357" spans="13:21" x14ac:dyDescent="0.35">
      <c r="M357" s="135"/>
      <c r="N357" s="136"/>
      <c r="O357" s="136"/>
      <c r="P357" s="136"/>
      <c r="Q357" s="136"/>
      <c r="R357" s="136"/>
      <c r="S357" s="136"/>
      <c r="T357" s="136"/>
      <c r="U357" s="136"/>
    </row>
    <row r="358" spans="13:21" x14ac:dyDescent="0.35">
      <c r="M358" s="135"/>
      <c r="N358" s="136"/>
      <c r="O358" s="136"/>
      <c r="P358" s="136"/>
      <c r="Q358" s="136"/>
      <c r="R358" s="136"/>
      <c r="S358" s="136"/>
      <c r="T358" s="136"/>
      <c r="U358" s="136"/>
    </row>
    <row r="359" spans="13:21" x14ac:dyDescent="0.35">
      <c r="M359" s="135"/>
      <c r="N359" s="136"/>
      <c r="O359" s="136"/>
      <c r="P359" s="136"/>
      <c r="Q359" s="136"/>
      <c r="R359" s="136"/>
      <c r="S359" s="136"/>
      <c r="T359" s="136"/>
      <c r="U359" s="136"/>
    </row>
    <row r="360" spans="13:21" x14ac:dyDescent="0.35">
      <c r="M360" s="135"/>
      <c r="N360" s="136"/>
      <c r="O360" s="136"/>
      <c r="P360" s="136"/>
      <c r="Q360" s="136"/>
      <c r="R360" s="136"/>
      <c r="S360" s="136"/>
      <c r="T360" s="136"/>
      <c r="U360" s="136"/>
    </row>
    <row r="361" spans="13:21" x14ac:dyDescent="0.35">
      <c r="M361" s="135"/>
      <c r="N361" s="136"/>
      <c r="O361" s="136"/>
      <c r="P361" s="136"/>
      <c r="Q361" s="136"/>
      <c r="R361" s="136"/>
      <c r="S361" s="136"/>
      <c r="T361" s="136"/>
      <c r="U361" s="136"/>
    </row>
    <row r="362" spans="13:21" x14ac:dyDescent="0.35">
      <c r="M362" s="135"/>
      <c r="N362" s="136"/>
      <c r="O362" s="136"/>
      <c r="P362" s="136"/>
      <c r="Q362" s="136"/>
      <c r="R362" s="136"/>
      <c r="S362" s="136"/>
      <c r="T362" s="136"/>
      <c r="U362" s="136"/>
    </row>
    <row r="363" spans="13:21" x14ac:dyDescent="0.35">
      <c r="M363" s="135"/>
      <c r="N363" s="136"/>
      <c r="O363" s="136"/>
      <c r="P363" s="136"/>
      <c r="Q363" s="136"/>
      <c r="R363" s="136"/>
      <c r="S363" s="136"/>
      <c r="T363" s="136"/>
      <c r="U363" s="136"/>
    </row>
    <row r="364" spans="13:21" x14ac:dyDescent="0.35">
      <c r="M364" s="135"/>
      <c r="N364" s="136"/>
      <c r="O364" s="136"/>
      <c r="P364" s="136"/>
      <c r="Q364" s="136"/>
      <c r="R364" s="136"/>
      <c r="S364" s="136"/>
      <c r="T364" s="136"/>
      <c r="U364" s="136"/>
    </row>
    <row r="365" spans="13:21" x14ac:dyDescent="0.35">
      <c r="M365" s="135"/>
      <c r="N365" s="136"/>
      <c r="O365" s="136"/>
      <c r="P365" s="136"/>
      <c r="Q365" s="136"/>
      <c r="R365" s="136"/>
      <c r="S365" s="136"/>
      <c r="T365" s="136"/>
      <c r="U365" s="136"/>
    </row>
    <row r="366" spans="13:21" x14ac:dyDescent="0.35">
      <c r="M366" s="135"/>
      <c r="N366" s="136"/>
      <c r="O366" s="136"/>
      <c r="P366" s="136"/>
      <c r="Q366" s="136"/>
      <c r="R366" s="136"/>
      <c r="S366" s="136"/>
      <c r="T366" s="136"/>
      <c r="U366" s="136"/>
    </row>
    <row r="367" spans="13:21" x14ac:dyDescent="0.35">
      <c r="M367" s="135"/>
      <c r="N367" s="136"/>
      <c r="O367" s="136"/>
      <c r="P367" s="136"/>
      <c r="Q367" s="136"/>
      <c r="R367" s="136"/>
      <c r="S367" s="136"/>
      <c r="T367" s="136"/>
      <c r="U367" s="136"/>
    </row>
    <row r="368" spans="13:21" x14ac:dyDescent="0.35">
      <c r="M368" s="135"/>
      <c r="N368" s="136"/>
      <c r="O368" s="136"/>
      <c r="P368" s="136"/>
      <c r="Q368" s="136"/>
      <c r="R368" s="136"/>
      <c r="S368" s="136"/>
      <c r="T368" s="136"/>
      <c r="U368" s="136"/>
    </row>
    <row r="369" spans="13:21" x14ac:dyDescent="0.35">
      <c r="M369" s="135"/>
      <c r="N369" s="136"/>
      <c r="O369" s="136"/>
      <c r="P369" s="136"/>
      <c r="Q369" s="136"/>
      <c r="R369" s="136"/>
      <c r="S369" s="136"/>
      <c r="T369" s="136"/>
      <c r="U369" s="136"/>
    </row>
    <row r="370" spans="13:21" x14ac:dyDescent="0.35">
      <c r="M370" s="135"/>
      <c r="N370" s="136"/>
      <c r="O370" s="136"/>
      <c r="P370" s="136"/>
      <c r="Q370" s="136"/>
      <c r="R370" s="136"/>
      <c r="S370" s="136"/>
      <c r="T370" s="136"/>
      <c r="U370" s="136"/>
    </row>
    <row r="371" spans="13:21" x14ac:dyDescent="0.35">
      <c r="M371" s="135"/>
      <c r="N371" s="136"/>
      <c r="O371" s="136"/>
      <c r="P371" s="136"/>
      <c r="Q371" s="136"/>
      <c r="R371" s="136"/>
      <c r="S371" s="136"/>
      <c r="T371" s="136"/>
      <c r="U371" s="136"/>
    </row>
    <row r="372" spans="13:21" x14ac:dyDescent="0.35">
      <c r="M372" s="135"/>
      <c r="N372" s="136"/>
      <c r="O372" s="136"/>
      <c r="P372" s="136"/>
      <c r="Q372" s="136"/>
      <c r="R372" s="136"/>
      <c r="S372" s="136"/>
      <c r="T372" s="136"/>
      <c r="U372" s="136"/>
    </row>
    <row r="373" spans="13:21" x14ac:dyDescent="0.35">
      <c r="M373" s="135"/>
      <c r="N373" s="136"/>
      <c r="O373" s="136"/>
      <c r="P373" s="136"/>
      <c r="Q373" s="136"/>
      <c r="R373" s="136"/>
      <c r="S373" s="136"/>
      <c r="T373" s="136"/>
      <c r="U373" s="136"/>
    </row>
    <row r="374" spans="13:21" x14ac:dyDescent="0.35">
      <c r="M374" s="135"/>
      <c r="N374" s="136"/>
      <c r="O374" s="136"/>
      <c r="P374" s="136"/>
      <c r="Q374" s="136"/>
      <c r="R374" s="136"/>
      <c r="S374" s="136"/>
      <c r="T374" s="136"/>
      <c r="U374" s="136"/>
    </row>
    <row r="375" spans="13:21" x14ac:dyDescent="0.35">
      <c r="M375" s="135"/>
      <c r="N375" s="136"/>
      <c r="O375" s="136"/>
      <c r="P375" s="136"/>
      <c r="Q375" s="136"/>
      <c r="R375" s="136"/>
      <c r="S375" s="136"/>
      <c r="T375" s="136"/>
      <c r="U375" s="136"/>
    </row>
    <row r="376" spans="13:21" x14ac:dyDescent="0.35">
      <c r="M376" s="135"/>
      <c r="N376" s="136"/>
      <c r="O376" s="136"/>
      <c r="P376" s="136"/>
      <c r="Q376" s="136"/>
      <c r="R376" s="136"/>
      <c r="S376" s="136"/>
      <c r="T376" s="136"/>
      <c r="U376" s="136"/>
    </row>
    <row r="377" spans="13:21" x14ac:dyDescent="0.35">
      <c r="M377" s="135"/>
      <c r="N377" s="136"/>
      <c r="O377" s="136"/>
      <c r="P377" s="136"/>
      <c r="Q377" s="136"/>
      <c r="R377" s="136"/>
      <c r="S377" s="136"/>
      <c r="T377" s="136"/>
      <c r="U377" s="136"/>
    </row>
    <row r="378" spans="13:21" x14ac:dyDescent="0.35">
      <c r="M378" s="135"/>
      <c r="N378" s="136"/>
      <c r="O378" s="136"/>
      <c r="P378" s="136"/>
      <c r="Q378" s="136"/>
      <c r="R378" s="136"/>
      <c r="S378" s="136"/>
      <c r="T378" s="136"/>
      <c r="U378" s="136"/>
    </row>
    <row r="379" spans="13:21" x14ac:dyDescent="0.35">
      <c r="M379" s="135"/>
      <c r="N379" s="136"/>
      <c r="O379" s="136"/>
      <c r="P379" s="136"/>
      <c r="Q379" s="136"/>
      <c r="R379" s="136"/>
      <c r="S379" s="136"/>
      <c r="T379" s="136"/>
      <c r="U379" s="136"/>
    </row>
    <row r="380" spans="13:21" x14ac:dyDescent="0.35">
      <c r="M380" s="135"/>
      <c r="N380" s="136"/>
      <c r="O380" s="136"/>
      <c r="P380" s="136"/>
      <c r="Q380" s="136"/>
      <c r="R380" s="136"/>
      <c r="S380" s="136"/>
      <c r="T380" s="136"/>
      <c r="U380" s="136"/>
    </row>
    <row r="381" spans="13:21" x14ac:dyDescent="0.35">
      <c r="M381" s="135"/>
      <c r="N381" s="136"/>
      <c r="O381" s="136"/>
      <c r="P381" s="136"/>
      <c r="Q381" s="136"/>
      <c r="R381" s="136"/>
      <c r="S381" s="136"/>
      <c r="T381" s="136"/>
      <c r="U381" s="136"/>
    </row>
    <row r="382" spans="13:21" x14ac:dyDescent="0.35">
      <c r="M382" s="135"/>
      <c r="N382" s="136"/>
      <c r="O382" s="136"/>
      <c r="P382" s="136"/>
      <c r="Q382" s="136"/>
      <c r="R382" s="136"/>
      <c r="S382" s="136"/>
      <c r="T382" s="136"/>
      <c r="U382" s="136"/>
    </row>
    <row r="383" spans="13:21" x14ac:dyDescent="0.35">
      <c r="M383" s="135"/>
      <c r="N383" s="136"/>
      <c r="O383" s="136"/>
      <c r="P383" s="136"/>
      <c r="Q383" s="136"/>
      <c r="R383" s="136"/>
      <c r="S383" s="136"/>
      <c r="T383" s="136"/>
      <c r="U383" s="136"/>
    </row>
    <row r="384" spans="13:21" x14ac:dyDescent="0.35">
      <c r="M384" s="135"/>
      <c r="N384" s="136"/>
      <c r="O384" s="136"/>
      <c r="P384" s="136"/>
      <c r="Q384" s="136"/>
      <c r="R384" s="136"/>
      <c r="S384" s="136"/>
      <c r="T384" s="136"/>
      <c r="U384" s="136"/>
    </row>
    <row r="385" spans="13:21" x14ac:dyDescent="0.35">
      <c r="M385" s="135"/>
      <c r="N385" s="136"/>
      <c r="O385" s="136"/>
      <c r="P385" s="136"/>
      <c r="Q385" s="136"/>
      <c r="R385" s="136"/>
      <c r="S385" s="136"/>
      <c r="T385" s="136"/>
      <c r="U385" s="136"/>
    </row>
    <row r="386" spans="13:21" x14ac:dyDescent="0.35">
      <c r="M386" s="135"/>
      <c r="N386" s="136"/>
      <c r="O386" s="136"/>
      <c r="P386" s="136"/>
      <c r="Q386" s="136"/>
      <c r="R386" s="136"/>
      <c r="S386" s="136"/>
      <c r="T386" s="136"/>
      <c r="U386" s="136"/>
    </row>
    <row r="387" spans="13:21" x14ac:dyDescent="0.35">
      <c r="M387" s="135"/>
      <c r="N387" s="136"/>
      <c r="O387" s="136"/>
      <c r="P387" s="136"/>
      <c r="Q387" s="136"/>
      <c r="R387" s="136"/>
      <c r="S387" s="136"/>
      <c r="T387" s="136"/>
      <c r="U387" s="136"/>
    </row>
    <row r="388" spans="13:21" x14ac:dyDescent="0.35">
      <c r="M388" s="135"/>
      <c r="N388" s="136"/>
      <c r="O388" s="136"/>
      <c r="P388" s="136"/>
      <c r="Q388" s="136"/>
      <c r="R388" s="136"/>
      <c r="S388" s="136"/>
      <c r="T388" s="136"/>
      <c r="U388" s="136"/>
    </row>
    <row r="389" spans="13:21" x14ac:dyDescent="0.35">
      <c r="M389" s="135"/>
      <c r="N389" s="136"/>
      <c r="O389" s="136"/>
      <c r="P389" s="136"/>
      <c r="Q389" s="136"/>
      <c r="R389" s="136"/>
      <c r="S389" s="136"/>
      <c r="T389" s="136"/>
      <c r="U389" s="136"/>
    </row>
    <row r="390" spans="13:21" x14ac:dyDescent="0.35">
      <c r="M390" s="135"/>
      <c r="N390" s="136"/>
      <c r="O390" s="136"/>
      <c r="P390" s="136"/>
      <c r="Q390" s="136"/>
      <c r="R390" s="136"/>
      <c r="S390" s="136"/>
      <c r="T390" s="136"/>
      <c r="U390" s="136"/>
    </row>
    <row r="391" spans="13:21" x14ac:dyDescent="0.35">
      <c r="M391" s="135"/>
      <c r="N391" s="136"/>
      <c r="O391" s="136"/>
      <c r="P391" s="136"/>
      <c r="Q391" s="136"/>
      <c r="R391" s="136"/>
      <c r="S391" s="136"/>
      <c r="T391" s="136"/>
      <c r="U391" s="136"/>
    </row>
    <row r="392" spans="13:21" x14ac:dyDescent="0.35">
      <c r="M392" s="135"/>
      <c r="N392" s="136"/>
      <c r="O392" s="136"/>
      <c r="P392" s="136"/>
      <c r="Q392" s="136"/>
      <c r="R392" s="136"/>
      <c r="S392" s="136"/>
      <c r="T392" s="136"/>
      <c r="U392" s="136"/>
    </row>
    <row r="393" spans="13:21" x14ac:dyDescent="0.35">
      <c r="M393" s="135"/>
      <c r="N393" s="136"/>
      <c r="O393" s="136"/>
      <c r="P393" s="136"/>
      <c r="Q393" s="136"/>
      <c r="R393" s="136"/>
      <c r="S393" s="136"/>
      <c r="T393" s="136"/>
      <c r="U393" s="136"/>
    </row>
    <row r="394" spans="13:21" x14ac:dyDescent="0.35">
      <c r="M394" s="135"/>
      <c r="N394" s="136"/>
      <c r="O394" s="136"/>
      <c r="P394" s="136"/>
      <c r="Q394" s="136"/>
      <c r="R394" s="136"/>
      <c r="S394" s="136"/>
      <c r="T394" s="136"/>
      <c r="U394" s="136"/>
    </row>
    <row r="395" spans="13:21" x14ac:dyDescent="0.35">
      <c r="M395" s="135"/>
      <c r="N395" s="136"/>
      <c r="O395" s="136"/>
      <c r="P395" s="136"/>
      <c r="Q395" s="136"/>
      <c r="R395" s="136"/>
      <c r="S395" s="136"/>
      <c r="T395" s="136"/>
      <c r="U395" s="136"/>
    </row>
    <row r="396" spans="13:21" x14ac:dyDescent="0.35">
      <c r="M396" s="135"/>
      <c r="N396" s="136"/>
      <c r="O396" s="136"/>
      <c r="P396" s="136"/>
      <c r="Q396" s="136"/>
      <c r="R396" s="136"/>
      <c r="S396" s="136"/>
      <c r="T396" s="136"/>
      <c r="U396" s="136"/>
    </row>
    <row r="397" spans="13:21" x14ac:dyDescent="0.35">
      <c r="M397" s="135"/>
      <c r="N397" s="136"/>
      <c r="O397" s="136"/>
      <c r="P397" s="136"/>
      <c r="Q397" s="136"/>
      <c r="R397" s="136"/>
      <c r="S397" s="136"/>
      <c r="T397" s="136"/>
      <c r="U397" s="136"/>
    </row>
    <row r="398" spans="13:21" x14ac:dyDescent="0.35">
      <c r="M398" s="135"/>
      <c r="N398" s="136"/>
      <c r="O398" s="136"/>
      <c r="P398" s="136"/>
      <c r="Q398" s="136"/>
      <c r="R398" s="136"/>
      <c r="S398" s="136"/>
      <c r="T398" s="136"/>
      <c r="U398" s="136"/>
    </row>
    <row r="399" spans="13:21" x14ac:dyDescent="0.35">
      <c r="M399" s="135"/>
      <c r="N399" s="136"/>
      <c r="O399" s="136"/>
      <c r="P399" s="136"/>
      <c r="Q399" s="136"/>
      <c r="R399" s="136"/>
      <c r="S399" s="136"/>
      <c r="T399" s="136"/>
      <c r="U399" s="136"/>
    </row>
    <row r="400" spans="13:21" x14ac:dyDescent="0.35">
      <c r="M400" s="135"/>
      <c r="N400" s="136"/>
      <c r="O400" s="136"/>
      <c r="P400" s="136"/>
      <c r="Q400" s="136"/>
      <c r="R400" s="136"/>
      <c r="S400" s="136"/>
      <c r="T400" s="136"/>
      <c r="U400" s="136"/>
    </row>
    <row r="401" spans="13:21" x14ac:dyDescent="0.35">
      <c r="M401" s="135"/>
      <c r="N401" s="136"/>
      <c r="O401" s="136"/>
      <c r="P401" s="136"/>
      <c r="Q401" s="136"/>
      <c r="R401" s="136"/>
      <c r="S401" s="136"/>
      <c r="T401" s="136"/>
      <c r="U401" s="136"/>
    </row>
    <row r="402" spans="13:21" x14ac:dyDescent="0.35">
      <c r="M402" s="135"/>
      <c r="N402" s="136"/>
      <c r="O402" s="136"/>
      <c r="P402" s="136"/>
      <c r="Q402" s="136"/>
      <c r="R402" s="136"/>
      <c r="S402" s="136"/>
      <c r="T402" s="136"/>
      <c r="U402" s="136"/>
    </row>
    <row r="403" spans="13:21" x14ac:dyDescent="0.35">
      <c r="M403" s="135"/>
      <c r="N403" s="136"/>
      <c r="O403" s="136"/>
      <c r="P403" s="136"/>
      <c r="Q403" s="136"/>
      <c r="R403" s="136"/>
      <c r="S403" s="136"/>
      <c r="T403" s="136"/>
      <c r="U403" s="136"/>
    </row>
    <row r="404" spans="13:21" x14ac:dyDescent="0.35">
      <c r="M404" s="135"/>
      <c r="N404" s="136"/>
      <c r="O404" s="136"/>
      <c r="P404" s="136"/>
      <c r="Q404" s="136"/>
      <c r="R404" s="136"/>
      <c r="S404" s="136"/>
      <c r="T404" s="136"/>
      <c r="U404" s="136"/>
    </row>
    <row r="405" spans="13:21" x14ac:dyDescent="0.35">
      <c r="M405" s="135"/>
      <c r="N405" s="136"/>
      <c r="O405" s="136"/>
      <c r="P405" s="136"/>
      <c r="Q405" s="136"/>
      <c r="R405" s="136"/>
      <c r="S405" s="136"/>
      <c r="T405" s="136"/>
      <c r="U405" s="136"/>
    </row>
    <row r="406" spans="13:21" x14ac:dyDescent="0.35">
      <c r="M406" s="135"/>
      <c r="N406" s="136"/>
      <c r="O406" s="136"/>
      <c r="P406" s="136"/>
      <c r="Q406" s="136"/>
      <c r="R406" s="136"/>
      <c r="S406" s="136"/>
      <c r="T406" s="136"/>
      <c r="U406" s="136"/>
    </row>
    <row r="407" spans="13:21" x14ac:dyDescent="0.35">
      <c r="M407" s="135"/>
      <c r="N407" s="136"/>
      <c r="O407" s="136"/>
      <c r="P407" s="136"/>
      <c r="Q407" s="136"/>
      <c r="R407" s="136"/>
      <c r="S407" s="136"/>
      <c r="T407" s="136"/>
      <c r="U407" s="136"/>
    </row>
    <row r="408" spans="13:21" x14ac:dyDescent="0.35">
      <c r="M408" s="135"/>
      <c r="N408" s="136"/>
      <c r="O408" s="136"/>
      <c r="P408" s="136"/>
      <c r="Q408" s="136"/>
      <c r="R408" s="136"/>
      <c r="S408" s="136"/>
      <c r="T408" s="136"/>
      <c r="U408" s="136"/>
    </row>
    <row r="409" spans="13:21" x14ac:dyDescent="0.35">
      <c r="M409" s="135"/>
      <c r="N409" s="136"/>
      <c r="O409" s="136"/>
      <c r="P409" s="136"/>
      <c r="Q409" s="136"/>
      <c r="R409" s="136"/>
      <c r="S409" s="136"/>
      <c r="T409" s="136"/>
      <c r="U409" s="136"/>
    </row>
    <row r="410" spans="13:21" x14ac:dyDescent="0.35">
      <c r="M410" s="135"/>
      <c r="N410" s="136"/>
      <c r="O410" s="136"/>
      <c r="P410" s="136"/>
      <c r="Q410" s="136"/>
      <c r="R410" s="136"/>
      <c r="S410" s="136"/>
      <c r="T410" s="136"/>
      <c r="U410" s="136"/>
    </row>
    <row r="411" spans="13:21" x14ac:dyDescent="0.35">
      <c r="M411" s="135"/>
      <c r="N411" s="136"/>
      <c r="O411" s="136"/>
      <c r="P411" s="136"/>
      <c r="Q411" s="136"/>
      <c r="R411" s="136"/>
      <c r="S411" s="136"/>
      <c r="T411" s="136"/>
      <c r="U411" s="136"/>
    </row>
    <row r="412" spans="13:21" x14ac:dyDescent="0.35">
      <c r="M412" s="135"/>
      <c r="N412" s="136"/>
      <c r="O412" s="136"/>
      <c r="P412" s="136"/>
      <c r="Q412" s="136"/>
      <c r="R412" s="136"/>
      <c r="S412" s="136"/>
      <c r="T412" s="136"/>
      <c r="U412" s="136"/>
    </row>
    <row r="413" spans="13:21" x14ac:dyDescent="0.35">
      <c r="M413" s="135"/>
      <c r="N413" s="136"/>
      <c r="O413" s="136"/>
      <c r="P413" s="136"/>
      <c r="Q413" s="136"/>
      <c r="R413" s="136"/>
      <c r="S413" s="136"/>
      <c r="T413" s="136"/>
      <c r="U413" s="136"/>
    </row>
    <row r="414" spans="13:21" x14ac:dyDescent="0.35">
      <c r="M414" s="135"/>
      <c r="N414" s="136"/>
      <c r="O414" s="136"/>
      <c r="P414" s="136"/>
      <c r="Q414" s="136"/>
      <c r="R414" s="136"/>
      <c r="S414" s="136"/>
      <c r="T414" s="136"/>
      <c r="U414" s="136"/>
    </row>
    <row r="415" spans="13:21" x14ac:dyDescent="0.35">
      <c r="M415" s="135"/>
      <c r="N415" s="136"/>
      <c r="O415" s="136"/>
      <c r="P415" s="136"/>
      <c r="Q415" s="136"/>
      <c r="R415" s="136"/>
      <c r="S415" s="136"/>
      <c r="T415" s="136"/>
      <c r="U415" s="136"/>
    </row>
    <row r="416" spans="13:21" x14ac:dyDescent="0.35">
      <c r="M416" s="135"/>
      <c r="N416" s="136"/>
      <c r="O416" s="136"/>
      <c r="P416" s="136"/>
      <c r="Q416" s="136"/>
      <c r="R416" s="136"/>
      <c r="S416" s="136"/>
      <c r="T416" s="136"/>
      <c r="U416" s="136"/>
    </row>
    <row r="417" spans="13:21" x14ac:dyDescent="0.35">
      <c r="M417" s="135"/>
      <c r="N417" s="136"/>
      <c r="O417" s="136"/>
      <c r="P417" s="136"/>
      <c r="Q417" s="136"/>
      <c r="R417" s="136"/>
      <c r="S417" s="136"/>
      <c r="T417" s="136"/>
      <c r="U417" s="136"/>
    </row>
    <row r="418" spans="13:21" x14ac:dyDescent="0.35">
      <c r="M418" s="135"/>
      <c r="N418" s="136"/>
      <c r="O418" s="136"/>
      <c r="P418" s="136"/>
      <c r="Q418" s="136"/>
      <c r="R418" s="136"/>
      <c r="S418" s="136"/>
      <c r="T418" s="136"/>
      <c r="U418" s="136"/>
    </row>
    <row r="419" spans="13:21" x14ac:dyDescent="0.35">
      <c r="M419" s="135"/>
      <c r="N419" s="136"/>
      <c r="O419" s="136"/>
      <c r="P419" s="136"/>
      <c r="Q419" s="136"/>
      <c r="R419" s="136"/>
      <c r="S419" s="136"/>
      <c r="T419" s="136"/>
      <c r="U419" s="136"/>
    </row>
    <row r="420" spans="13:21" x14ac:dyDescent="0.35">
      <c r="M420" s="135"/>
      <c r="N420" s="136"/>
      <c r="O420" s="136"/>
      <c r="P420" s="136"/>
      <c r="Q420" s="136"/>
      <c r="R420" s="136"/>
      <c r="S420" s="136"/>
      <c r="T420" s="136"/>
      <c r="U420" s="136"/>
    </row>
    <row r="421" spans="13:21" x14ac:dyDescent="0.35">
      <c r="M421" s="135"/>
      <c r="N421" s="136"/>
      <c r="O421" s="136"/>
      <c r="P421" s="136"/>
      <c r="Q421" s="136"/>
      <c r="R421" s="136"/>
      <c r="S421" s="136"/>
      <c r="T421" s="136"/>
      <c r="U421" s="136"/>
    </row>
    <row r="422" spans="13:21" x14ac:dyDescent="0.35">
      <c r="M422" s="135"/>
      <c r="N422" s="136"/>
      <c r="O422" s="136"/>
      <c r="P422" s="136"/>
      <c r="Q422" s="136"/>
      <c r="R422" s="136"/>
      <c r="S422" s="136"/>
      <c r="T422" s="136"/>
      <c r="U422" s="136"/>
    </row>
    <row r="423" spans="13:21" x14ac:dyDescent="0.35">
      <c r="M423" s="135"/>
      <c r="N423" s="136"/>
      <c r="O423" s="136"/>
      <c r="P423" s="136"/>
      <c r="Q423" s="136"/>
      <c r="R423" s="136"/>
      <c r="S423" s="136"/>
      <c r="T423" s="136"/>
      <c r="U423" s="136"/>
    </row>
    <row r="424" spans="13:21" x14ac:dyDescent="0.35">
      <c r="M424" s="135"/>
      <c r="N424" s="136"/>
      <c r="O424" s="136"/>
      <c r="P424" s="136"/>
      <c r="Q424" s="136"/>
      <c r="R424" s="136"/>
      <c r="S424" s="136"/>
      <c r="T424" s="136"/>
      <c r="U424" s="136"/>
    </row>
    <row r="425" spans="13:21" x14ac:dyDescent="0.35">
      <c r="M425" s="135"/>
      <c r="N425" s="136"/>
      <c r="O425" s="136"/>
      <c r="P425" s="136"/>
      <c r="Q425" s="136"/>
      <c r="R425" s="136"/>
      <c r="S425" s="136"/>
      <c r="T425" s="136"/>
      <c r="U425" s="136"/>
    </row>
    <row r="426" spans="13:21" x14ac:dyDescent="0.35">
      <c r="M426" s="135"/>
      <c r="N426" s="136"/>
      <c r="O426" s="136"/>
      <c r="P426" s="136"/>
      <c r="Q426" s="136"/>
      <c r="R426" s="136"/>
      <c r="S426" s="136"/>
      <c r="T426" s="136"/>
      <c r="U426" s="136"/>
    </row>
    <row r="427" spans="13:21" x14ac:dyDescent="0.35">
      <c r="M427" s="135"/>
      <c r="N427" s="136"/>
      <c r="O427" s="136"/>
      <c r="P427" s="136"/>
      <c r="Q427" s="136"/>
      <c r="R427" s="136"/>
      <c r="S427" s="136"/>
      <c r="T427" s="136"/>
      <c r="U427" s="136"/>
    </row>
    <row r="428" spans="13:21" x14ac:dyDescent="0.35">
      <c r="M428" s="135"/>
      <c r="N428" s="136"/>
      <c r="O428" s="136"/>
      <c r="P428" s="136"/>
      <c r="Q428" s="136"/>
      <c r="R428" s="136"/>
      <c r="S428" s="136"/>
      <c r="T428" s="136"/>
      <c r="U428" s="136"/>
    </row>
    <row r="429" spans="13:21" x14ac:dyDescent="0.35">
      <c r="M429" s="135"/>
      <c r="N429" s="136"/>
      <c r="O429" s="136"/>
      <c r="P429" s="136"/>
      <c r="Q429" s="136"/>
      <c r="R429" s="136"/>
      <c r="S429" s="136"/>
      <c r="T429" s="136"/>
      <c r="U429" s="136"/>
    </row>
    <row r="430" spans="13:21" x14ac:dyDescent="0.35">
      <c r="M430" s="135"/>
      <c r="N430" s="136"/>
      <c r="O430" s="136"/>
      <c r="P430" s="136"/>
      <c r="Q430" s="136"/>
      <c r="R430" s="136"/>
      <c r="S430" s="136"/>
      <c r="T430" s="136"/>
      <c r="U430" s="136"/>
    </row>
    <row r="431" spans="13:21" x14ac:dyDescent="0.35">
      <c r="M431" s="135"/>
      <c r="N431" s="136"/>
      <c r="O431" s="136"/>
      <c r="P431" s="136"/>
      <c r="Q431" s="136"/>
      <c r="R431" s="136"/>
      <c r="S431" s="136"/>
      <c r="T431" s="136"/>
      <c r="U431" s="136"/>
    </row>
    <row r="432" spans="13:21" x14ac:dyDescent="0.35">
      <c r="M432" s="135"/>
      <c r="N432" s="136"/>
      <c r="O432" s="136"/>
      <c r="P432" s="136"/>
      <c r="Q432" s="136"/>
      <c r="R432" s="136"/>
      <c r="S432" s="136"/>
      <c r="T432" s="136"/>
      <c r="U432" s="136"/>
    </row>
    <row r="433" spans="13:21" x14ac:dyDescent="0.35">
      <c r="M433" s="135"/>
      <c r="N433" s="136"/>
      <c r="O433" s="136"/>
      <c r="P433" s="136"/>
      <c r="Q433" s="136"/>
      <c r="R433" s="136"/>
      <c r="S433" s="136"/>
      <c r="T433" s="136"/>
      <c r="U433" s="136"/>
    </row>
    <row r="434" spans="13:21" x14ac:dyDescent="0.35">
      <c r="M434" s="135"/>
      <c r="N434" s="136"/>
      <c r="O434" s="136"/>
      <c r="P434" s="136"/>
      <c r="Q434" s="136"/>
      <c r="R434" s="136"/>
      <c r="S434" s="136"/>
      <c r="T434" s="136"/>
      <c r="U434" s="136"/>
    </row>
    <row r="435" spans="13:21" x14ac:dyDescent="0.35">
      <c r="M435" s="135"/>
      <c r="N435" s="136"/>
      <c r="O435" s="136"/>
      <c r="P435" s="136"/>
      <c r="Q435" s="136"/>
      <c r="R435" s="136"/>
      <c r="S435" s="136"/>
      <c r="T435" s="136"/>
      <c r="U435" s="136"/>
    </row>
    <row r="436" spans="13:21" x14ac:dyDescent="0.35">
      <c r="M436" s="135"/>
      <c r="N436" s="136"/>
      <c r="O436" s="136"/>
      <c r="P436" s="136"/>
      <c r="Q436" s="136"/>
      <c r="R436" s="136"/>
      <c r="S436" s="136"/>
      <c r="T436" s="136"/>
      <c r="U436" s="136"/>
    </row>
    <row r="437" spans="13:21" x14ac:dyDescent="0.35">
      <c r="M437" s="135"/>
      <c r="N437" s="136"/>
      <c r="O437" s="136"/>
      <c r="P437" s="136"/>
      <c r="Q437" s="136"/>
      <c r="R437" s="136"/>
      <c r="S437" s="136"/>
      <c r="T437" s="136"/>
      <c r="U437" s="136"/>
    </row>
    <row r="438" spans="13:21" x14ac:dyDescent="0.35">
      <c r="M438" s="135"/>
      <c r="N438" s="136"/>
      <c r="O438" s="136"/>
      <c r="P438" s="136"/>
      <c r="Q438" s="136"/>
      <c r="R438" s="136"/>
      <c r="S438" s="136"/>
      <c r="T438" s="136"/>
      <c r="U438" s="136"/>
    </row>
    <row r="439" spans="13:21" x14ac:dyDescent="0.35">
      <c r="M439" s="135"/>
      <c r="N439" s="136"/>
      <c r="O439" s="136"/>
      <c r="P439" s="136"/>
      <c r="Q439" s="136"/>
      <c r="R439" s="136"/>
      <c r="S439" s="136"/>
      <c r="T439" s="136"/>
      <c r="U439" s="136"/>
    </row>
    <row r="440" spans="13:21" x14ac:dyDescent="0.35">
      <c r="M440" s="135"/>
      <c r="N440" s="136"/>
      <c r="O440" s="136"/>
      <c r="P440" s="136"/>
      <c r="Q440" s="136"/>
      <c r="R440" s="136"/>
      <c r="S440" s="136"/>
      <c r="T440" s="136"/>
      <c r="U440" s="136"/>
    </row>
    <row r="441" spans="13:21" x14ac:dyDescent="0.35">
      <c r="M441" s="135"/>
      <c r="N441" s="136"/>
      <c r="O441" s="136"/>
      <c r="P441" s="136"/>
      <c r="Q441" s="136"/>
      <c r="R441" s="136"/>
      <c r="S441" s="136"/>
      <c r="T441" s="136"/>
      <c r="U441" s="136"/>
    </row>
    <row r="442" spans="13:21" x14ac:dyDescent="0.35">
      <c r="M442" s="135"/>
      <c r="N442" s="136"/>
      <c r="O442" s="136"/>
      <c r="P442" s="136"/>
      <c r="Q442" s="136"/>
      <c r="R442" s="136"/>
      <c r="S442" s="136"/>
      <c r="T442" s="136"/>
      <c r="U442" s="136"/>
    </row>
    <row r="443" spans="13:21" x14ac:dyDescent="0.35">
      <c r="M443" s="135"/>
      <c r="N443" s="136"/>
      <c r="O443" s="136"/>
      <c r="P443" s="136"/>
      <c r="Q443" s="136"/>
      <c r="R443" s="136"/>
      <c r="S443" s="136"/>
      <c r="T443" s="136"/>
      <c r="U443" s="136"/>
    </row>
    <row r="444" spans="13:21" x14ac:dyDescent="0.35">
      <c r="M444" s="135"/>
      <c r="N444" s="136"/>
      <c r="O444" s="136"/>
      <c r="P444" s="136"/>
      <c r="Q444" s="136"/>
      <c r="R444" s="136"/>
      <c r="S444" s="136"/>
      <c r="T444" s="136"/>
      <c r="U444" s="136"/>
    </row>
    <row r="445" spans="13:21" x14ac:dyDescent="0.35">
      <c r="M445" s="135"/>
      <c r="N445" s="136"/>
      <c r="O445" s="136"/>
      <c r="P445" s="136"/>
      <c r="Q445" s="136"/>
      <c r="R445" s="136"/>
      <c r="S445" s="136"/>
      <c r="T445" s="136"/>
      <c r="U445" s="136"/>
    </row>
    <row r="446" spans="13:21" x14ac:dyDescent="0.35">
      <c r="M446" s="135"/>
      <c r="N446" s="136"/>
      <c r="O446" s="136"/>
      <c r="P446" s="136"/>
      <c r="Q446" s="136"/>
      <c r="R446" s="136"/>
      <c r="S446" s="136"/>
      <c r="T446" s="136"/>
      <c r="U446" s="136"/>
    </row>
    <row r="447" spans="13:21" x14ac:dyDescent="0.35">
      <c r="M447" s="135"/>
      <c r="N447" s="136"/>
      <c r="O447" s="136"/>
      <c r="P447" s="136"/>
      <c r="Q447" s="136"/>
      <c r="R447" s="136"/>
      <c r="S447" s="136"/>
      <c r="T447" s="136"/>
      <c r="U447" s="136"/>
    </row>
    <row r="448" spans="13:21" x14ac:dyDescent="0.35">
      <c r="M448" s="135"/>
      <c r="N448" s="136"/>
      <c r="O448" s="136"/>
      <c r="P448" s="136"/>
      <c r="Q448" s="136"/>
      <c r="R448" s="136"/>
      <c r="S448" s="136"/>
      <c r="T448" s="136"/>
      <c r="U448" s="136"/>
    </row>
    <row r="449" spans="13:21" x14ac:dyDescent="0.35">
      <c r="M449" s="135"/>
      <c r="N449" s="136"/>
      <c r="O449" s="136"/>
      <c r="P449" s="136"/>
      <c r="Q449" s="136"/>
      <c r="R449" s="136"/>
      <c r="S449" s="136"/>
      <c r="T449" s="136"/>
      <c r="U449" s="136"/>
    </row>
    <row r="450" spans="13:21" x14ac:dyDescent="0.35">
      <c r="M450" s="135"/>
      <c r="N450" s="136"/>
      <c r="O450" s="136"/>
      <c r="P450" s="136"/>
      <c r="Q450" s="136"/>
      <c r="R450" s="136"/>
      <c r="S450" s="136"/>
      <c r="T450" s="136"/>
      <c r="U450" s="136"/>
    </row>
    <row r="451" spans="13:21" x14ac:dyDescent="0.35">
      <c r="M451" s="135"/>
      <c r="N451" s="136"/>
      <c r="O451" s="136"/>
      <c r="P451" s="136"/>
      <c r="Q451" s="136"/>
      <c r="R451" s="136"/>
      <c r="S451" s="136"/>
      <c r="T451" s="136"/>
      <c r="U451" s="136"/>
    </row>
    <row r="452" spans="13:21" x14ac:dyDescent="0.35">
      <c r="M452" s="135"/>
      <c r="N452" s="136"/>
      <c r="O452" s="136"/>
      <c r="P452" s="136"/>
      <c r="Q452" s="136"/>
      <c r="R452" s="136"/>
      <c r="S452" s="136"/>
      <c r="T452" s="136"/>
      <c r="U452" s="136"/>
    </row>
    <row r="453" spans="13:21" x14ac:dyDescent="0.35">
      <c r="M453" s="135"/>
      <c r="N453" s="136"/>
      <c r="O453" s="136"/>
      <c r="P453" s="136"/>
      <c r="Q453" s="136"/>
      <c r="R453" s="136"/>
      <c r="S453" s="136"/>
      <c r="T453" s="136"/>
      <c r="U453" s="136"/>
    </row>
    <row r="454" spans="13:21" x14ac:dyDescent="0.35">
      <c r="M454" s="135"/>
      <c r="N454" s="136"/>
      <c r="O454" s="136"/>
      <c r="P454" s="136"/>
      <c r="Q454" s="136"/>
      <c r="R454" s="136"/>
      <c r="S454" s="136"/>
      <c r="T454" s="136"/>
      <c r="U454" s="136"/>
    </row>
    <row r="455" spans="13:21" x14ac:dyDescent="0.35">
      <c r="M455" s="135"/>
      <c r="N455" s="136"/>
      <c r="O455" s="136"/>
      <c r="P455" s="136"/>
      <c r="Q455" s="136"/>
      <c r="R455" s="136"/>
      <c r="S455" s="136"/>
      <c r="T455" s="136"/>
      <c r="U455" s="136"/>
    </row>
    <row r="456" spans="13:21" x14ac:dyDescent="0.35">
      <c r="M456" s="135"/>
      <c r="N456" s="136"/>
      <c r="O456" s="136"/>
      <c r="P456" s="136"/>
      <c r="Q456" s="136"/>
      <c r="R456" s="136"/>
      <c r="S456" s="136"/>
      <c r="T456" s="136"/>
      <c r="U456" s="136"/>
    </row>
    <row r="457" spans="13:21" x14ac:dyDescent="0.35">
      <c r="M457" s="135"/>
      <c r="N457" s="136"/>
      <c r="O457" s="136"/>
      <c r="P457" s="136"/>
      <c r="Q457" s="136"/>
      <c r="R457" s="136"/>
      <c r="S457" s="136"/>
      <c r="T457" s="136"/>
      <c r="U457" s="136"/>
    </row>
    <row r="458" spans="13:21" x14ac:dyDescent="0.35">
      <c r="M458" s="135"/>
      <c r="N458" s="136"/>
      <c r="O458" s="136"/>
      <c r="P458" s="136"/>
      <c r="Q458" s="136"/>
      <c r="R458" s="136"/>
      <c r="S458" s="136"/>
      <c r="T458" s="136"/>
      <c r="U458" s="136"/>
    </row>
    <row r="459" spans="13:21" x14ac:dyDescent="0.35">
      <c r="M459" s="135"/>
      <c r="N459" s="136"/>
      <c r="O459" s="136"/>
      <c r="P459" s="136"/>
      <c r="Q459" s="136"/>
      <c r="R459" s="136"/>
      <c r="S459" s="136"/>
      <c r="T459" s="136"/>
      <c r="U459" s="136"/>
    </row>
    <row r="460" spans="13:21" x14ac:dyDescent="0.35">
      <c r="M460" s="135"/>
      <c r="N460" s="136"/>
      <c r="O460" s="136"/>
      <c r="P460" s="136"/>
      <c r="Q460" s="136"/>
      <c r="R460" s="136"/>
      <c r="S460" s="136"/>
      <c r="T460" s="136"/>
      <c r="U460" s="136"/>
    </row>
    <row r="461" spans="13:21" x14ac:dyDescent="0.35">
      <c r="M461" s="135"/>
      <c r="N461" s="136"/>
      <c r="O461" s="136"/>
      <c r="P461" s="136"/>
      <c r="Q461" s="136"/>
      <c r="R461" s="136"/>
      <c r="S461" s="136"/>
      <c r="T461" s="136"/>
      <c r="U461" s="136"/>
    </row>
    <row r="462" spans="13:21" x14ac:dyDescent="0.35">
      <c r="M462" s="135"/>
      <c r="N462" s="136"/>
      <c r="O462" s="136"/>
      <c r="P462" s="136"/>
      <c r="Q462" s="136"/>
      <c r="R462" s="136"/>
      <c r="S462" s="136"/>
      <c r="T462" s="136"/>
      <c r="U462" s="136"/>
    </row>
    <row r="463" spans="13:21" x14ac:dyDescent="0.35">
      <c r="M463" s="135"/>
      <c r="N463" s="136"/>
      <c r="O463" s="136"/>
      <c r="P463" s="136"/>
      <c r="Q463" s="136"/>
      <c r="R463" s="136"/>
      <c r="S463" s="136"/>
      <c r="T463" s="136"/>
      <c r="U463" s="136"/>
    </row>
    <row r="464" spans="13:21" x14ac:dyDescent="0.35">
      <c r="M464" s="135"/>
      <c r="N464" s="136"/>
      <c r="O464" s="136"/>
      <c r="P464" s="136"/>
      <c r="Q464" s="136"/>
      <c r="R464" s="136"/>
      <c r="S464" s="136"/>
      <c r="T464" s="136"/>
      <c r="U464" s="136"/>
    </row>
    <row r="465" spans="13:21" x14ac:dyDescent="0.35">
      <c r="M465" s="135"/>
      <c r="N465" s="136"/>
      <c r="O465" s="136"/>
      <c r="P465" s="136"/>
      <c r="Q465" s="136"/>
      <c r="R465" s="136"/>
      <c r="S465" s="136"/>
      <c r="T465" s="136"/>
      <c r="U465" s="136"/>
    </row>
    <row r="466" spans="13:21" x14ac:dyDescent="0.35">
      <c r="M466" s="135"/>
      <c r="N466" s="136"/>
      <c r="O466" s="136"/>
      <c r="P466" s="136"/>
      <c r="Q466" s="136"/>
      <c r="R466" s="136"/>
      <c r="S466" s="136"/>
      <c r="T466" s="136"/>
      <c r="U466" s="136"/>
    </row>
    <row r="467" spans="13:21" x14ac:dyDescent="0.35">
      <c r="M467" s="135"/>
      <c r="N467" s="136"/>
      <c r="O467" s="136"/>
      <c r="P467" s="136"/>
      <c r="Q467" s="136"/>
      <c r="R467" s="136"/>
      <c r="S467" s="136"/>
      <c r="T467" s="136"/>
      <c r="U467" s="136"/>
    </row>
    <row r="468" spans="13:21" x14ac:dyDescent="0.35">
      <c r="M468" s="135"/>
      <c r="N468" s="136"/>
      <c r="O468" s="136"/>
      <c r="P468" s="136"/>
      <c r="Q468" s="136"/>
      <c r="R468" s="136"/>
      <c r="S468" s="136"/>
      <c r="T468" s="136"/>
      <c r="U468" s="136"/>
    </row>
    <row r="469" spans="13:21" x14ac:dyDescent="0.35">
      <c r="M469" s="135"/>
      <c r="N469" s="136"/>
      <c r="O469" s="136"/>
      <c r="P469" s="136"/>
      <c r="Q469" s="136"/>
      <c r="R469" s="136"/>
      <c r="S469" s="136"/>
      <c r="T469" s="136"/>
      <c r="U469" s="136"/>
    </row>
    <row r="470" spans="13:21" x14ac:dyDescent="0.35">
      <c r="M470" s="135"/>
      <c r="N470" s="136"/>
      <c r="O470" s="136"/>
      <c r="P470" s="136"/>
      <c r="Q470" s="136"/>
      <c r="R470" s="136"/>
      <c r="S470" s="136"/>
      <c r="T470" s="136"/>
      <c r="U470" s="136"/>
    </row>
    <row r="471" spans="13:21" x14ac:dyDescent="0.35">
      <c r="M471" s="135"/>
      <c r="N471" s="136"/>
      <c r="O471" s="136"/>
      <c r="P471" s="136"/>
      <c r="Q471" s="136"/>
      <c r="R471" s="136"/>
      <c r="S471" s="136"/>
      <c r="T471" s="136"/>
      <c r="U471" s="136"/>
    </row>
    <row r="472" spans="13:21" x14ac:dyDescent="0.35">
      <c r="M472" s="135"/>
      <c r="N472" s="136"/>
      <c r="O472" s="136"/>
      <c r="P472" s="136"/>
      <c r="Q472" s="136"/>
      <c r="R472" s="136"/>
      <c r="S472" s="136"/>
      <c r="T472" s="136"/>
      <c r="U472" s="136"/>
    </row>
    <row r="473" spans="13:21" x14ac:dyDescent="0.35">
      <c r="M473" s="135"/>
      <c r="N473" s="136"/>
      <c r="O473" s="136"/>
      <c r="P473" s="136"/>
      <c r="Q473" s="136"/>
      <c r="R473" s="136"/>
      <c r="S473" s="136"/>
      <c r="T473" s="136"/>
      <c r="U473" s="136"/>
    </row>
    <row r="474" spans="13:21" x14ac:dyDescent="0.35">
      <c r="M474" s="135"/>
      <c r="N474" s="136"/>
      <c r="O474" s="136"/>
      <c r="P474" s="136"/>
      <c r="Q474" s="136"/>
      <c r="R474" s="136"/>
      <c r="S474" s="136"/>
      <c r="T474" s="136"/>
      <c r="U474" s="136"/>
    </row>
    <row r="475" spans="13:21" x14ac:dyDescent="0.35">
      <c r="M475" s="135"/>
      <c r="N475" s="136"/>
      <c r="O475" s="136"/>
      <c r="P475" s="136"/>
      <c r="Q475" s="136"/>
      <c r="R475" s="136"/>
      <c r="S475" s="136"/>
      <c r="T475" s="136"/>
      <c r="U475" s="136"/>
    </row>
    <row r="476" spans="13:21" x14ac:dyDescent="0.35">
      <c r="M476" s="135"/>
      <c r="N476" s="136"/>
      <c r="O476" s="136"/>
      <c r="P476" s="136"/>
      <c r="Q476" s="136"/>
      <c r="R476" s="136"/>
      <c r="S476" s="136"/>
      <c r="T476" s="136"/>
      <c r="U476" s="136"/>
    </row>
    <row r="477" spans="13:21" x14ac:dyDescent="0.35">
      <c r="M477" s="135"/>
      <c r="N477" s="136"/>
      <c r="O477" s="136"/>
      <c r="P477" s="136"/>
      <c r="Q477" s="136"/>
      <c r="R477" s="136"/>
      <c r="S477" s="136"/>
      <c r="T477" s="136"/>
      <c r="U477" s="136"/>
    </row>
    <row r="478" spans="13:21" x14ac:dyDescent="0.35">
      <c r="M478" s="135"/>
      <c r="N478" s="136"/>
      <c r="O478" s="136"/>
      <c r="P478" s="136"/>
      <c r="Q478" s="136"/>
      <c r="R478" s="136"/>
      <c r="S478" s="136"/>
      <c r="T478" s="136"/>
      <c r="U478" s="136"/>
    </row>
    <row r="479" spans="13:21" x14ac:dyDescent="0.35">
      <c r="M479" s="135"/>
      <c r="N479" s="136"/>
      <c r="O479" s="136"/>
      <c r="P479" s="136"/>
      <c r="Q479" s="136"/>
      <c r="R479" s="136"/>
      <c r="S479" s="136"/>
      <c r="T479" s="136"/>
      <c r="U479" s="136"/>
    </row>
    <row r="480" spans="13:21" x14ac:dyDescent="0.35">
      <c r="M480" s="135"/>
      <c r="N480" s="136"/>
      <c r="O480" s="136"/>
      <c r="P480" s="136"/>
      <c r="Q480" s="136"/>
      <c r="R480" s="136"/>
      <c r="S480" s="136"/>
      <c r="T480" s="136"/>
      <c r="U480" s="136"/>
    </row>
    <row r="481" spans="13:21" x14ac:dyDescent="0.35">
      <c r="M481" s="135"/>
      <c r="N481" s="136"/>
      <c r="O481" s="136"/>
      <c r="P481" s="136"/>
      <c r="Q481" s="136"/>
      <c r="R481" s="136"/>
      <c r="S481" s="136"/>
      <c r="T481" s="136"/>
      <c r="U481" s="136"/>
    </row>
    <row r="482" spans="13:21" x14ac:dyDescent="0.35">
      <c r="M482" s="135"/>
      <c r="N482" s="136"/>
      <c r="O482" s="136"/>
      <c r="P482" s="136"/>
      <c r="Q482" s="136"/>
      <c r="R482" s="136"/>
      <c r="S482" s="136"/>
      <c r="T482" s="136"/>
      <c r="U482" s="136"/>
    </row>
    <row r="483" spans="13:21" x14ac:dyDescent="0.35">
      <c r="M483" s="135"/>
      <c r="N483" s="136"/>
      <c r="O483" s="136"/>
      <c r="P483" s="136"/>
      <c r="Q483" s="136"/>
      <c r="R483" s="136"/>
      <c r="S483" s="136"/>
      <c r="T483" s="136"/>
      <c r="U483" s="136"/>
    </row>
    <row r="484" spans="13:21" x14ac:dyDescent="0.35">
      <c r="M484" s="135"/>
      <c r="N484" s="136"/>
      <c r="O484" s="136"/>
      <c r="P484" s="136"/>
      <c r="Q484" s="136"/>
      <c r="R484" s="136"/>
      <c r="S484" s="136"/>
      <c r="T484" s="136"/>
      <c r="U484" s="136"/>
    </row>
    <row r="485" spans="13:21" x14ac:dyDescent="0.35">
      <c r="M485" s="135"/>
      <c r="N485" s="136"/>
      <c r="O485" s="136"/>
      <c r="P485" s="136"/>
      <c r="Q485" s="136"/>
      <c r="R485" s="136"/>
      <c r="S485" s="136"/>
      <c r="T485" s="136"/>
      <c r="U485" s="136"/>
    </row>
    <row r="486" spans="13:21" x14ac:dyDescent="0.35">
      <c r="M486" s="135"/>
      <c r="N486" s="136"/>
      <c r="O486" s="136"/>
      <c r="P486" s="136"/>
      <c r="Q486" s="136"/>
      <c r="R486" s="136"/>
      <c r="S486" s="136"/>
      <c r="T486" s="136"/>
      <c r="U486" s="136"/>
    </row>
    <row r="487" spans="13:21" x14ac:dyDescent="0.35">
      <c r="M487" s="135"/>
      <c r="N487" s="136"/>
      <c r="O487" s="136"/>
      <c r="P487" s="136"/>
      <c r="Q487" s="136"/>
      <c r="R487" s="136"/>
      <c r="S487" s="136"/>
      <c r="T487" s="136"/>
      <c r="U487" s="136"/>
    </row>
    <row r="488" spans="13:21" x14ac:dyDescent="0.35">
      <c r="M488" s="135"/>
      <c r="N488" s="136"/>
      <c r="O488" s="136"/>
      <c r="P488" s="136"/>
      <c r="Q488" s="136"/>
      <c r="R488" s="136"/>
      <c r="S488" s="136"/>
      <c r="T488" s="136"/>
      <c r="U488" s="136"/>
    </row>
    <row r="489" spans="13:21" x14ac:dyDescent="0.35">
      <c r="M489" s="135"/>
      <c r="N489" s="136"/>
      <c r="O489" s="136"/>
      <c r="P489" s="136"/>
      <c r="Q489" s="136"/>
      <c r="R489" s="136"/>
      <c r="S489" s="136"/>
      <c r="T489" s="136"/>
      <c r="U489" s="136"/>
    </row>
    <row r="490" spans="13:21" x14ac:dyDescent="0.35">
      <c r="M490" s="135"/>
      <c r="N490" s="136"/>
      <c r="O490" s="136"/>
      <c r="P490" s="136"/>
      <c r="Q490" s="136"/>
      <c r="R490" s="136"/>
      <c r="S490" s="136"/>
      <c r="T490" s="136"/>
      <c r="U490" s="136"/>
    </row>
    <row r="491" spans="13:21" x14ac:dyDescent="0.35">
      <c r="M491" s="135"/>
      <c r="N491" s="136"/>
      <c r="O491" s="136"/>
      <c r="P491" s="136"/>
      <c r="Q491" s="136"/>
      <c r="R491" s="136"/>
      <c r="S491" s="136"/>
      <c r="T491" s="136"/>
      <c r="U491" s="136"/>
    </row>
    <row r="492" spans="13:21" x14ac:dyDescent="0.35">
      <c r="M492" s="135"/>
      <c r="N492" s="136"/>
      <c r="O492" s="136"/>
      <c r="P492" s="136"/>
      <c r="Q492" s="136"/>
      <c r="R492" s="136"/>
      <c r="S492" s="136"/>
      <c r="T492" s="136"/>
      <c r="U492" s="136"/>
    </row>
    <row r="493" spans="13:21" x14ac:dyDescent="0.35">
      <c r="M493" s="135"/>
      <c r="N493" s="136"/>
      <c r="O493" s="136"/>
      <c r="P493" s="136"/>
      <c r="Q493" s="136"/>
      <c r="R493" s="136"/>
      <c r="S493" s="136"/>
      <c r="T493" s="136"/>
      <c r="U493" s="136"/>
    </row>
    <row r="494" spans="13:21" x14ac:dyDescent="0.35">
      <c r="M494" s="135"/>
      <c r="N494" s="136"/>
      <c r="O494" s="136"/>
      <c r="P494" s="136"/>
      <c r="Q494" s="136"/>
      <c r="R494" s="136"/>
      <c r="S494" s="136"/>
      <c r="T494" s="136"/>
      <c r="U494" s="136"/>
    </row>
    <row r="495" spans="13:21" x14ac:dyDescent="0.35">
      <c r="M495" s="135"/>
      <c r="N495" s="136"/>
      <c r="O495" s="136"/>
      <c r="P495" s="136"/>
      <c r="Q495" s="136"/>
      <c r="R495" s="136"/>
      <c r="S495" s="136"/>
      <c r="T495" s="136"/>
      <c r="U495" s="136"/>
    </row>
    <row r="496" spans="13:21" x14ac:dyDescent="0.35">
      <c r="M496" s="135"/>
      <c r="N496" s="136"/>
      <c r="O496" s="136"/>
      <c r="P496" s="136"/>
      <c r="Q496" s="136"/>
      <c r="R496" s="136"/>
      <c r="S496" s="136"/>
      <c r="T496" s="136"/>
      <c r="U496" s="136"/>
    </row>
    <row r="497" spans="13:21" x14ac:dyDescent="0.35">
      <c r="M497" s="135"/>
      <c r="N497" s="136"/>
      <c r="O497" s="136"/>
      <c r="P497" s="136"/>
      <c r="Q497" s="136"/>
      <c r="R497" s="136"/>
      <c r="S497" s="136"/>
      <c r="T497" s="136"/>
      <c r="U497" s="136"/>
    </row>
    <row r="498" spans="13:21" x14ac:dyDescent="0.35">
      <c r="M498" s="135"/>
      <c r="N498" s="136"/>
      <c r="O498" s="136"/>
      <c r="P498" s="136"/>
      <c r="Q498" s="136"/>
      <c r="R498" s="136"/>
      <c r="S498" s="136"/>
      <c r="T498" s="136"/>
      <c r="U498" s="136"/>
    </row>
    <row r="499" spans="13:21" x14ac:dyDescent="0.35">
      <c r="M499" s="135"/>
      <c r="N499" s="136"/>
      <c r="O499" s="136"/>
      <c r="P499" s="136"/>
      <c r="Q499" s="136"/>
      <c r="R499" s="136"/>
      <c r="S499" s="136"/>
      <c r="T499" s="136"/>
      <c r="U499" s="136"/>
    </row>
    <row r="500" spans="13:21" x14ac:dyDescent="0.35">
      <c r="M500" s="135"/>
      <c r="N500" s="136"/>
      <c r="O500" s="136"/>
      <c r="P500" s="136"/>
      <c r="Q500" s="136"/>
      <c r="R500" s="136"/>
      <c r="S500" s="136"/>
      <c r="T500" s="136"/>
      <c r="U500" s="136"/>
    </row>
    <row r="501" spans="13:21" x14ac:dyDescent="0.35">
      <c r="M501" s="135"/>
      <c r="N501" s="136"/>
      <c r="O501" s="136"/>
      <c r="P501" s="136"/>
      <c r="Q501" s="136"/>
      <c r="R501" s="136"/>
      <c r="S501" s="136"/>
      <c r="T501" s="136"/>
      <c r="U501" s="136"/>
    </row>
    <row r="502" spans="13:21" x14ac:dyDescent="0.35">
      <c r="M502" s="135"/>
      <c r="N502" s="136"/>
      <c r="O502" s="136"/>
      <c r="P502" s="136"/>
      <c r="Q502" s="136"/>
      <c r="R502" s="136"/>
      <c r="S502" s="136"/>
      <c r="T502" s="136"/>
      <c r="U502" s="136"/>
    </row>
    <row r="503" spans="13:21" x14ac:dyDescent="0.35">
      <c r="M503" s="135"/>
      <c r="N503" s="136"/>
      <c r="O503" s="136"/>
      <c r="P503" s="136"/>
      <c r="Q503" s="136"/>
      <c r="R503" s="136"/>
      <c r="S503" s="136"/>
      <c r="T503" s="136"/>
      <c r="U503" s="136"/>
    </row>
    <row r="504" spans="13:21" x14ac:dyDescent="0.35">
      <c r="M504" s="135"/>
      <c r="N504" s="136"/>
      <c r="O504" s="136"/>
      <c r="P504" s="136"/>
      <c r="Q504" s="136"/>
      <c r="R504" s="136"/>
      <c r="S504" s="136"/>
      <c r="T504" s="136"/>
      <c r="U504" s="136"/>
    </row>
    <row r="505" spans="13:21" x14ac:dyDescent="0.35">
      <c r="M505" s="135"/>
      <c r="N505" s="136"/>
      <c r="O505" s="136"/>
      <c r="P505" s="136"/>
      <c r="Q505" s="136"/>
      <c r="R505" s="136"/>
      <c r="S505" s="136"/>
      <c r="T505" s="136"/>
      <c r="U505" s="136"/>
    </row>
    <row r="506" spans="13:21" x14ac:dyDescent="0.35">
      <c r="M506" s="135"/>
      <c r="N506" s="136"/>
      <c r="O506" s="136"/>
      <c r="P506" s="136"/>
      <c r="Q506" s="136"/>
      <c r="R506" s="136"/>
      <c r="S506" s="136"/>
      <c r="T506" s="136"/>
      <c r="U506" s="136"/>
    </row>
    <row r="507" spans="13:21" x14ac:dyDescent="0.35">
      <c r="M507" s="135"/>
      <c r="N507" s="136"/>
      <c r="O507" s="136"/>
      <c r="P507" s="136"/>
      <c r="Q507" s="136"/>
      <c r="R507" s="136"/>
      <c r="S507" s="136"/>
      <c r="T507" s="136"/>
      <c r="U507" s="136"/>
    </row>
    <row r="508" spans="13:21" x14ac:dyDescent="0.35">
      <c r="M508" s="135"/>
      <c r="N508" s="136"/>
      <c r="O508" s="136"/>
      <c r="P508" s="136"/>
      <c r="Q508" s="136"/>
      <c r="R508" s="136"/>
      <c r="S508" s="136"/>
      <c r="T508" s="136"/>
      <c r="U508" s="136"/>
    </row>
    <row r="509" spans="13:21" x14ac:dyDescent="0.35">
      <c r="M509" s="135"/>
      <c r="N509" s="136"/>
      <c r="O509" s="136"/>
      <c r="P509" s="136"/>
      <c r="Q509" s="136"/>
      <c r="R509" s="136"/>
      <c r="S509" s="136"/>
      <c r="T509" s="136"/>
      <c r="U509" s="136"/>
    </row>
    <row r="510" spans="13:21" x14ac:dyDescent="0.35">
      <c r="M510" s="135"/>
      <c r="N510" s="136"/>
      <c r="O510" s="136"/>
      <c r="P510" s="136"/>
      <c r="Q510" s="136"/>
      <c r="R510" s="136"/>
      <c r="S510" s="136"/>
      <c r="T510" s="136"/>
      <c r="U510" s="136"/>
    </row>
    <row r="511" spans="13:21" x14ac:dyDescent="0.35">
      <c r="M511" s="135"/>
      <c r="N511" s="136"/>
      <c r="O511" s="136"/>
      <c r="P511" s="136"/>
      <c r="Q511" s="136"/>
      <c r="R511" s="136"/>
      <c r="S511" s="136"/>
      <c r="T511" s="136"/>
      <c r="U511" s="136"/>
    </row>
    <row r="512" spans="13:21" x14ac:dyDescent="0.35">
      <c r="M512" s="135"/>
      <c r="N512" s="136"/>
      <c r="O512" s="136"/>
      <c r="P512" s="136"/>
      <c r="Q512" s="136"/>
      <c r="R512" s="136"/>
      <c r="S512" s="136"/>
      <c r="T512" s="136"/>
      <c r="U512" s="136"/>
    </row>
    <row r="513" spans="13:21" x14ac:dyDescent="0.35">
      <c r="M513" s="135"/>
      <c r="N513" s="136"/>
      <c r="O513" s="136"/>
      <c r="P513" s="136"/>
      <c r="Q513" s="136"/>
      <c r="R513" s="136"/>
      <c r="S513" s="136"/>
      <c r="T513" s="136"/>
      <c r="U513" s="136"/>
    </row>
    <row r="514" spans="13:21" x14ac:dyDescent="0.35">
      <c r="M514" s="135"/>
      <c r="N514" s="136"/>
      <c r="O514" s="136"/>
      <c r="P514" s="136"/>
      <c r="Q514" s="136"/>
      <c r="R514" s="136"/>
      <c r="S514" s="136"/>
      <c r="T514" s="136"/>
      <c r="U514" s="136"/>
    </row>
    <row r="515" spans="13:21" x14ac:dyDescent="0.35">
      <c r="M515" s="135"/>
      <c r="N515" s="136"/>
      <c r="O515" s="136"/>
      <c r="P515" s="136"/>
      <c r="Q515" s="136"/>
      <c r="R515" s="136"/>
      <c r="S515" s="136"/>
      <c r="T515" s="136"/>
      <c r="U515" s="136"/>
    </row>
    <row r="516" spans="13:21" x14ac:dyDescent="0.35">
      <c r="M516" s="135"/>
      <c r="N516" s="136"/>
      <c r="O516" s="136"/>
      <c r="P516" s="136"/>
      <c r="Q516" s="136"/>
      <c r="R516" s="136"/>
      <c r="S516" s="136"/>
      <c r="T516" s="136"/>
      <c r="U516" s="136"/>
    </row>
    <row r="517" spans="13:21" x14ac:dyDescent="0.35">
      <c r="M517" s="135"/>
      <c r="N517" s="136"/>
      <c r="O517" s="136"/>
      <c r="P517" s="136"/>
      <c r="Q517" s="136"/>
      <c r="R517" s="136"/>
      <c r="S517" s="136"/>
      <c r="T517" s="136"/>
      <c r="U517" s="136"/>
    </row>
    <row r="518" spans="13:21" x14ac:dyDescent="0.35">
      <c r="M518" s="135"/>
      <c r="N518" s="136"/>
      <c r="O518" s="136"/>
      <c r="P518" s="136"/>
      <c r="Q518" s="136"/>
      <c r="R518" s="136"/>
      <c r="S518" s="136"/>
      <c r="T518" s="136"/>
      <c r="U518" s="136"/>
    </row>
    <row r="519" spans="13:21" x14ac:dyDescent="0.35">
      <c r="M519" s="135"/>
      <c r="N519" s="136"/>
      <c r="O519" s="136"/>
      <c r="P519" s="136"/>
      <c r="Q519" s="136"/>
      <c r="R519" s="136"/>
      <c r="S519" s="136"/>
      <c r="T519" s="136"/>
      <c r="U519" s="136"/>
    </row>
    <row r="520" spans="13:21" x14ac:dyDescent="0.35">
      <c r="M520" s="135"/>
      <c r="N520" s="136"/>
      <c r="O520" s="136"/>
      <c r="P520" s="136"/>
      <c r="Q520" s="136"/>
      <c r="R520" s="136"/>
      <c r="S520" s="136"/>
      <c r="T520" s="136"/>
      <c r="U520" s="136"/>
    </row>
    <row r="521" spans="13:21" x14ac:dyDescent="0.35">
      <c r="M521" s="135"/>
      <c r="N521" s="136"/>
      <c r="O521" s="136"/>
      <c r="P521" s="136"/>
      <c r="Q521" s="136"/>
      <c r="R521" s="136"/>
      <c r="S521" s="136"/>
      <c r="T521" s="136"/>
      <c r="U521" s="136"/>
    </row>
    <row r="522" spans="13:21" x14ac:dyDescent="0.35">
      <c r="M522" s="135"/>
      <c r="N522" s="136"/>
      <c r="O522" s="136"/>
      <c r="P522" s="136"/>
      <c r="Q522" s="136"/>
      <c r="R522" s="136"/>
      <c r="S522" s="136"/>
      <c r="T522" s="136"/>
      <c r="U522" s="136"/>
    </row>
    <row r="523" spans="13:21" x14ac:dyDescent="0.35">
      <c r="M523" s="135"/>
      <c r="N523" s="136"/>
      <c r="O523" s="136"/>
      <c r="P523" s="136"/>
      <c r="Q523" s="136"/>
      <c r="R523" s="136"/>
      <c r="S523" s="136"/>
      <c r="T523" s="136"/>
      <c r="U523" s="136"/>
    </row>
    <row r="524" spans="13:21" x14ac:dyDescent="0.35">
      <c r="M524" s="135"/>
      <c r="N524" s="136"/>
      <c r="O524" s="136"/>
      <c r="P524" s="136"/>
      <c r="Q524" s="136"/>
      <c r="R524" s="136"/>
      <c r="S524" s="136"/>
      <c r="T524" s="136"/>
      <c r="U524" s="136"/>
    </row>
    <row r="525" spans="13:21" x14ac:dyDescent="0.35">
      <c r="M525" s="135"/>
      <c r="N525" s="136"/>
      <c r="O525" s="136"/>
      <c r="P525" s="136"/>
      <c r="Q525" s="136"/>
      <c r="R525" s="136"/>
      <c r="S525" s="136"/>
      <c r="T525" s="136"/>
      <c r="U525" s="136"/>
    </row>
    <row r="526" spans="13:21" x14ac:dyDescent="0.35">
      <c r="M526" s="135"/>
      <c r="N526" s="136"/>
      <c r="O526" s="136"/>
      <c r="P526" s="136"/>
      <c r="Q526" s="136"/>
      <c r="R526" s="136"/>
      <c r="S526" s="136"/>
      <c r="T526" s="136"/>
      <c r="U526" s="136"/>
    </row>
    <row r="527" spans="13:21" x14ac:dyDescent="0.35">
      <c r="M527" s="135"/>
      <c r="N527" s="136"/>
      <c r="O527" s="136"/>
      <c r="P527" s="136"/>
      <c r="Q527" s="136"/>
      <c r="R527" s="136"/>
      <c r="S527" s="136"/>
      <c r="T527" s="136"/>
      <c r="U527" s="136"/>
    </row>
    <row r="528" spans="13:21" x14ac:dyDescent="0.35">
      <c r="M528" s="135"/>
      <c r="N528" s="136"/>
      <c r="O528" s="136"/>
      <c r="P528" s="136"/>
      <c r="Q528" s="136"/>
      <c r="R528" s="136"/>
      <c r="S528" s="136"/>
      <c r="T528" s="136"/>
      <c r="U528" s="136"/>
    </row>
    <row r="529" spans="13:21" x14ac:dyDescent="0.35">
      <c r="M529" s="135"/>
      <c r="N529" s="136"/>
      <c r="O529" s="136"/>
      <c r="P529" s="136"/>
      <c r="Q529" s="136"/>
      <c r="R529" s="136"/>
      <c r="S529" s="136"/>
      <c r="T529" s="136"/>
      <c r="U529" s="136"/>
    </row>
    <row r="530" spans="13:21" x14ac:dyDescent="0.35">
      <c r="M530" s="135"/>
      <c r="N530" s="136"/>
      <c r="O530" s="136"/>
      <c r="P530" s="136"/>
      <c r="Q530" s="136"/>
      <c r="R530" s="136"/>
      <c r="S530" s="136"/>
      <c r="T530" s="136"/>
      <c r="U530" s="136"/>
    </row>
    <row r="531" spans="13:21" x14ac:dyDescent="0.35">
      <c r="M531" s="135"/>
      <c r="N531" s="136"/>
      <c r="O531" s="136"/>
      <c r="P531" s="136"/>
      <c r="Q531" s="136"/>
      <c r="R531" s="136"/>
      <c r="S531" s="136"/>
      <c r="T531" s="136"/>
      <c r="U531" s="136"/>
    </row>
    <row r="532" spans="13:21" x14ac:dyDescent="0.35">
      <c r="M532" s="135"/>
      <c r="N532" s="136"/>
      <c r="O532" s="136"/>
      <c r="P532" s="136"/>
      <c r="Q532" s="136"/>
      <c r="R532" s="136"/>
      <c r="S532" s="136"/>
      <c r="T532" s="136"/>
      <c r="U532" s="136"/>
    </row>
    <row r="533" spans="13:21" x14ac:dyDescent="0.35">
      <c r="M533" s="135"/>
      <c r="N533" s="136"/>
      <c r="O533" s="136"/>
      <c r="P533" s="136"/>
      <c r="Q533" s="136"/>
      <c r="R533" s="136"/>
      <c r="S533" s="136"/>
      <c r="T533" s="136"/>
      <c r="U533" s="136"/>
    </row>
    <row r="534" spans="13:21" x14ac:dyDescent="0.35">
      <c r="M534" s="135"/>
      <c r="N534" s="136"/>
      <c r="O534" s="136"/>
      <c r="P534" s="136"/>
      <c r="Q534" s="136"/>
      <c r="R534" s="136"/>
      <c r="S534" s="136"/>
      <c r="T534" s="136"/>
      <c r="U534" s="136"/>
    </row>
    <row r="535" spans="13:21" x14ac:dyDescent="0.35">
      <c r="M535" s="135"/>
      <c r="N535" s="136"/>
      <c r="O535" s="136"/>
      <c r="P535" s="136"/>
      <c r="Q535" s="136"/>
      <c r="R535" s="136"/>
      <c r="S535" s="136"/>
      <c r="T535" s="136"/>
      <c r="U535" s="136"/>
    </row>
    <row r="536" spans="13:21" x14ac:dyDescent="0.35">
      <c r="M536" s="135"/>
      <c r="N536" s="136"/>
      <c r="O536" s="136"/>
      <c r="P536" s="136"/>
      <c r="Q536" s="136"/>
      <c r="R536" s="136"/>
      <c r="S536" s="136"/>
      <c r="T536" s="136"/>
      <c r="U536" s="136"/>
    </row>
    <row r="537" spans="13:21" x14ac:dyDescent="0.35">
      <c r="M537" s="135"/>
      <c r="N537" s="136"/>
      <c r="O537" s="136"/>
      <c r="P537" s="136"/>
      <c r="Q537" s="136"/>
      <c r="R537" s="136"/>
      <c r="S537" s="136"/>
      <c r="T537" s="136"/>
      <c r="U537" s="136"/>
    </row>
    <row r="538" spans="13:21" x14ac:dyDescent="0.35">
      <c r="M538" s="135"/>
      <c r="N538" s="136"/>
      <c r="O538" s="136"/>
      <c r="P538" s="136"/>
      <c r="Q538" s="136"/>
      <c r="R538" s="136"/>
      <c r="S538" s="136"/>
      <c r="T538" s="136"/>
      <c r="U538" s="136"/>
    </row>
    <row r="539" spans="13:21" x14ac:dyDescent="0.35">
      <c r="M539" s="135"/>
      <c r="N539" s="136"/>
      <c r="O539" s="136"/>
      <c r="P539" s="136"/>
      <c r="Q539" s="136"/>
      <c r="R539" s="136"/>
      <c r="S539" s="136"/>
      <c r="T539" s="136"/>
      <c r="U539" s="136"/>
    </row>
    <row r="540" spans="13:21" x14ac:dyDescent="0.35">
      <c r="M540" s="135"/>
      <c r="N540" s="136"/>
      <c r="O540" s="136"/>
      <c r="P540" s="136"/>
      <c r="Q540" s="136"/>
      <c r="R540" s="136"/>
      <c r="S540" s="136"/>
      <c r="T540" s="136"/>
      <c r="U540" s="136"/>
    </row>
    <row r="541" spans="13:21" x14ac:dyDescent="0.35">
      <c r="M541" s="135"/>
      <c r="N541" s="136"/>
      <c r="O541" s="136"/>
      <c r="P541" s="136"/>
      <c r="Q541" s="136"/>
      <c r="R541" s="136"/>
      <c r="S541" s="136"/>
      <c r="T541" s="136"/>
      <c r="U541" s="136"/>
    </row>
    <row r="542" spans="13:21" x14ac:dyDescent="0.35">
      <c r="M542" s="135"/>
      <c r="N542" s="136"/>
      <c r="O542" s="136"/>
      <c r="P542" s="136"/>
      <c r="Q542" s="136"/>
      <c r="R542" s="136"/>
      <c r="S542" s="136"/>
      <c r="T542" s="136"/>
      <c r="U542" s="136"/>
    </row>
    <row r="543" spans="13:21" x14ac:dyDescent="0.35">
      <c r="M543" s="135"/>
      <c r="N543" s="136"/>
      <c r="O543" s="136"/>
      <c r="P543" s="136"/>
      <c r="Q543" s="136"/>
      <c r="R543" s="136"/>
      <c r="S543" s="136"/>
      <c r="T543" s="136"/>
      <c r="U543" s="136"/>
    </row>
    <row r="544" spans="13:21" x14ac:dyDescent="0.35">
      <c r="M544" s="135"/>
      <c r="N544" s="136"/>
      <c r="O544" s="136"/>
      <c r="P544" s="136"/>
      <c r="Q544" s="136"/>
      <c r="R544" s="136"/>
      <c r="S544" s="136"/>
      <c r="T544" s="136"/>
      <c r="U544" s="136"/>
    </row>
    <row r="545" spans="13:21" x14ac:dyDescent="0.35">
      <c r="M545" s="135"/>
      <c r="N545" s="136"/>
      <c r="O545" s="136"/>
      <c r="P545" s="136"/>
      <c r="Q545" s="136"/>
      <c r="R545" s="136"/>
      <c r="S545" s="136"/>
      <c r="T545" s="136"/>
      <c r="U545" s="136"/>
    </row>
    <row r="546" spans="13:21" x14ac:dyDescent="0.35">
      <c r="M546" s="135"/>
      <c r="N546" s="136"/>
      <c r="O546" s="136"/>
      <c r="P546" s="136"/>
      <c r="Q546" s="136"/>
      <c r="R546" s="136"/>
      <c r="S546" s="136"/>
      <c r="T546" s="136"/>
      <c r="U546" s="136"/>
    </row>
    <row r="547" spans="13:21" x14ac:dyDescent="0.35">
      <c r="M547" s="135"/>
      <c r="N547" s="136"/>
      <c r="O547" s="136"/>
      <c r="P547" s="136"/>
      <c r="Q547" s="136"/>
      <c r="R547" s="136"/>
      <c r="S547" s="136"/>
      <c r="T547" s="136"/>
      <c r="U547" s="136"/>
    </row>
    <row r="548" spans="13:21" x14ac:dyDescent="0.35">
      <c r="M548" s="135"/>
      <c r="N548" s="136"/>
      <c r="O548" s="136"/>
      <c r="P548" s="136"/>
      <c r="Q548" s="136"/>
      <c r="R548" s="136"/>
      <c r="S548" s="136"/>
      <c r="T548" s="136"/>
      <c r="U548" s="136"/>
    </row>
    <row r="549" spans="13:21" x14ac:dyDescent="0.35">
      <c r="M549" s="135"/>
      <c r="N549" s="136"/>
      <c r="O549" s="136"/>
      <c r="P549" s="136"/>
      <c r="Q549" s="136"/>
      <c r="R549" s="136"/>
      <c r="S549" s="136"/>
      <c r="T549" s="136"/>
      <c r="U549" s="136"/>
    </row>
    <row r="550" spans="13:21" x14ac:dyDescent="0.35">
      <c r="M550" s="135"/>
      <c r="N550" s="136"/>
      <c r="O550" s="136"/>
      <c r="P550" s="136"/>
      <c r="Q550" s="136"/>
      <c r="R550" s="136"/>
      <c r="S550" s="136"/>
      <c r="T550" s="136"/>
      <c r="U550" s="136"/>
    </row>
    <row r="551" spans="13:21" x14ac:dyDescent="0.35">
      <c r="M551" s="135"/>
      <c r="N551" s="136"/>
      <c r="O551" s="136"/>
      <c r="P551" s="136"/>
      <c r="Q551" s="136"/>
      <c r="R551" s="136"/>
      <c r="S551" s="136"/>
      <c r="T551" s="136"/>
      <c r="U551" s="136"/>
    </row>
    <row r="552" spans="13:21" x14ac:dyDescent="0.35">
      <c r="M552" s="135"/>
      <c r="N552" s="136"/>
      <c r="O552" s="136"/>
      <c r="P552" s="136"/>
      <c r="Q552" s="136"/>
      <c r="R552" s="136"/>
      <c r="S552" s="136"/>
      <c r="T552" s="136"/>
      <c r="U552" s="136"/>
    </row>
    <row r="553" spans="13:21" x14ac:dyDescent="0.35">
      <c r="M553" s="135"/>
      <c r="N553" s="136"/>
      <c r="O553" s="136"/>
      <c r="P553" s="136"/>
      <c r="Q553" s="136"/>
      <c r="R553" s="136"/>
      <c r="S553" s="136"/>
      <c r="T553" s="136"/>
      <c r="U553" s="136"/>
    </row>
    <row r="554" spans="13:21" x14ac:dyDescent="0.35">
      <c r="M554" s="135"/>
      <c r="N554" s="136"/>
      <c r="O554" s="136"/>
      <c r="P554" s="136"/>
      <c r="Q554" s="136"/>
      <c r="R554" s="136"/>
      <c r="S554" s="136"/>
      <c r="T554" s="136"/>
      <c r="U554" s="136"/>
    </row>
    <row r="555" spans="13:21" x14ac:dyDescent="0.35">
      <c r="M555" s="135"/>
      <c r="N555" s="136"/>
      <c r="O555" s="136"/>
      <c r="P555" s="136"/>
      <c r="Q555" s="136"/>
      <c r="R555" s="136"/>
      <c r="S555" s="136"/>
      <c r="T555" s="136"/>
      <c r="U555" s="136"/>
    </row>
    <row r="556" spans="13:21" x14ac:dyDescent="0.35">
      <c r="M556" s="135"/>
      <c r="N556" s="136"/>
      <c r="O556" s="136"/>
      <c r="P556" s="136"/>
      <c r="Q556" s="136"/>
      <c r="R556" s="136"/>
      <c r="S556" s="136"/>
      <c r="T556" s="136"/>
      <c r="U556" s="136"/>
    </row>
    <row r="557" spans="13:21" x14ac:dyDescent="0.35">
      <c r="M557" s="135"/>
      <c r="N557" s="136"/>
      <c r="O557" s="136"/>
      <c r="P557" s="136"/>
      <c r="Q557" s="136"/>
      <c r="R557" s="136"/>
      <c r="S557" s="136"/>
      <c r="T557" s="136"/>
      <c r="U557" s="136"/>
    </row>
    <row r="558" spans="13:21" x14ac:dyDescent="0.35">
      <c r="M558" s="135"/>
      <c r="N558" s="136"/>
      <c r="O558" s="136"/>
      <c r="P558" s="136"/>
      <c r="Q558" s="136"/>
      <c r="R558" s="136"/>
      <c r="S558" s="136"/>
      <c r="T558" s="136"/>
      <c r="U558" s="136"/>
    </row>
    <row r="559" spans="13:21" x14ac:dyDescent="0.35">
      <c r="M559" s="135"/>
      <c r="N559" s="136"/>
      <c r="O559" s="136"/>
      <c r="P559" s="136"/>
      <c r="Q559" s="136"/>
      <c r="R559" s="136"/>
      <c r="S559" s="136"/>
      <c r="T559" s="136"/>
      <c r="U559" s="136"/>
    </row>
    <row r="560" spans="13:21" x14ac:dyDescent="0.35">
      <c r="M560" s="135"/>
      <c r="N560" s="136"/>
      <c r="O560" s="136"/>
      <c r="P560" s="136"/>
      <c r="Q560" s="136"/>
      <c r="R560" s="136"/>
      <c r="S560" s="136"/>
      <c r="T560" s="136"/>
      <c r="U560" s="136"/>
    </row>
    <row r="561" spans="13:21" x14ac:dyDescent="0.35">
      <c r="M561" s="135"/>
      <c r="N561" s="136"/>
      <c r="O561" s="136"/>
      <c r="P561" s="136"/>
      <c r="Q561" s="136"/>
      <c r="R561" s="136"/>
      <c r="S561" s="136"/>
      <c r="T561" s="136"/>
      <c r="U561" s="136"/>
    </row>
    <row r="562" spans="13:21" x14ac:dyDescent="0.35">
      <c r="M562" s="135"/>
      <c r="N562" s="136"/>
      <c r="O562" s="136"/>
      <c r="P562" s="136"/>
      <c r="Q562" s="136"/>
      <c r="R562" s="136"/>
      <c r="S562" s="136"/>
      <c r="T562" s="136"/>
      <c r="U562" s="136"/>
    </row>
    <row r="563" spans="13:21" x14ac:dyDescent="0.35">
      <c r="M563" s="135"/>
      <c r="N563" s="136"/>
      <c r="O563" s="136"/>
      <c r="P563" s="136"/>
      <c r="Q563" s="136"/>
      <c r="R563" s="136"/>
      <c r="S563" s="136"/>
      <c r="T563" s="136"/>
      <c r="U563" s="136"/>
    </row>
    <row r="564" spans="13:21" x14ac:dyDescent="0.35">
      <c r="M564" s="135"/>
      <c r="N564" s="136"/>
      <c r="O564" s="136"/>
      <c r="P564" s="136"/>
      <c r="Q564" s="136"/>
      <c r="R564" s="136"/>
      <c r="S564" s="136"/>
      <c r="T564" s="136"/>
      <c r="U564" s="136"/>
    </row>
    <row r="565" spans="13:21" x14ac:dyDescent="0.35">
      <c r="M565" s="135"/>
      <c r="N565" s="136"/>
      <c r="O565" s="136"/>
      <c r="P565" s="136"/>
      <c r="Q565" s="136"/>
      <c r="R565" s="136"/>
      <c r="S565" s="136"/>
      <c r="T565" s="136"/>
      <c r="U565" s="136"/>
    </row>
    <row r="566" spans="13:21" x14ac:dyDescent="0.35">
      <c r="M566" s="135"/>
      <c r="N566" s="136"/>
      <c r="O566" s="136"/>
      <c r="P566" s="136"/>
      <c r="Q566" s="136"/>
      <c r="R566" s="136"/>
      <c r="S566" s="136"/>
      <c r="T566" s="136"/>
      <c r="U566" s="136"/>
    </row>
    <row r="567" spans="13:21" x14ac:dyDescent="0.35">
      <c r="M567" s="135"/>
      <c r="N567" s="136"/>
      <c r="O567" s="136"/>
      <c r="P567" s="136"/>
      <c r="Q567" s="136"/>
      <c r="R567" s="136"/>
      <c r="S567" s="136"/>
      <c r="T567" s="136"/>
      <c r="U567" s="136"/>
    </row>
    <row r="568" spans="13:21" x14ac:dyDescent="0.35">
      <c r="M568" s="135"/>
      <c r="N568" s="136"/>
      <c r="O568" s="136"/>
      <c r="P568" s="136"/>
      <c r="Q568" s="136"/>
      <c r="R568" s="136"/>
      <c r="S568" s="136"/>
      <c r="T568" s="136"/>
      <c r="U568" s="136"/>
    </row>
    <row r="569" spans="13:21" x14ac:dyDescent="0.35">
      <c r="M569" s="135"/>
      <c r="N569" s="136"/>
      <c r="O569" s="136"/>
      <c r="P569" s="136"/>
      <c r="Q569" s="136"/>
      <c r="R569" s="136"/>
      <c r="S569" s="136"/>
      <c r="T569" s="136"/>
      <c r="U569" s="136"/>
    </row>
    <row r="570" spans="13:21" x14ac:dyDescent="0.35">
      <c r="M570" s="135"/>
      <c r="N570" s="136"/>
      <c r="O570" s="136"/>
      <c r="P570" s="136"/>
      <c r="Q570" s="136"/>
      <c r="R570" s="136"/>
      <c r="S570" s="136"/>
      <c r="T570" s="136"/>
      <c r="U570" s="136"/>
    </row>
    <row r="571" spans="13:21" x14ac:dyDescent="0.35">
      <c r="M571" s="135"/>
      <c r="N571" s="136"/>
      <c r="O571" s="136"/>
      <c r="P571" s="136"/>
      <c r="Q571" s="136"/>
      <c r="R571" s="136"/>
      <c r="S571" s="136"/>
      <c r="T571" s="136"/>
      <c r="U571" s="136"/>
    </row>
    <row r="572" spans="13:21" x14ac:dyDescent="0.35">
      <c r="M572" s="135"/>
      <c r="N572" s="136"/>
      <c r="O572" s="136"/>
      <c r="P572" s="136"/>
      <c r="Q572" s="136"/>
      <c r="R572" s="136"/>
      <c r="S572" s="136"/>
      <c r="T572" s="136"/>
      <c r="U572" s="136"/>
    </row>
    <row r="573" spans="13:21" x14ac:dyDescent="0.35">
      <c r="M573" s="135"/>
      <c r="N573" s="136"/>
      <c r="O573" s="136"/>
      <c r="P573" s="136"/>
      <c r="Q573" s="136"/>
      <c r="R573" s="136"/>
      <c r="S573" s="136"/>
      <c r="T573" s="136"/>
      <c r="U573" s="136"/>
    </row>
    <row r="574" spans="13:21" x14ac:dyDescent="0.35">
      <c r="M574" s="135"/>
      <c r="N574" s="136"/>
      <c r="O574" s="136"/>
      <c r="P574" s="136"/>
      <c r="Q574" s="136"/>
      <c r="R574" s="136"/>
      <c r="S574" s="136"/>
      <c r="T574" s="136"/>
      <c r="U574" s="136"/>
    </row>
    <row r="575" spans="13:21" x14ac:dyDescent="0.35">
      <c r="M575" s="135"/>
      <c r="N575" s="136"/>
      <c r="O575" s="136"/>
      <c r="P575" s="136"/>
      <c r="Q575" s="136"/>
      <c r="R575" s="136"/>
      <c r="S575" s="136"/>
      <c r="T575" s="136"/>
      <c r="U575" s="136"/>
    </row>
    <row r="576" spans="13:21" x14ac:dyDescent="0.35">
      <c r="M576" s="135"/>
      <c r="N576" s="136"/>
      <c r="O576" s="136"/>
      <c r="P576" s="136"/>
      <c r="Q576" s="136"/>
      <c r="R576" s="136"/>
      <c r="S576" s="136"/>
      <c r="T576" s="136"/>
      <c r="U576" s="136"/>
    </row>
    <row r="577" spans="13:21" x14ac:dyDescent="0.35">
      <c r="M577" s="135"/>
      <c r="N577" s="136"/>
      <c r="O577" s="136"/>
      <c r="P577" s="136"/>
      <c r="Q577" s="136"/>
      <c r="R577" s="136"/>
      <c r="S577" s="136"/>
      <c r="T577" s="136"/>
      <c r="U577" s="136"/>
    </row>
    <row r="578" spans="13:21" x14ac:dyDescent="0.35">
      <c r="M578" s="135"/>
      <c r="N578" s="136"/>
      <c r="O578" s="136"/>
      <c r="P578" s="136"/>
      <c r="Q578" s="136"/>
      <c r="R578" s="136"/>
      <c r="S578" s="136"/>
      <c r="T578" s="136"/>
      <c r="U578" s="136"/>
    </row>
    <row r="579" spans="13:21" x14ac:dyDescent="0.35">
      <c r="M579" s="135"/>
      <c r="N579" s="136"/>
      <c r="O579" s="136"/>
      <c r="P579" s="136"/>
      <c r="Q579" s="136"/>
      <c r="R579" s="136"/>
      <c r="S579" s="136"/>
      <c r="T579" s="136"/>
      <c r="U579" s="136"/>
    </row>
    <row r="580" spans="13:21" x14ac:dyDescent="0.35">
      <c r="M580" s="135"/>
      <c r="N580" s="136"/>
      <c r="O580" s="136"/>
      <c r="P580" s="136"/>
      <c r="Q580" s="136"/>
      <c r="R580" s="136"/>
      <c r="S580" s="136"/>
      <c r="T580" s="136"/>
      <c r="U580" s="136"/>
    </row>
    <row r="581" spans="13:21" x14ac:dyDescent="0.35">
      <c r="M581" s="135"/>
      <c r="N581" s="136"/>
      <c r="O581" s="136"/>
      <c r="P581" s="136"/>
      <c r="Q581" s="136"/>
      <c r="R581" s="136"/>
      <c r="S581" s="136"/>
      <c r="T581" s="136"/>
      <c r="U581" s="136"/>
    </row>
    <row r="582" spans="13:21" x14ac:dyDescent="0.35">
      <c r="M582" s="135"/>
      <c r="N582" s="136"/>
      <c r="O582" s="136"/>
      <c r="P582" s="136"/>
      <c r="Q582" s="136"/>
      <c r="R582" s="136"/>
      <c r="S582" s="136"/>
      <c r="T582" s="136"/>
      <c r="U582" s="136"/>
    </row>
    <row r="583" spans="13:21" x14ac:dyDescent="0.35">
      <c r="M583" s="135"/>
      <c r="N583" s="136"/>
      <c r="O583" s="136"/>
      <c r="P583" s="136"/>
      <c r="Q583" s="136"/>
      <c r="R583" s="136"/>
      <c r="S583" s="136"/>
      <c r="T583" s="136"/>
      <c r="U583" s="136"/>
    </row>
    <row r="584" spans="13:21" x14ac:dyDescent="0.35">
      <c r="M584" s="135"/>
      <c r="N584" s="136"/>
      <c r="O584" s="136"/>
      <c r="P584" s="136"/>
      <c r="Q584" s="136"/>
      <c r="R584" s="136"/>
      <c r="S584" s="136"/>
      <c r="T584" s="136"/>
      <c r="U584" s="136"/>
    </row>
    <row r="585" spans="13:21" x14ac:dyDescent="0.35">
      <c r="M585" s="135"/>
      <c r="N585" s="136"/>
      <c r="O585" s="136"/>
      <c r="P585" s="136"/>
      <c r="Q585" s="136"/>
      <c r="R585" s="136"/>
      <c r="S585" s="136"/>
      <c r="T585" s="136"/>
      <c r="U585" s="136"/>
    </row>
    <row r="586" spans="13:21" x14ac:dyDescent="0.35">
      <c r="M586" s="135"/>
      <c r="N586" s="136"/>
      <c r="O586" s="136"/>
      <c r="P586" s="136"/>
      <c r="Q586" s="136"/>
      <c r="R586" s="136"/>
      <c r="S586" s="136"/>
      <c r="T586" s="136"/>
      <c r="U586" s="136"/>
    </row>
    <row r="587" spans="13:21" x14ac:dyDescent="0.35">
      <c r="M587" s="135"/>
      <c r="N587" s="136"/>
      <c r="O587" s="136"/>
      <c r="P587" s="136"/>
      <c r="Q587" s="136"/>
      <c r="R587" s="136"/>
      <c r="S587" s="136"/>
      <c r="T587" s="136"/>
      <c r="U587" s="136"/>
    </row>
    <row r="588" spans="13:21" x14ac:dyDescent="0.35">
      <c r="M588" s="135"/>
      <c r="N588" s="136"/>
      <c r="O588" s="136"/>
      <c r="P588" s="136"/>
      <c r="Q588" s="136"/>
      <c r="R588" s="136"/>
      <c r="S588" s="136"/>
      <c r="T588" s="136"/>
      <c r="U588" s="136"/>
    </row>
    <row r="589" spans="13:21" x14ac:dyDescent="0.35">
      <c r="M589" s="135"/>
      <c r="N589" s="136"/>
      <c r="O589" s="136"/>
      <c r="P589" s="136"/>
      <c r="Q589" s="136"/>
      <c r="R589" s="136"/>
      <c r="S589" s="136"/>
      <c r="T589" s="136"/>
      <c r="U589" s="136"/>
    </row>
    <row r="590" spans="13:21" x14ac:dyDescent="0.35">
      <c r="M590" s="135"/>
      <c r="N590" s="136"/>
      <c r="O590" s="136"/>
      <c r="P590" s="136"/>
      <c r="Q590" s="136"/>
      <c r="R590" s="136"/>
      <c r="S590" s="136"/>
      <c r="T590" s="136"/>
      <c r="U590" s="136"/>
    </row>
    <row r="591" spans="13:21" x14ac:dyDescent="0.35">
      <c r="M591" s="135"/>
      <c r="N591" s="136"/>
      <c r="O591" s="136"/>
      <c r="P591" s="136"/>
      <c r="Q591" s="136"/>
      <c r="R591" s="136"/>
      <c r="S591" s="136"/>
      <c r="T591" s="136"/>
      <c r="U591" s="136"/>
    </row>
    <row r="592" spans="13:21" x14ac:dyDescent="0.35">
      <c r="M592" s="135"/>
      <c r="N592" s="136"/>
      <c r="O592" s="136"/>
      <c r="P592" s="136"/>
      <c r="Q592" s="136"/>
      <c r="R592" s="136"/>
      <c r="S592" s="136"/>
      <c r="T592" s="136"/>
      <c r="U592" s="136"/>
    </row>
    <row r="593" spans="13:21" x14ac:dyDescent="0.35">
      <c r="M593" s="135"/>
      <c r="N593" s="136"/>
      <c r="O593" s="136"/>
      <c r="P593" s="136"/>
      <c r="Q593" s="136"/>
      <c r="R593" s="136"/>
      <c r="S593" s="136"/>
      <c r="T593" s="136"/>
      <c r="U593" s="136"/>
    </row>
    <row r="594" spans="13:21" x14ac:dyDescent="0.35">
      <c r="M594" s="135"/>
      <c r="N594" s="136"/>
      <c r="O594" s="136"/>
      <c r="P594" s="136"/>
      <c r="Q594" s="136"/>
      <c r="R594" s="136"/>
      <c r="S594" s="136"/>
      <c r="T594" s="136"/>
      <c r="U594" s="136"/>
    </row>
    <row r="595" spans="13:21" x14ac:dyDescent="0.35">
      <c r="M595" s="135"/>
      <c r="N595" s="136"/>
      <c r="O595" s="136"/>
      <c r="P595" s="136"/>
      <c r="Q595" s="136"/>
      <c r="R595" s="136"/>
      <c r="S595" s="136"/>
      <c r="T595" s="136"/>
      <c r="U595" s="136"/>
    </row>
    <row r="596" spans="13:21" x14ac:dyDescent="0.35">
      <c r="M596" s="135"/>
      <c r="N596" s="136"/>
      <c r="O596" s="136"/>
      <c r="P596" s="136"/>
      <c r="Q596" s="136"/>
      <c r="R596" s="136"/>
      <c r="S596" s="136"/>
      <c r="T596" s="136"/>
      <c r="U596" s="136"/>
    </row>
    <row r="597" spans="13:21" x14ac:dyDescent="0.35">
      <c r="M597" s="135"/>
      <c r="N597" s="136"/>
      <c r="O597" s="136"/>
      <c r="P597" s="136"/>
      <c r="Q597" s="136"/>
      <c r="R597" s="136"/>
      <c r="S597" s="136"/>
      <c r="T597" s="136"/>
      <c r="U597" s="136"/>
    </row>
    <row r="598" spans="13:21" x14ac:dyDescent="0.35">
      <c r="M598" s="135"/>
      <c r="N598" s="136"/>
      <c r="O598" s="136"/>
      <c r="P598" s="136"/>
      <c r="Q598" s="136"/>
      <c r="R598" s="136"/>
      <c r="S598" s="136"/>
      <c r="T598" s="136"/>
      <c r="U598" s="136"/>
    </row>
    <row r="599" spans="13:21" x14ac:dyDescent="0.35">
      <c r="M599" s="135"/>
      <c r="N599" s="136"/>
      <c r="O599" s="136"/>
      <c r="P599" s="136"/>
      <c r="Q599" s="136"/>
      <c r="R599" s="136"/>
      <c r="S599" s="136"/>
      <c r="T599" s="136"/>
      <c r="U599" s="136"/>
    </row>
    <row r="600" spans="13:21" x14ac:dyDescent="0.35">
      <c r="M600" s="135"/>
      <c r="N600" s="136"/>
      <c r="O600" s="136"/>
      <c r="P600" s="136"/>
      <c r="Q600" s="136"/>
      <c r="R600" s="136"/>
      <c r="S600" s="136"/>
      <c r="T600" s="136"/>
      <c r="U600" s="136"/>
    </row>
    <row r="601" spans="13:21" x14ac:dyDescent="0.35">
      <c r="M601" s="135"/>
      <c r="N601" s="136"/>
      <c r="O601" s="136"/>
      <c r="P601" s="136"/>
      <c r="Q601" s="136"/>
      <c r="R601" s="136"/>
      <c r="S601" s="136"/>
      <c r="T601" s="136"/>
      <c r="U601" s="136"/>
    </row>
    <row r="602" spans="13:21" x14ac:dyDescent="0.35">
      <c r="M602" s="135"/>
      <c r="N602" s="136"/>
      <c r="O602" s="136"/>
      <c r="P602" s="136"/>
      <c r="Q602" s="136"/>
      <c r="R602" s="136"/>
      <c r="S602" s="136"/>
      <c r="T602" s="136"/>
      <c r="U602" s="136"/>
    </row>
    <row r="603" spans="13:21" x14ac:dyDescent="0.35">
      <c r="M603" s="135"/>
      <c r="N603" s="136"/>
      <c r="O603" s="136"/>
      <c r="P603" s="136"/>
      <c r="Q603" s="136"/>
      <c r="R603" s="136"/>
      <c r="S603" s="136"/>
      <c r="T603" s="136"/>
      <c r="U603" s="136"/>
    </row>
    <row r="604" spans="13:21" x14ac:dyDescent="0.35">
      <c r="M604" s="135"/>
      <c r="N604" s="136"/>
      <c r="O604" s="136"/>
      <c r="P604" s="136"/>
      <c r="Q604" s="136"/>
      <c r="R604" s="136"/>
      <c r="S604" s="136"/>
      <c r="T604" s="136"/>
      <c r="U604" s="136"/>
    </row>
    <row r="605" spans="13:21" x14ac:dyDescent="0.35">
      <c r="M605" s="135"/>
      <c r="N605" s="136"/>
      <c r="O605" s="136"/>
      <c r="P605" s="136"/>
      <c r="Q605" s="136"/>
      <c r="R605" s="136"/>
      <c r="S605" s="136"/>
      <c r="T605" s="136"/>
      <c r="U605" s="136"/>
    </row>
    <row r="606" spans="13:21" x14ac:dyDescent="0.35">
      <c r="M606" s="135"/>
      <c r="N606" s="136"/>
      <c r="O606" s="136"/>
      <c r="P606" s="136"/>
      <c r="Q606" s="136"/>
      <c r="R606" s="136"/>
      <c r="S606" s="136"/>
      <c r="T606" s="136"/>
      <c r="U606" s="136"/>
    </row>
    <row r="607" spans="13:21" x14ac:dyDescent="0.35">
      <c r="M607" s="135"/>
      <c r="N607" s="136"/>
      <c r="O607" s="136"/>
      <c r="P607" s="136"/>
      <c r="Q607" s="136"/>
      <c r="R607" s="136"/>
      <c r="S607" s="136"/>
      <c r="T607" s="136"/>
      <c r="U607" s="136"/>
    </row>
    <row r="608" spans="13:21" x14ac:dyDescent="0.35">
      <c r="M608" s="135"/>
      <c r="N608" s="136"/>
      <c r="O608" s="136"/>
      <c r="P608" s="136"/>
      <c r="Q608" s="136"/>
      <c r="R608" s="136"/>
      <c r="S608" s="136"/>
      <c r="T608" s="136"/>
      <c r="U608" s="136"/>
    </row>
    <row r="609" spans="13:21" x14ac:dyDescent="0.35">
      <c r="M609" s="135"/>
      <c r="N609" s="136"/>
      <c r="O609" s="136"/>
      <c r="P609" s="136"/>
      <c r="Q609" s="136"/>
      <c r="R609" s="136"/>
      <c r="S609" s="136"/>
      <c r="T609" s="136"/>
      <c r="U609" s="136"/>
    </row>
    <row r="610" spans="13:21" x14ac:dyDescent="0.35">
      <c r="M610" s="135"/>
      <c r="N610" s="136"/>
      <c r="O610" s="136"/>
      <c r="P610" s="136"/>
      <c r="Q610" s="136"/>
      <c r="R610" s="136"/>
      <c r="S610" s="136"/>
      <c r="T610" s="136"/>
      <c r="U610" s="136"/>
    </row>
    <row r="611" spans="13:21" x14ac:dyDescent="0.35">
      <c r="M611" s="135"/>
      <c r="N611" s="136"/>
      <c r="O611" s="136"/>
      <c r="P611" s="136"/>
      <c r="Q611" s="136"/>
      <c r="R611" s="136"/>
      <c r="S611" s="136"/>
      <c r="T611" s="136"/>
      <c r="U611" s="136"/>
    </row>
    <row r="612" spans="13:21" x14ac:dyDescent="0.35">
      <c r="M612" s="135"/>
      <c r="N612" s="136"/>
      <c r="O612" s="136"/>
      <c r="P612" s="136"/>
      <c r="Q612" s="136"/>
      <c r="R612" s="136"/>
      <c r="S612" s="136"/>
      <c r="T612" s="136"/>
      <c r="U612" s="136"/>
    </row>
    <row r="613" spans="13:21" x14ac:dyDescent="0.35">
      <c r="M613" s="135"/>
      <c r="N613" s="136"/>
      <c r="O613" s="136"/>
      <c r="P613" s="136"/>
      <c r="Q613" s="136"/>
      <c r="R613" s="136"/>
      <c r="S613" s="136"/>
      <c r="T613" s="136"/>
      <c r="U613" s="136"/>
    </row>
    <row r="614" spans="13:21" x14ac:dyDescent="0.35">
      <c r="M614" s="135"/>
      <c r="N614" s="136"/>
      <c r="O614" s="136"/>
      <c r="P614" s="136"/>
      <c r="Q614" s="136"/>
      <c r="R614" s="136"/>
      <c r="S614" s="136"/>
      <c r="T614" s="136"/>
      <c r="U614" s="136"/>
    </row>
    <row r="615" spans="13:21" x14ac:dyDescent="0.35">
      <c r="M615" s="135"/>
      <c r="N615" s="136"/>
      <c r="O615" s="136"/>
      <c r="P615" s="136"/>
      <c r="Q615" s="136"/>
      <c r="R615" s="136"/>
      <c r="S615" s="136"/>
      <c r="T615" s="136"/>
      <c r="U615" s="136"/>
    </row>
    <row r="616" spans="13:21" x14ac:dyDescent="0.35">
      <c r="M616" s="135"/>
      <c r="N616" s="136"/>
      <c r="O616" s="136"/>
      <c r="P616" s="136"/>
      <c r="Q616" s="136"/>
      <c r="R616" s="136"/>
      <c r="S616" s="136"/>
      <c r="T616" s="136"/>
      <c r="U616" s="136"/>
    </row>
    <row r="617" spans="13:21" x14ac:dyDescent="0.35">
      <c r="M617" s="135"/>
      <c r="N617" s="136"/>
      <c r="O617" s="136"/>
      <c r="P617" s="136"/>
      <c r="Q617" s="136"/>
      <c r="R617" s="136"/>
      <c r="S617" s="136"/>
      <c r="T617" s="136"/>
      <c r="U617" s="136"/>
    </row>
    <row r="618" spans="13:21" x14ac:dyDescent="0.35">
      <c r="M618" s="135"/>
      <c r="N618" s="136"/>
      <c r="O618" s="136"/>
      <c r="P618" s="136"/>
      <c r="Q618" s="136"/>
      <c r="R618" s="136"/>
      <c r="S618" s="136"/>
      <c r="T618" s="136"/>
      <c r="U618" s="136"/>
    </row>
    <row r="619" spans="13:21" x14ac:dyDescent="0.35">
      <c r="M619" s="135"/>
      <c r="N619" s="136"/>
      <c r="O619" s="136"/>
      <c r="P619" s="136"/>
      <c r="Q619" s="136"/>
      <c r="R619" s="136"/>
      <c r="S619" s="136"/>
      <c r="T619" s="136"/>
      <c r="U619" s="136"/>
    </row>
    <row r="620" spans="13:21" x14ac:dyDescent="0.35">
      <c r="M620" s="135"/>
      <c r="N620" s="136"/>
      <c r="O620" s="136"/>
      <c r="P620" s="136"/>
      <c r="Q620" s="136"/>
      <c r="R620" s="136"/>
      <c r="S620" s="136"/>
      <c r="T620" s="136"/>
      <c r="U620" s="136"/>
    </row>
    <row r="621" spans="13:21" x14ac:dyDescent="0.35">
      <c r="M621" s="135"/>
      <c r="N621" s="136"/>
      <c r="O621" s="136"/>
      <c r="P621" s="136"/>
      <c r="Q621" s="136"/>
      <c r="R621" s="136"/>
      <c r="S621" s="136"/>
      <c r="T621" s="136"/>
      <c r="U621" s="136"/>
    </row>
    <row r="622" spans="13:21" x14ac:dyDescent="0.35">
      <c r="M622" s="135"/>
      <c r="N622" s="136"/>
      <c r="O622" s="136"/>
      <c r="P622" s="136"/>
      <c r="Q622" s="136"/>
      <c r="R622" s="136"/>
      <c r="S622" s="136"/>
      <c r="T622" s="136"/>
      <c r="U622" s="136"/>
    </row>
    <row r="623" spans="13:21" x14ac:dyDescent="0.35">
      <c r="M623" s="135"/>
      <c r="N623" s="136"/>
      <c r="O623" s="136"/>
      <c r="P623" s="136"/>
      <c r="Q623" s="136"/>
      <c r="R623" s="136"/>
      <c r="S623" s="136"/>
      <c r="T623" s="136"/>
      <c r="U623" s="136"/>
    </row>
    <row r="624" spans="13:21" x14ac:dyDescent="0.35">
      <c r="M624" s="135"/>
      <c r="N624" s="136"/>
      <c r="O624" s="136"/>
      <c r="P624" s="136"/>
      <c r="Q624" s="136"/>
      <c r="R624" s="136"/>
      <c r="S624" s="136"/>
      <c r="T624" s="136"/>
      <c r="U624" s="136"/>
    </row>
    <row r="625" spans="13:21" x14ac:dyDescent="0.35">
      <c r="M625" s="135"/>
      <c r="N625" s="136"/>
      <c r="O625" s="136"/>
      <c r="P625" s="136"/>
      <c r="Q625" s="136"/>
      <c r="R625" s="136"/>
      <c r="S625" s="136"/>
      <c r="T625" s="136"/>
      <c r="U625" s="136"/>
    </row>
    <row r="626" spans="13:21" x14ac:dyDescent="0.35">
      <c r="M626" s="135"/>
      <c r="N626" s="136"/>
      <c r="O626" s="136"/>
      <c r="P626" s="136"/>
      <c r="Q626" s="136"/>
      <c r="R626" s="136"/>
      <c r="S626" s="136"/>
      <c r="T626" s="136"/>
      <c r="U626" s="136"/>
    </row>
    <row r="627" spans="13:21" x14ac:dyDescent="0.35">
      <c r="M627" s="135"/>
      <c r="N627" s="136"/>
      <c r="O627" s="136"/>
      <c r="P627" s="136"/>
      <c r="Q627" s="136"/>
      <c r="R627" s="136"/>
      <c r="S627" s="136"/>
      <c r="T627" s="136"/>
      <c r="U627" s="136"/>
    </row>
    <row r="628" spans="13:21" x14ac:dyDescent="0.35">
      <c r="M628" s="135"/>
      <c r="N628" s="136"/>
      <c r="O628" s="136"/>
      <c r="P628" s="136"/>
      <c r="Q628" s="136"/>
      <c r="R628" s="136"/>
      <c r="S628" s="136"/>
      <c r="T628" s="136"/>
      <c r="U628" s="136"/>
    </row>
    <row r="629" spans="13:21" x14ac:dyDescent="0.35">
      <c r="M629" s="135"/>
      <c r="N629" s="136"/>
      <c r="O629" s="136"/>
      <c r="P629" s="136"/>
      <c r="Q629" s="136"/>
      <c r="R629" s="136"/>
      <c r="S629" s="136"/>
      <c r="T629" s="136"/>
      <c r="U629" s="136"/>
    </row>
    <row r="630" spans="13:21" x14ac:dyDescent="0.35">
      <c r="M630" s="135"/>
      <c r="N630" s="136"/>
      <c r="O630" s="136"/>
      <c r="P630" s="136"/>
      <c r="Q630" s="136"/>
      <c r="R630" s="136"/>
      <c r="S630" s="136"/>
      <c r="T630" s="136"/>
      <c r="U630" s="136"/>
    </row>
    <row r="631" spans="13:21" x14ac:dyDescent="0.35">
      <c r="M631" s="135"/>
      <c r="N631" s="136"/>
      <c r="O631" s="136"/>
      <c r="P631" s="136"/>
      <c r="Q631" s="136"/>
      <c r="R631" s="136"/>
      <c r="S631" s="136"/>
      <c r="T631" s="136"/>
      <c r="U631" s="136"/>
    </row>
    <row r="632" spans="13:21" x14ac:dyDescent="0.35">
      <c r="M632" s="135"/>
      <c r="N632" s="136"/>
      <c r="O632" s="136"/>
      <c r="P632" s="136"/>
      <c r="Q632" s="136"/>
      <c r="R632" s="136"/>
      <c r="S632" s="136"/>
      <c r="T632" s="136"/>
      <c r="U632" s="136"/>
    </row>
    <row r="633" spans="13:21" x14ac:dyDescent="0.35">
      <c r="M633" s="135"/>
      <c r="N633" s="136"/>
      <c r="O633" s="136"/>
      <c r="P633" s="136"/>
      <c r="Q633" s="136"/>
      <c r="R633" s="136"/>
      <c r="S633" s="136"/>
      <c r="T633" s="136"/>
      <c r="U633" s="136"/>
    </row>
    <row r="634" spans="13:21" x14ac:dyDescent="0.35">
      <c r="M634" s="135"/>
      <c r="N634" s="136"/>
      <c r="O634" s="136"/>
      <c r="P634" s="136"/>
      <c r="Q634" s="136"/>
      <c r="R634" s="136"/>
      <c r="S634" s="136"/>
      <c r="T634" s="136"/>
      <c r="U634" s="136"/>
    </row>
    <row r="635" spans="13:21" x14ac:dyDescent="0.35">
      <c r="M635" s="135"/>
      <c r="N635" s="136"/>
      <c r="O635" s="136"/>
      <c r="P635" s="136"/>
      <c r="Q635" s="136"/>
      <c r="R635" s="136"/>
      <c r="S635" s="136"/>
      <c r="T635" s="136"/>
      <c r="U635" s="136"/>
    </row>
    <row r="636" spans="13:21" x14ac:dyDescent="0.35">
      <c r="M636" s="135"/>
      <c r="N636" s="136"/>
      <c r="O636" s="136"/>
      <c r="P636" s="136"/>
      <c r="Q636" s="136"/>
      <c r="R636" s="136"/>
      <c r="S636" s="136"/>
      <c r="T636" s="136"/>
      <c r="U636" s="136"/>
    </row>
    <row r="637" spans="13:21" x14ac:dyDescent="0.35">
      <c r="M637" s="135"/>
      <c r="N637" s="136"/>
      <c r="O637" s="136"/>
      <c r="P637" s="136"/>
      <c r="Q637" s="136"/>
      <c r="R637" s="136"/>
      <c r="S637" s="136"/>
      <c r="T637" s="136"/>
      <c r="U637" s="136"/>
    </row>
    <row r="638" spans="13:21" x14ac:dyDescent="0.35">
      <c r="M638" s="135"/>
      <c r="N638" s="136"/>
      <c r="O638" s="136"/>
      <c r="P638" s="136"/>
      <c r="Q638" s="136"/>
      <c r="R638" s="136"/>
      <c r="S638" s="136"/>
      <c r="T638" s="136"/>
      <c r="U638" s="136"/>
    </row>
    <row r="639" spans="13:21" x14ac:dyDescent="0.35">
      <c r="M639" s="135"/>
      <c r="N639" s="136"/>
      <c r="O639" s="136"/>
      <c r="P639" s="136"/>
      <c r="Q639" s="136"/>
      <c r="R639" s="136"/>
      <c r="S639" s="136"/>
      <c r="T639" s="136"/>
      <c r="U639" s="136"/>
    </row>
    <row r="640" spans="13:21" x14ac:dyDescent="0.35">
      <c r="M640" s="135"/>
      <c r="N640" s="136"/>
      <c r="O640" s="136"/>
      <c r="P640" s="136"/>
      <c r="Q640" s="136"/>
      <c r="R640" s="136"/>
      <c r="S640" s="136"/>
      <c r="T640" s="136"/>
      <c r="U640" s="136"/>
    </row>
    <row r="641" spans="13:21" x14ac:dyDescent="0.35">
      <c r="M641" s="135"/>
      <c r="N641" s="136"/>
      <c r="O641" s="136"/>
      <c r="P641" s="136"/>
      <c r="Q641" s="136"/>
      <c r="R641" s="136"/>
      <c r="S641" s="136"/>
      <c r="T641" s="136"/>
      <c r="U641" s="136"/>
    </row>
    <row r="642" spans="13:21" x14ac:dyDescent="0.35">
      <c r="M642" s="135"/>
      <c r="N642" s="136"/>
      <c r="O642" s="136"/>
      <c r="P642" s="136"/>
      <c r="Q642" s="136"/>
      <c r="R642" s="136"/>
      <c r="S642" s="136"/>
      <c r="T642" s="136"/>
      <c r="U642" s="136"/>
    </row>
    <row r="643" spans="13:21" x14ac:dyDescent="0.35">
      <c r="M643" s="135"/>
      <c r="N643" s="136"/>
      <c r="O643" s="136"/>
      <c r="P643" s="136"/>
      <c r="Q643" s="136"/>
      <c r="R643" s="136"/>
      <c r="S643" s="136"/>
      <c r="T643" s="136"/>
      <c r="U643" s="136"/>
    </row>
    <row r="644" spans="13:21" x14ac:dyDescent="0.35">
      <c r="M644" s="135"/>
      <c r="N644" s="136"/>
      <c r="O644" s="136"/>
      <c r="P644" s="136"/>
      <c r="Q644" s="136"/>
      <c r="R644" s="136"/>
      <c r="S644" s="136"/>
      <c r="T644" s="136"/>
      <c r="U644" s="136"/>
    </row>
    <row r="645" spans="13:21" x14ac:dyDescent="0.35">
      <c r="M645" s="135"/>
      <c r="N645" s="136"/>
      <c r="O645" s="136"/>
      <c r="P645" s="136"/>
      <c r="Q645" s="136"/>
      <c r="R645" s="136"/>
      <c r="S645" s="136"/>
      <c r="T645" s="136"/>
      <c r="U645" s="136"/>
    </row>
    <row r="646" spans="13:21" x14ac:dyDescent="0.35">
      <c r="M646" s="135"/>
      <c r="N646" s="136"/>
      <c r="O646" s="136"/>
      <c r="P646" s="136"/>
      <c r="Q646" s="136"/>
      <c r="R646" s="136"/>
      <c r="S646" s="136"/>
      <c r="T646" s="136"/>
      <c r="U646" s="136"/>
    </row>
    <row r="647" spans="13:21" x14ac:dyDescent="0.35">
      <c r="M647" s="135"/>
      <c r="N647" s="136"/>
      <c r="O647" s="136"/>
      <c r="P647" s="136"/>
      <c r="Q647" s="136"/>
      <c r="R647" s="136"/>
      <c r="S647" s="136"/>
      <c r="T647" s="136"/>
      <c r="U647" s="136"/>
    </row>
    <row r="648" spans="13:21" x14ac:dyDescent="0.35">
      <c r="M648" s="135"/>
      <c r="N648" s="136"/>
      <c r="O648" s="136"/>
      <c r="P648" s="136"/>
      <c r="Q648" s="136"/>
      <c r="R648" s="136"/>
      <c r="S648" s="136"/>
      <c r="T648" s="136"/>
      <c r="U648" s="136"/>
    </row>
    <row r="649" spans="13:21" x14ac:dyDescent="0.35">
      <c r="M649" s="135"/>
      <c r="N649" s="136"/>
      <c r="O649" s="136"/>
      <c r="P649" s="136"/>
      <c r="Q649" s="136"/>
      <c r="R649" s="136"/>
      <c r="S649" s="136"/>
      <c r="T649" s="136"/>
      <c r="U649" s="136"/>
    </row>
    <row r="650" spans="13:21" x14ac:dyDescent="0.35">
      <c r="M650" s="135"/>
      <c r="N650" s="136"/>
      <c r="O650" s="136"/>
      <c r="P650" s="136"/>
      <c r="Q650" s="136"/>
      <c r="R650" s="136"/>
      <c r="S650" s="136"/>
      <c r="T650" s="136"/>
      <c r="U650" s="136"/>
    </row>
    <row r="651" spans="13:21" x14ac:dyDescent="0.35">
      <c r="M651" s="135"/>
      <c r="N651" s="136"/>
      <c r="O651" s="136"/>
      <c r="P651" s="136"/>
      <c r="Q651" s="136"/>
      <c r="R651" s="136"/>
      <c r="S651" s="136"/>
      <c r="T651" s="136"/>
      <c r="U651" s="136"/>
    </row>
    <row r="652" spans="13:21" x14ac:dyDescent="0.35">
      <c r="M652" s="135"/>
      <c r="N652" s="136"/>
      <c r="O652" s="136"/>
      <c r="P652" s="136"/>
      <c r="Q652" s="136"/>
      <c r="R652" s="136"/>
      <c r="S652" s="136"/>
      <c r="T652" s="136"/>
      <c r="U652" s="136"/>
    </row>
    <row r="653" spans="13:21" x14ac:dyDescent="0.35">
      <c r="M653" s="135"/>
      <c r="N653" s="136"/>
      <c r="O653" s="136"/>
      <c r="P653" s="136"/>
      <c r="Q653" s="136"/>
      <c r="R653" s="136"/>
      <c r="S653" s="136"/>
      <c r="T653" s="136"/>
      <c r="U653" s="136"/>
    </row>
    <row r="654" spans="13:21" x14ac:dyDescent="0.35">
      <c r="M654" s="135"/>
      <c r="N654" s="136"/>
      <c r="O654" s="136"/>
      <c r="P654" s="136"/>
      <c r="Q654" s="136"/>
      <c r="R654" s="136"/>
      <c r="S654" s="136"/>
      <c r="T654" s="136"/>
      <c r="U654" s="136"/>
    </row>
    <row r="655" spans="13:21" x14ac:dyDescent="0.35">
      <c r="M655" s="135"/>
      <c r="N655" s="136"/>
      <c r="O655" s="136"/>
      <c r="P655" s="136"/>
      <c r="Q655" s="136"/>
      <c r="R655" s="136"/>
      <c r="S655" s="136"/>
      <c r="T655" s="136"/>
      <c r="U655" s="136"/>
    </row>
    <row r="656" spans="13:21" x14ac:dyDescent="0.35">
      <c r="M656" s="135"/>
      <c r="N656" s="136"/>
      <c r="O656" s="136"/>
      <c r="P656" s="136"/>
      <c r="Q656" s="136"/>
      <c r="R656" s="136"/>
      <c r="S656" s="136"/>
      <c r="T656" s="136"/>
      <c r="U656" s="136"/>
    </row>
    <row r="657" spans="13:21" x14ac:dyDescent="0.35">
      <c r="M657" s="135"/>
      <c r="N657" s="136"/>
      <c r="O657" s="136"/>
      <c r="P657" s="136"/>
      <c r="Q657" s="136"/>
      <c r="R657" s="136"/>
      <c r="S657" s="136"/>
      <c r="T657" s="136"/>
      <c r="U657" s="136"/>
    </row>
    <row r="658" spans="13:21" x14ac:dyDescent="0.35">
      <c r="M658" s="135"/>
      <c r="N658" s="136"/>
      <c r="O658" s="136"/>
      <c r="P658" s="136"/>
      <c r="Q658" s="136"/>
      <c r="R658" s="136"/>
      <c r="S658" s="136"/>
      <c r="T658" s="136"/>
      <c r="U658" s="136"/>
    </row>
    <row r="659" spans="13:21" x14ac:dyDescent="0.35">
      <c r="M659" s="135"/>
      <c r="N659" s="136"/>
      <c r="O659" s="136"/>
      <c r="P659" s="136"/>
      <c r="Q659" s="136"/>
      <c r="R659" s="136"/>
      <c r="S659" s="136"/>
      <c r="T659" s="136"/>
      <c r="U659" s="136"/>
    </row>
    <row r="660" spans="13:21" x14ac:dyDescent="0.35">
      <c r="M660" s="135"/>
      <c r="N660" s="136"/>
      <c r="O660" s="136"/>
      <c r="P660" s="136"/>
      <c r="Q660" s="136"/>
      <c r="R660" s="136"/>
      <c r="S660" s="136"/>
      <c r="T660" s="136"/>
      <c r="U660" s="136"/>
    </row>
    <row r="661" spans="13:21" x14ac:dyDescent="0.35">
      <c r="M661" s="135"/>
      <c r="N661" s="136"/>
      <c r="O661" s="136"/>
      <c r="P661" s="136"/>
      <c r="Q661" s="136"/>
      <c r="R661" s="136"/>
      <c r="S661" s="136"/>
      <c r="T661" s="136"/>
      <c r="U661" s="136"/>
    </row>
    <row r="662" spans="13:21" x14ac:dyDescent="0.35">
      <c r="M662" s="135"/>
      <c r="N662" s="136"/>
      <c r="O662" s="136"/>
      <c r="P662" s="136"/>
      <c r="Q662" s="136"/>
      <c r="R662" s="136"/>
      <c r="S662" s="136"/>
      <c r="T662" s="136"/>
      <c r="U662" s="136"/>
    </row>
    <row r="663" spans="13:21" x14ac:dyDescent="0.35">
      <c r="M663" s="135"/>
      <c r="N663" s="136"/>
      <c r="O663" s="136"/>
      <c r="P663" s="136"/>
      <c r="Q663" s="136"/>
      <c r="R663" s="136"/>
      <c r="S663" s="136"/>
      <c r="T663" s="136"/>
      <c r="U663" s="136"/>
    </row>
    <row r="664" spans="13:21" x14ac:dyDescent="0.35">
      <c r="M664" s="135"/>
      <c r="N664" s="136"/>
      <c r="O664" s="136"/>
      <c r="P664" s="136"/>
      <c r="Q664" s="136"/>
      <c r="R664" s="136"/>
      <c r="S664" s="136"/>
      <c r="T664" s="136"/>
      <c r="U664" s="136"/>
    </row>
    <row r="665" spans="13:21" x14ac:dyDescent="0.35">
      <c r="M665" s="135"/>
      <c r="N665" s="136"/>
      <c r="O665" s="136"/>
      <c r="P665" s="136"/>
      <c r="Q665" s="136"/>
      <c r="R665" s="136"/>
      <c r="S665" s="136"/>
      <c r="T665" s="136"/>
      <c r="U665" s="136"/>
    </row>
    <row r="666" spans="13:21" x14ac:dyDescent="0.35">
      <c r="M666" s="135"/>
      <c r="N666" s="136"/>
      <c r="O666" s="136"/>
      <c r="P666" s="136"/>
      <c r="Q666" s="136"/>
      <c r="R666" s="136"/>
      <c r="S666" s="136"/>
      <c r="T666" s="136"/>
      <c r="U666" s="136"/>
    </row>
    <row r="667" spans="13:21" x14ac:dyDescent="0.35">
      <c r="M667" s="135"/>
      <c r="N667" s="136"/>
      <c r="O667" s="136"/>
      <c r="P667" s="136"/>
      <c r="Q667" s="136"/>
      <c r="R667" s="136"/>
      <c r="S667" s="136"/>
      <c r="T667" s="136"/>
      <c r="U667" s="136"/>
    </row>
    <row r="668" spans="13:21" x14ac:dyDescent="0.35">
      <c r="M668" s="135"/>
      <c r="N668" s="136"/>
      <c r="O668" s="136"/>
      <c r="P668" s="136"/>
      <c r="Q668" s="136"/>
      <c r="R668" s="136"/>
      <c r="S668" s="136"/>
      <c r="T668" s="136"/>
      <c r="U668" s="136"/>
    </row>
    <row r="669" spans="13:21" x14ac:dyDescent="0.35">
      <c r="M669" s="135"/>
      <c r="N669" s="136"/>
      <c r="O669" s="136"/>
      <c r="P669" s="136"/>
      <c r="Q669" s="136"/>
      <c r="R669" s="136"/>
      <c r="S669" s="136"/>
      <c r="T669" s="136"/>
      <c r="U669" s="136"/>
    </row>
    <row r="670" spans="13:21" x14ac:dyDescent="0.35">
      <c r="M670" s="135"/>
      <c r="N670" s="136"/>
      <c r="O670" s="136"/>
      <c r="P670" s="136"/>
      <c r="Q670" s="136"/>
      <c r="R670" s="136"/>
      <c r="S670" s="136"/>
      <c r="T670" s="136"/>
      <c r="U670" s="136"/>
    </row>
    <row r="671" spans="13:21" x14ac:dyDescent="0.35">
      <c r="M671" s="135"/>
      <c r="N671" s="136"/>
      <c r="O671" s="136"/>
      <c r="P671" s="136"/>
      <c r="Q671" s="136"/>
      <c r="R671" s="136"/>
      <c r="S671" s="136"/>
      <c r="T671" s="136"/>
      <c r="U671" s="136"/>
    </row>
    <row r="672" spans="13:21" x14ac:dyDescent="0.35">
      <c r="M672" s="135"/>
      <c r="N672" s="136"/>
      <c r="O672" s="136"/>
      <c r="P672" s="136"/>
      <c r="Q672" s="136"/>
      <c r="R672" s="136"/>
      <c r="S672" s="136"/>
      <c r="T672" s="136"/>
      <c r="U672" s="136"/>
    </row>
    <row r="673" spans="13:21" x14ac:dyDescent="0.35">
      <c r="M673" s="135"/>
      <c r="N673" s="136"/>
      <c r="O673" s="136"/>
      <c r="P673" s="136"/>
      <c r="Q673" s="136"/>
      <c r="R673" s="136"/>
      <c r="S673" s="136"/>
      <c r="T673" s="136"/>
      <c r="U673" s="136"/>
    </row>
    <row r="674" spans="13:21" x14ac:dyDescent="0.35">
      <c r="M674" s="135"/>
      <c r="N674" s="136"/>
      <c r="O674" s="136"/>
      <c r="P674" s="136"/>
      <c r="Q674" s="136"/>
      <c r="R674" s="136"/>
      <c r="S674" s="136"/>
      <c r="T674" s="136"/>
      <c r="U674" s="136"/>
    </row>
    <row r="675" spans="13:21" x14ac:dyDescent="0.35">
      <c r="M675" s="135"/>
      <c r="N675" s="136"/>
      <c r="O675" s="136"/>
      <c r="P675" s="136"/>
      <c r="Q675" s="136"/>
      <c r="R675" s="136"/>
      <c r="S675" s="136"/>
      <c r="T675" s="136"/>
      <c r="U675" s="136"/>
    </row>
    <row r="676" spans="13:21" x14ac:dyDescent="0.35">
      <c r="M676" s="135"/>
      <c r="N676" s="136"/>
      <c r="O676" s="136"/>
      <c r="P676" s="136"/>
      <c r="Q676" s="136"/>
      <c r="R676" s="136"/>
      <c r="S676" s="136"/>
      <c r="T676" s="136"/>
      <c r="U676" s="136"/>
    </row>
    <row r="677" spans="13:21" x14ac:dyDescent="0.35">
      <c r="M677" s="135"/>
      <c r="N677" s="136"/>
      <c r="O677" s="136"/>
      <c r="P677" s="136"/>
      <c r="Q677" s="136"/>
      <c r="R677" s="136"/>
      <c r="S677" s="136"/>
      <c r="T677" s="136"/>
      <c r="U677" s="136"/>
    </row>
    <row r="678" spans="13:21" x14ac:dyDescent="0.35">
      <c r="M678" s="135"/>
      <c r="N678" s="136"/>
      <c r="O678" s="136"/>
      <c r="P678" s="136"/>
      <c r="Q678" s="136"/>
      <c r="R678" s="136"/>
      <c r="S678" s="136"/>
      <c r="T678" s="136"/>
      <c r="U678" s="136"/>
    </row>
    <row r="679" spans="13:21" x14ac:dyDescent="0.35">
      <c r="M679" s="135"/>
      <c r="N679" s="136"/>
      <c r="O679" s="136"/>
      <c r="P679" s="136"/>
      <c r="Q679" s="136"/>
      <c r="R679" s="136"/>
      <c r="S679" s="136"/>
      <c r="T679" s="136"/>
      <c r="U679" s="136"/>
    </row>
    <row r="680" spans="13:21" x14ac:dyDescent="0.35">
      <c r="M680" s="135"/>
      <c r="N680" s="136"/>
      <c r="O680" s="136"/>
      <c r="P680" s="136"/>
      <c r="Q680" s="136"/>
      <c r="R680" s="136"/>
      <c r="S680" s="136"/>
      <c r="T680" s="136"/>
      <c r="U680" s="136"/>
    </row>
    <row r="681" spans="13:21" x14ac:dyDescent="0.35">
      <c r="M681" s="135"/>
      <c r="N681" s="136"/>
      <c r="O681" s="136"/>
      <c r="P681" s="136"/>
      <c r="Q681" s="136"/>
      <c r="R681" s="136"/>
      <c r="S681" s="136"/>
      <c r="T681" s="136"/>
      <c r="U681" s="136"/>
    </row>
    <row r="682" spans="13:21" x14ac:dyDescent="0.35">
      <c r="M682" s="135"/>
      <c r="N682" s="136"/>
      <c r="O682" s="136"/>
      <c r="P682" s="136"/>
      <c r="Q682" s="136"/>
      <c r="R682" s="136"/>
      <c r="S682" s="136"/>
      <c r="T682" s="136"/>
      <c r="U682" s="136"/>
    </row>
    <row r="683" spans="13:21" x14ac:dyDescent="0.35">
      <c r="M683" s="135"/>
      <c r="N683" s="136"/>
      <c r="O683" s="136"/>
      <c r="P683" s="136"/>
      <c r="Q683" s="136"/>
      <c r="R683" s="136"/>
      <c r="S683" s="136"/>
      <c r="T683" s="136"/>
      <c r="U683" s="136"/>
    </row>
    <row r="684" spans="13:21" x14ac:dyDescent="0.35">
      <c r="M684" s="135"/>
      <c r="N684" s="136"/>
      <c r="O684" s="136"/>
      <c r="P684" s="136"/>
      <c r="Q684" s="136"/>
      <c r="R684" s="136"/>
      <c r="S684" s="136"/>
      <c r="T684" s="136"/>
      <c r="U684" s="136"/>
    </row>
    <row r="685" spans="13:21" x14ac:dyDescent="0.35">
      <c r="M685" s="135"/>
      <c r="N685" s="136"/>
      <c r="O685" s="136"/>
      <c r="P685" s="136"/>
      <c r="Q685" s="136"/>
      <c r="R685" s="136"/>
      <c r="S685" s="136"/>
      <c r="T685" s="136"/>
      <c r="U685" s="136"/>
    </row>
    <row r="686" spans="13:21" x14ac:dyDescent="0.35">
      <c r="M686" s="135"/>
      <c r="N686" s="136"/>
      <c r="O686" s="136"/>
      <c r="P686" s="136"/>
      <c r="Q686" s="136"/>
      <c r="R686" s="136"/>
      <c r="S686" s="136"/>
      <c r="T686" s="136"/>
      <c r="U686" s="136"/>
    </row>
    <row r="687" spans="13:21" x14ac:dyDescent="0.35">
      <c r="M687" s="135"/>
      <c r="N687" s="136"/>
      <c r="O687" s="136"/>
      <c r="P687" s="136"/>
      <c r="Q687" s="136"/>
      <c r="R687" s="136"/>
      <c r="S687" s="136"/>
      <c r="T687" s="136"/>
      <c r="U687" s="136"/>
    </row>
    <row r="688" spans="13:21" x14ac:dyDescent="0.35">
      <c r="M688" s="135"/>
      <c r="N688" s="136"/>
      <c r="O688" s="136"/>
      <c r="P688" s="136"/>
      <c r="Q688" s="136"/>
      <c r="R688" s="136"/>
      <c r="S688" s="136"/>
      <c r="T688" s="136"/>
      <c r="U688" s="136"/>
    </row>
    <row r="689" spans="13:21" x14ac:dyDescent="0.35">
      <c r="M689" s="135"/>
      <c r="N689" s="136"/>
      <c r="O689" s="136"/>
      <c r="P689" s="136"/>
      <c r="Q689" s="136"/>
      <c r="R689" s="136"/>
      <c r="S689" s="136"/>
      <c r="T689" s="136"/>
      <c r="U689" s="136"/>
    </row>
    <row r="690" spans="13:21" x14ac:dyDescent="0.35">
      <c r="M690" s="135"/>
      <c r="N690" s="136"/>
      <c r="O690" s="136"/>
      <c r="P690" s="136"/>
      <c r="Q690" s="136"/>
      <c r="R690" s="136"/>
      <c r="S690" s="136"/>
      <c r="T690" s="136"/>
      <c r="U690" s="136"/>
    </row>
    <row r="691" spans="13:21" x14ac:dyDescent="0.35">
      <c r="M691" s="135"/>
      <c r="N691" s="136"/>
      <c r="O691" s="136"/>
      <c r="P691" s="136"/>
      <c r="Q691" s="136"/>
      <c r="R691" s="136"/>
      <c r="S691" s="136"/>
      <c r="T691" s="136"/>
      <c r="U691" s="136"/>
    </row>
    <row r="692" spans="13:21" x14ac:dyDescent="0.35">
      <c r="M692" s="135"/>
      <c r="N692" s="136"/>
      <c r="O692" s="136"/>
      <c r="P692" s="136"/>
      <c r="Q692" s="136"/>
      <c r="R692" s="136"/>
      <c r="S692" s="136"/>
      <c r="T692" s="136"/>
      <c r="U692" s="136"/>
    </row>
    <row r="693" spans="13:21" x14ac:dyDescent="0.35">
      <c r="M693" s="135"/>
      <c r="N693" s="136"/>
      <c r="O693" s="136"/>
      <c r="P693" s="136"/>
      <c r="Q693" s="136"/>
      <c r="R693" s="136"/>
      <c r="S693" s="136"/>
      <c r="T693" s="136"/>
      <c r="U693" s="136"/>
    </row>
    <row r="694" spans="13:21" x14ac:dyDescent="0.35">
      <c r="M694" s="135"/>
      <c r="N694" s="136"/>
      <c r="O694" s="136"/>
      <c r="P694" s="136"/>
      <c r="Q694" s="136"/>
      <c r="R694" s="136"/>
      <c r="S694" s="136"/>
      <c r="T694" s="136"/>
      <c r="U694" s="136"/>
    </row>
    <row r="695" spans="13:21" x14ac:dyDescent="0.35">
      <c r="M695" s="135"/>
      <c r="N695" s="136"/>
      <c r="O695" s="136"/>
      <c r="P695" s="136"/>
      <c r="Q695" s="136"/>
      <c r="R695" s="136"/>
      <c r="S695" s="136"/>
      <c r="T695" s="136"/>
      <c r="U695" s="136"/>
    </row>
    <row r="696" spans="13:21" x14ac:dyDescent="0.35">
      <c r="M696" s="135"/>
      <c r="N696" s="136"/>
      <c r="O696" s="136"/>
      <c r="P696" s="136"/>
      <c r="Q696" s="136"/>
      <c r="R696" s="136"/>
      <c r="S696" s="136"/>
      <c r="T696" s="136"/>
      <c r="U696" s="136"/>
    </row>
    <row r="697" spans="13:21" x14ac:dyDescent="0.35">
      <c r="M697" s="135"/>
      <c r="N697" s="136"/>
      <c r="O697" s="136"/>
      <c r="P697" s="136"/>
      <c r="Q697" s="136"/>
      <c r="R697" s="136"/>
      <c r="S697" s="136"/>
      <c r="T697" s="136"/>
      <c r="U697" s="136"/>
    </row>
    <row r="698" spans="13:21" x14ac:dyDescent="0.35">
      <c r="M698" s="135"/>
      <c r="N698" s="136"/>
      <c r="O698" s="136"/>
      <c r="P698" s="136"/>
      <c r="Q698" s="136"/>
      <c r="R698" s="136"/>
      <c r="S698" s="136"/>
      <c r="T698" s="136"/>
      <c r="U698" s="136"/>
    </row>
    <row r="699" spans="13:21" x14ac:dyDescent="0.35">
      <c r="M699" s="135"/>
      <c r="N699" s="136"/>
      <c r="O699" s="136"/>
      <c r="P699" s="136"/>
      <c r="Q699" s="136"/>
      <c r="R699" s="136"/>
      <c r="S699" s="136"/>
      <c r="T699" s="136"/>
      <c r="U699" s="136"/>
    </row>
    <row r="700" spans="13:21" x14ac:dyDescent="0.35">
      <c r="M700" s="135"/>
      <c r="N700" s="136"/>
      <c r="O700" s="136"/>
      <c r="P700" s="136"/>
      <c r="Q700" s="136"/>
      <c r="R700" s="136"/>
      <c r="S700" s="136"/>
      <c r="T700" s="136"/>
      <c r="U700" s="136"/>
    </row>
    <row r="701" spans="13:21" x14ac:dyDescent="0.35">
      <c r="M701" s="135"/>
      <c r="N701" s="136"/>
      <c r="O701" s="136"/>
      <c r="P701" s="136"/>
      <c r="Q701" s="136"/>
      <c r="R701" s="136"/>
      <c r="S701" s="136"/>
      <c r="T701" s="136"/>
      <c r="U701" s="136"/>
    </row>
    <row r="702" spans="13:21" x14ac:dyDescent="0.35">
      <c r="M702" s="135"/>
      <c r="N702" s="136"/>
      <c r="O702" s="136"/>
      <c r="P702" s="136"/>
      <c r="Q702" s="136"/>
      <c r="R702" s="136"/>
      <c r="S702" s="136"/>
      <c r="T702" s="136"/>
      <c r="U702" s="136"/>
    </row>
    <row r="703" spans="13:21" x14ac:dyDescent="0.35">
      <c r="M703" s="135"/>
      <c r="N703" s="136"/>
      <c r="O703" s="136"/>
      <c r="P703" s="136"/>
      <c r="Q703" s="136"/>
      <c r="R703" s="136"/>
      <c r="S703" s="136"/>
      <c r="T703" s="136"/>
      <c r="U703" s="136"/>
    </row>
    <row r="704" spans="13:21" x14ac:dyDescent="0.35">
      <c r="M704" s="135"/>
      <c r="N704" s="136"/>
      <c r="O704" s="136"/>
      <c r="P704" s="136"/>
      <c r="Q704" s="136"/>
      <c r="R704" s="136"/>
      <c r="S704" s="136"/>
      <c r="T704" s="136"/>
      <c r="U704" s="136"/>
    </row>
    <row r="705" spans="13:21" x14ac:dyDescent="0.35">
      <c r="M705" s="135"/>
      <c r="N705" s="136"/>
      <c r="O705" s="136"/>
      <c r="P705" s="136"/>
      <c r="Q705" s="136"/>
      <c r="R705" s="136"/>
      <c r="S705" s="136"/>
      <c r="T705" s="136"/>
      <c r="U705" s="136"/>
    </row>
    <row r="706" spans="13:21" x14ac:dyDescent="0.35">
      <c r="M706" s="135"/>
      <c r="N706" s="136"/>
      <c r="O706" s="136"/>
      <c r="P706" s="136"/>
      <c r="Q706" s="136"/>
      <c r="R706" s="136"/>
      <c r="S706" s="136"/>
      <c r="T706" s="136"/>
      <c r="U706" s="136"/>
    </row>
    <row r="707" spans="13:21" x14ac:dyDescent="0.35">
      <c r="M707" s="135"/>
      <c r="N707" s="136"/>
      <c r="O707" s="136"/>
      <c r="P707" s="136"/>
      <c r="Q707" s="136"/>
      <c r="R707" s="136"/>
      <c r="S707" s="136"/>
      <c r="T707" s="136"/>
      <c r="U707" s="136"/>
    </row>
    <row r="708" spans="13:21" x14ac:dyDescent="0.35">
      <c r="M708" s="135"/>
      <c r="N708" s="136"/>
      <c r="O708" s="136"/>
      <c r="P708" s="136"/>
      <c r="Q708" s="136"/>
      <c r="R708" s="136"/>
      <c r="S708" s="136"/>
      <c r="T708" s="136"/>
      <c r="U708" s="136"/>
    </row>
    <row r="709" spans="13:21" x14ac:dyDescent="0.35">
      <c r="M709" s="135"/>
      <c r="N709" s="136"/>
      <c r="O709" s="136"/>
      <c r="P709" s="136"/>
      <c r="Q709" s="136"/>
      <c r="R709" s="136"/>
      <c r="S709" s="136"/>
      <c r="T709" s="136"/>
      <c r="U709" s="136"/>
    </row>
    <row r="710" spans="13:21" x14ac:dyDescent="0.35">
      <c r="M710" s="135"/>
      <c r="N710" s="136"/>
      <c r="O710" s="136"/>
      <c r="P710" s="136"/>
      <c r="Q710" s="136"/>
      <c r="R710" s="136"/>
      <c r="S710" s="136"/>
      <c r="T710" s="136"/>
      <c r="U710" s="136"/>
    </row>
    <row r="711" spans="13:21" x14ac:dyDescent="0.35">
      <c r="M711" s="135"/>
      <c r="N711" s="136"/>
      <c r="O711" s="136"/>
      <c r="P711" s="136"/>
      <c r="Q711" s="136"/>
      <c r="R711" s="136"/>
      <c r="S711" s="136"/>
      <c r="T711" s="136"/>
      <c r="U711" s="136"/>
    </row>
    <row r="712" spans="13:21" x14ac:dyDescent="0.35">
      <c r="M712" s="135"/>
      <c r="N712" s="136"/>
      <c r="O712" s="136"/>
      <c r="P712" s="136"/>
      <c r="Q712" s="136"/>
      <c r="R712" s="136"/>
      <c r="S712" s="136"/>
      <c r="T712" s="136"/>
      <c r="U712" s="136"/>
    </row>
    <row r="713" spans="13:21" x14ac:dyDescent="0.35">
      <c r="M713" s="135"/>
      <c r="N713" s="136"/>
      <c r="O713" s="136"/>
      <c r="P713" s="136"/>
      <c r="Q713" s="136"/>
      <c r="R713" s="136"/>
      <c r="S713" s="136"/>
      <c r="T713" s="136"/>
      <c r="U713" s="136"/>
    </row>
    <row r="714" spans="13:21" x14ac:dyDescent="0.35">
      <c r="M714" s="135"/>
      <c r="N714" s="136"/>
      <c r="O714" s="136"/>
      <c r="P714" s="136"/>
      <c r="Q714" s="136"/>
      <c r="R714" s="136"/>
      <c r="S714" s="136"/>
      <c r="T714" s="136"/>
      <c r="U714" s="136"/>
    </row>
    <row r="715" spans="13:21" x14ac:dyDescent="0.35">
      <c r="M715" s="135"/>
      <c r="N715" s="136"/>
      <c r="O715" s="136"/>
      <c r="P715" s="136"/>
      <c r="Q715" s="136"/>
      <c r="R715" s="136"/>
      <c r="S715" s="136"/>
      <c r="T715" s="136"/>
      <c r="U715" s="136"/>
    </row>
    <row r="716" spans="13:21" x14ac:dyDescent="0.35">
      <c r="M716" s="135"/>
      <c r="N716" s="136"/>
      <c r="O716" s="136"/>
      <c r="P716" s="136"/>
      <c r="Q716" s="136"/>
      <c r="R716" s="136"/>
      <c r="S716" s="136"/>
      <c r="T716" s="136"/>
      <c r="U716" s="136"/>
    </row>
    <row r="717" spans="13:21" x14ac:dyDescent="0.35">
      <c r="M717" s="135"/>
      <c r="N717" s="136"/>
      <c r="O717" s="136"/>
      <c r="P717" s="136"/>
      <c r="Q717" s="136"/>
      <c r="R717" s="136"/>
      <c r="S717" s="136"/>
      <c r="T717" s="136"/>
      <c r="U717" s="136"/>
    </row>
    <row r="718" spans="13:21" x14ac:dyDescent="0.35">
      <c r="M718" s="135"/>
      <c r="N718" s="136"/>
      <c r="O718" s="136"/>
      <c r="P718" s="136"/>
      <c r="Q718" s="136"/>
      <c r="R718" s="136"/>
      <c r="S718" s="136"/>
      <c r="T718" s="136"/>
      <c r="U718" s="136"/>
    </row>
    <row r="719" spans="13:21" x14ac:dyDescent="0.35">
      <c r="M719" s="135"/>
      <c r="N719" s="136"/>
      <c r="O719" s="136"/>
      <c r="P719" s="136"/>
      <c r="Q719" s="136"/>
      <c r="R719" s="136"/>
      <c r="S719" s="136"/>
      <c r="T719" s="136"/>
      <c r="U719" s="136"/>
    </row>
    <row r="720" spans="13:21" x14ac:dyDescent="0.35">
      <c r="M720" s="135"/>
      <c r="N720" s="136"/>
      <c r="O720" s="136"/>
      <c r="P720" s="136"/>
      <c r="Q720" s="136"/>
      <c r="R720" s="136"/>
      <c r="S720" s="136"/>
      <c r="T720" s="136"/>
      <c r="U720" s="136"/>
    </row>
    <row r="721" spans="13:21" x14ac:dyDescent="0.35">
      <c r="M721" s="135"/>
      <c r="N721" s="136"/>
      <c r="O721" s="136"/>
      <c r="P721" s="136"/>
      <c r="Q721" s="136"/>
      <c r="R721" s="136"/>
      <c r="S721" s="136"/>
      <c r="T721" s="136"/>
      <c r="U721" s="136"/>
    </row>
    <row r="722" spans="13:21" x14ac:dyDescent="0.35">
      <c r="M722" s="135"/>
      <c r="N722" s="136"/>
      <c r="O722" s="136"/>
      <c r="P722" s="136"/>
      <c r="Q722" s="136"/>
      <c r="R722" s="136"/>
      <c r="S722" s="136"/>
      <c r="T722" s="136"/>
      <c r="U722" s="136"/>
    </row>
    <row r="723" spans="13:21" x14ac:dyDescent="0.35">
      <c r="M723" s="135"/>
      <c r="N723" s="136"/>
      <c r="O723" s="136"/>
      <c r="P723" s="136"/>
      <c r="Q723" s="136"/>
      <c r="R723" s="136"/>
      <c r="S723" s="136"/>
      <c r="T723" s="136"/>
      <c r="U723" s="136"/>
    </row>
    <row r="724" spans="13:21" x14ac:dyDescent="0.35">
      <c r="M724" s="135"/>
      <c r="N724" s="136"/>
      <c r="O724" s="136"/>
      <c r="P724" s="136"/>
      <c r="Q724" s="136"/>
      <c r="R724" s="136"/>
      <c r="S724" s="136"/>
      <c r="T724" s="136"/>
      <c r="U724" s="136"/>
    </row>
    <row r="725" spans="13:21" x14ac:dyDescent="0.35">
      <c r="M725" s="135"/>
      <c r="N725" s="136"/>
      <c r="O725" s="136"/>
      <c r="P725" s="136"/>
      <c r="Q725" s="136"/>
      <c r="R725" s="136"/>
      <c r="S725" s="136"/>
      <c r="T725" s="136"/>
      <c r="U725" s="136"/>
    </row>
    <row r="726" spans="13:21" x14ac:dyDescent="0.35">
      <c r="M726" s="135"/>
      <c r="N726" s="136"/>
      <c r="O726" s="136"/>
      <c r="P726" s="136"/>
      <c r="Q726" s="136"/>
      <c r="R726" s="136"/>
      <c r="S726" s="136"/>
      <c r="T726" s="136"/>
      <c r="U726" s="136"/>
    </row>
    <row r="727" spans="13:21" x14ac:dyDescent="0.35">
      <c r="M727" s="135"/>
      <c r="N727" s="136"/>
      <c r="O727" s="136"/>
      <c r="P727" s="136"/>
      <c r="Q727" s="136"/>
      <c r="R727" s="136"/>
      <c r="S727" s="136"/>
      <c r="T727" s="136"/>
      <c r="U727" s="136"/>
    </row>
    <row r="728" spans="13:21" x14ac:dyDescent="0.35">
      <c r="M728" s="135"/>
      <c r="N728" s="136"/>
      <c r="O728" s="136"/>
      <c r="P728" s="136"/>
      <c r="Q728" s="136"/>
      <c r="R728" s="136"/>
      <c r="S728" s="136"/>
      <c r="T728" s="136"/>
      <c r="U728" s="136"/>
    </row>
    <row r="729" spans="13:21" x14ac:dyDescent="0.35">
      <c r="M729" s="135"/>
      <c r="N729" s="136"/>
      <c r="O729" s="136"/>
      <c r="P729" s="136"/>
      <c r="Q729" s="136"/>
      <c r="R729" s="136"/>
      <c r="S729" s="136"/>
      <c r="T729" s="136"/>
      <c r="U729" s="136"/>
    </row>
    <row r="730" spans="13:21" x14ac:dyDescent="0.35">
      <c r="M730" s="135"/>
      <c r="N730" s="136"/>
      <c r="O730" s="136"/>
      <c r="P730" s="136"/>
      <c r="Q730" s="136"/>
      <c r="R730" s="136"/>
      <c r="S730" s="136"/>
      <c r="T730" s="136"/>
      <c r="U730" s="136"/>
    </row>
    <row r="731" spans="13:21" x14ac:dyDescent="0.35">
      <c r="M731" s="135"/>
      <c r="N731" s="136"/>
      <c r="O731" s="136"/>
      <c r="P731" s="136"/>
      <c r="Q731" s="136"/>
      <c r="R731" s="136"/>
      <c r="S731" s="136"/>
      <c r="T731" s="136"/>
      <c r="U731" s="136"/>
    </row>
    <row r="732" spans="13:21" x14ac:dyDescent="0.35">
      <c r="M732" s="135"/>
      <c r="N732" s="136"/>
      <c r="O732" s="136"/>
      <c r="P732" s="136"/>
      <c r="Q732" s="136"/>
      <c r="R732" s="136"/>
      <c r="S732" s="136"/>
      <c r="T732" s="136"/>
      <c r="U732" s="136"/>
    </row>
    <row r="733" spans="13:21" x14ac:dyDescent="0.35">
      <c r="M733" s="135"/>
      <c r="N733" s="136"/>
      <c r="O733" s="136"/>
      <c r="P733" s="136"/>
      <c r="Q733" s="136"/>
      <c r="R733" s="136"/>
      <c r="S733" s="136"/>
      <c r="T733" s="136"/>
      <c r="U733" s="136"/>
    </row>
    <row r="734" spans="13:21" x14ac:dyDescent="0.35">
      <c r="M734" s="135"/>
      <c r="N734" s="136"/>
      <c r="O734" s="136"/>
      <c r="P734" s="136"/>
      <c r="Q734" s="136"/>
      <c r="R734" s="136"/>
      <c r="S734" s="136"/>
      <c r="T734" s="136"/>
      <c r="U734" s="136"/>
    </row>
    <row r="735" spans="13:21" x14ac:dyDescent="0.35">
      <c r="M735" s="135"/>
      <c r="N735" s="136"/>
      <c r="O735" s="136"/>
      <c r="P735" s="136"/>
      <c r="Q735" s="136"/>
      <c r="R735" s="136"/>
      <c r="S735" s="136"/>
      <c r="T735" s="136"/>
      <c r="U735" s="136"/>
    </row>
    <row r="736" spans="13:21" x14ac:dyDescent="0.35">
      <c r="M736" s="135"/>
      <c r="N736" s="136"/>
      <c r="O736" s="136"/>
      <c r="P736" s="136"/>
      <c r="Q736" s="136"/>
      <c r="R736" s="136"/>
      <c r="S736" s="136"/>
      <c r="T736" s="136"/>
      <c r="U736" s="136"/>
    </row>
    <row r="737" spans="13:21" x14ac:dyDescent="0.35">
      <c r="M737" s="135"/>
      <c r="N737" s="136"/>
      <c r="O737" s="136"/>
      <c r="P737" s="136"/>
      <c r="Q737" s="136"/>
      <c r="R737" s="136"/>
      <c r="S737" s="136"/>
      <c r="T737" s="136"/>
      <c r="U737" s="136"/>
    </row>
    <row r="738" spans="13:21" x14ac:dyDescent="0.35">
      <c r="M738" s="135"/>
      <c r="N738" s="136"/>
      <c r="O738" s="136"/>
      <c r="P738" s="136"/>
      <c r="Q738" s="136"/>
      <c r="R738" s="136"/>
      <c r="S738" s="136"/>
      <c r="T738" s="136"/>
      <c r="U738" s="136"/>
    </row>
    <row r="739" spans="13:21" x14ac:dyDescent="0.35">
      <c r="M739" s="135"/>
      <c r="N739" s="136"/>
      <c r="O739" s="136"/>
      <c r="P739" s="136"/>
      <c r="Q739" s="136"/>
      <c r="R739" s="136"/>
      <c r="S739" s="136"/>
      <c r="T739" s="136"/>
      <c r="U739" s="136"/>
    </row>
    <row r="740" spans="13:21" x14ac:dyDescent="0.35">
      <c r="M740" s="135"/>
      <c r="N740" s="136"/>
      <c r="O740" s="136"/>
      <c r="P740" s="136"/>
      <c r="Q740" s="136"/>
      <c r="R740" s="136"/>
      <c r="S740" s="136"/>
      <c r="T740" s="136"/>
      <c r="U740" s="136"/>
    </row>
    <row r="741" spans="13:21" x14ac:dyDescent="0.35">
      <c r="M741" s="135"/>
      <c r="N741" s="136"/>
      <c r="O741" s="136"/>
      <c r="P741" s="136"/>
      <c r="Q741" s="136"/>
      <c r="R741" s="136"/>
      <c r="S741" s="136"/>
      <c r="T741" s="136"/>
      <c r="U741" s="136"/>
    </row>
    <row r="742" spans="13:21" x14ac:dyDescent="0.35">
      <c r="M742" s="135"/>
      <c r="N742" s="136"/>
      <c r="O742" s="136"/>
      <c r="P742" s="136"/>
      <c r="Q742" s="136"/>
      <c r="R742" s="136"/>
      <c r="S742" s="136"/>
      <c r="T742" s="136"/>
      <c r="U742" s="136"/>
    </row>
    <row r="743" spans="13:21" x14ac:dyDescent="0.35">
      <c r="M743" s="135"/>
      <c r="N743" s="136"/>
      <c r="O743" s="136"/>
      <c r="P743" s="136"/>
      <c r="Q743" s="136"/>
      <c r="R743" s="136"/>
      <c r="S743" s="136"/>
      <c r="T743" s="136"/>
      <c r="U743" s="136"/>
    </row>
    <row r="744" spans="13:21" x14ac:dyDescent="0.35">
      <c r="M744" s="135"/>
      <c r="N744" s="136"/>
      <c r="O744" s="136"/>
      <c r="P744" s="136"/>
      <c r="Q744" s="136"/>
      <c r="R744" s="136"/>
      <c r="S744" s="136"/>
      <c r="T744" s="136"/>
      <c r="U744" s="136"/>
    </row>
    <row r="745" spans="13:21" x14ac:dyDescent="0.35">
      <c r="M745" s="135"/>
      <c r="N745" s="136"/>
      <c r="O745" s="136"/>
      <c r="P745" s="136"/>
      <c r="Q745" s="136"/>
      <c r="R745" s="136"/>
      <c r="S745" s="136"/>
      <c r="T745" s="136"/>
      <c r="U745" s="136"/>
    </row>
    <row r="746" spans="13:21" x14ac:dyDescent="0.35">
      <c r="M746" s="135"/>
      <c r="N746" s="136"/>
      <c r="O746" s="136"/>
      <c r="P746" s="136"/>
      <c r="Q746" s="136"/>
      <c r="R746" s="136"/>
      <c r="S746" s="136"/>
      <c r="T746" s="136"/>
      <c r="U746" s="136"/>
    </row>
    <row r="747" spans="13:21" x14ac:dyDescent="0.35">
      <c r="M747" s="135"/>
      <c r="N747" s="136"/>
      <c r="O747" s="136"/>
      <c r="P747" s="136"/>
      <c r="Q747" s="136"/>
      <c r="R747" s="136"/>
      <c r="S747" s="136"/>
      <c r="T747" s="136"/>
      <c r="U747" s="136"/>
    </row>
    <row r="748" spans="13:21" x14ac:dyDescent="0.35">
      <c r="M748" s="135"/>
      <c r="N748" s="136"/>
      <c r="O748" s="136"/>
      <c r="P748" s="136"/>
      <c r="Q748" s="136"/>
      <c r="R748" s="136"/>
      <c r="S748" s="136"/>
      <c r="T748" s="136"/>
      <c r="U748" s="136"/>
    </row>
    <row r="749" spans="13:21" x14ac:dyDescent="0.35">
      <c r="M749" s="135"/>
      <c r="N749" s="136"/>
      <c r="O749" s="136"/>
      <c r="P749" s="136"/>
      <c r="Q749" s="136"/>
      <c r="R749" s="136"/>
      <c r="S749" s="136"/>
      <c r="T749" s="136"/>
      <c r="U749" s="136"/>
    </row>
    <row r="750" spans="13:21" x14ac:dyDescent="0.35">
      <c r="M750" s="135"/>
      <c r="N750" s="136"/>
      <c r="O750" s="136"/>
      <c r="P750" s="136"/>
      <c r="Q750" s="136"/>
      <c r="R750" s="136"/>
      <c r="S750" s="136"/>
      <c r="T750" s="136"/>
      <c r="U750" s="136"/>
    </row>
    <row r="751" spans="13:21" x14ac:dyDescent="0.35">
      <c r="M751" s="135"/>
      <c r="N751" s="136"/>
      <c r="O751" s="136"/>
      <c r="P751" s="136"/>
      <c r="Q751" s="136"/>
      <c r="R751" s="136"/>
      <c r="S751" s="136"/>
      <c r="T751" s="136"/>
      <c r="U751" s="136"/>
    </row>
    <row r="752" spans="13:21" x14ac:dyDescent="0.35">
      <c r="M752" s="135"/>
      <c r="N752" s="136"/>
      <c r="O752" s="136"/>
      <c r="P752" s="136"/>
      <c r="Q752" s="136"/>
      <c r="R752" s="136"/>
      <c r="S752" s="136"/>
      <c r="T752" s="136"/>
      <c r="U752" s="136"/>
    </row>
    <row r="753" spans="13:21" x14ac:dyDescent="0.35">
      <c r="M753" s="135"/>
      <c r="N753" s="136"/>
      <c r="O753" s="136"/>
      <c r="P753" s="136"/>
      <c r="Q753" s="136"/>
      <c r="R753" s="136"/>
      <c r="S753" s="136"/>
      <c r="T753" s="136"/>
      <c r="U753" s="136"/>
    </row>
    <row r="754" spans="13:21" x14ac:dyDescent="0.35">
      <c r="M754" s="135"/>
      <c r="N754" s="136"/>
      <c r="O754" s="136"/>
      <c r="P754" s="136"/>
      <c r="Q754" s="136"/>
      <c r="R754" s="136"/>
      <c r="S754" s="136"/>
      <c r="T754" s="136"/>
      <c r="U754" s="136"/>
    </row>
    <row r="755" spans="13:21" x14ac:dyDescent="0.35">
      <c r="M755" s="135"/>
      <c r="N755" s="136"/>
      <c r="O755" s="136"/>
      <c r="P755" s="136"/>
      <c r="Q755" s="136"/>
      <c r="R755" s="136"/>
      <c r="S755" s="136"/>
      <c r="T755" s="136"/>
      <c r="U755" s="136"/>
    </row>
    <row r="756" spans="13:21" x14ac:dyDescent="0.35">
      <c r="M756" s="135"/>
      <c r="N756" s="136"/>
      <c r="O756" s="136"/>
      <c r="P756" s="136"/>
      <c r="Q756" s="136"/>
      <c r="R756" s="136"/>
      <c r="S756" s="136"/>
      <c r="T756" s="136"/>
      <c r="U756" s="136"/>
    </row>
    <row r="757" spans="13:21" x14ac:dyDescent="0.35">
      <c r="M757" s="135"/>
      <c r="N757" s="136"/>
      <c r="O757" s="136"/>
      <c r="P757" s="136"/>
      <c r="Q757" s="136"/>
      <c r="R757" s="136"/>
      <c r="S757" s="136"/>
      <c r="T757" s="136"/>
      <c r="U757" s="136"/>
    </row>
    <row r="758" spans="13:21" x14ac:dyDescent="0.35">
      <c r="M758" s="135"/>
      <c r="N758" s="136"/>
      <c r="O758" s="136"/>
      <c r="P758" s="136"/>
      <c r="Q758" s="136"/>
      <c r="R758" s="136"/>
      <c r="S758" s="136"/>
      <c r="T758" s="136"/>
      <c r="U758" s="136"/>
    </row>
    <row r="759" spans="13:21" x14ac:dyDescent="0.35">
      <c r="M759" s="135"/>
      <c r="N759" s="136"/>
      <c r="O759" s="136"/>
      <c r="P759" s="136"/>
      <c r="Q759" s="136"/>
      <c r="R759" s="136"/>
      <c r="S759" s="136"/>
      <c r="T759" s="136"/>
      <c r="U759" s="136"/>
    </row>
    <row r="760" spans="13:21" x14ac:dyDescent="0.35">
      <c r="M760" s="135"/>
      <c r="N760" s="136"/>
      <c r="O760" s="136"/>
      <c r="P760" s="136"/>
      <c r="Q760" s="136"/>
      <c r="R760" s="136"/>
      <c r="S760" s="136"/>
      <c r="T760" s="136"/>
      <c r="U760" s="136"/>
    </row>
    <row r="761" spans="13:21" x14ac:dyDescent="0.35">
      <c r="M761" s="135"/>
      <c r="N761" s="136"/>
      <c r="O761" s="136"/>
      <c r="P761" s="136"/>
      <c r="Q761" s="136"/>
      <c r="R761" s="136"/>
      <c r="S761" s="136"/>
      <c r="T761" s="136"/>
      <c r="U761" s="136"/>
    </row>
    <row r="762" spans="13:21" x14ac:dyDescent="0.35">
      <c r="M762" s="135"/>
      <c r="N762" s="136"/>
      <c r="O762" s="136"/>
      <c r="P762" s="136"/>
      <c r="Q762" s="136"/>
      <c r="R762" s="136"/>
      <c r="S762" s="136"/>
      <c r="T762" s="136"/>
      <c r="U762" s="136"/>
    </row>
    <row r="763" spans="13:21" x14ac:dyDescent="0.35">
      <c r="M763" s="135"/>
      <c r="N763" s="136"/>
      <c r="O763" s="136"/>
      <c r="P763" s="136"/>
      <c r="Q763" s="136"/>
      <c r="R763" s="136"/>
      <c r="S763" s="136"/>
      <c r="T763" s="136"/>
      <c r="U763" s="136"/>
    </row>
    <row r="764" spans="13:21" x14ac:dyDescent="0.35">
      <c r="M764" s="135"/>
      <c r="N764" s="136"/>
      <c r="O764" s="136"/>
      <c r="P764" s="136"/>
      <c r="Q764" s="136"/>
      <c r="R764" s="136"/>
      <c r="S764" s="136"/>
      <c r="T764" s="136"/>
      <c r="U764" s="136"/>
    </row>
    <row r="765" spans="13:21" x14ac:dyDescent="0.35">
      <c r="M765" s="135"/>
      <c r="N765" s="136"/>
      <c r="O765" s="136"/>
      <c r="P765" s="136"/>
      <c r="Q765" s="136"/>
      <c r="R765" s="136"/>
      <c r="S765" s="136"/>
      <c r="T765" s="136"/>
      <c r="U765" s="136"/>
    </row>
    <row r="766" spans="13:21" x14ac:dyDescent="0.35">
      <c r="M766" s="135"/>
      <c r="N766" s="136"/>
      <c r="O766" s="136"/>
      <c r="P766" s="136"/>
      <c r="Q766" s="136"/>
      <c r="R766" s="136"/>
      <c r="S766" s="136"/>
      <c r="T766" s="136"/>
      <c r="U766" s="136"/>
    </row>
    <row r="767" spans="13:21" x14ac:dyDescent="0.35">
      <c r="M767" s="135"/>
      <c r="N767" s="136"/>
      <c r="O767" s="136"/>
      <c r="P767" s="136"/>
      <c r="Q767" s="136"/>
      <c r="R767" s="136"/>
      <c r="S767" s="136"/>
      <c r="T767" s="136"/>
      <c r="U767" s="136"/>
    </row>
    <row r="768" spans="13:21" x14ac:dyDescent="0.35">
      <c r="M768" s="135"/>
      <c r="N768" s="136"/>
      <c r="O768" s="136"/>
      <c r="P768" s="136"/>
      <c r="Q768" s="136"/>
      <c r="R768" s="136"/>
      <c r="S768" s="136"/>
      <c r="T768" s="136"/>
      <c r="U768" s="136"/>
    </row>
    <row r="769" spans="13:21" x14ac:dyDescent="0.35">
      <c r="M769" s="135"/>
      <c r="N769" s="136"/>
      <c r="O769" s="136"/>
      <c r="P769" s="136"/>
      <c r="Q769" s="136"/>
      <c r="R769" s="136"/>
      <c r="S769" s="136"/>
      <c r="T769" s="136"/>
      <c r="U769" s="136"/>
    </row>
    <row r="770" spans="13:21" x14ac:dyDescent="0.35">
      <c r="M770" s="135"/>
      <c r="N770" s="136"/>
      <c r="O770" s="136"/>
      <c r="P770" s="136"/>
      <c r="Q770" s="136"/>
      <c r="R770" s="136"/>
      <c r="S770" s="136"/>
      <c r="T770" s="136"/>
      <c r="U770" s="136"/>
    </row>
    <row r="771" spans="13:21" x14ac:dyDescent="0.35">
      <c r="M771" s="135"/>
      <c r="N771" s="136"/>
      <c r="O771" s="136"/>
      <c r="P771" s="136"/>
      <c r="Q771" s="136"/>
      <c r="R771" s="136"/>
      <c r="S771" s="136"/>
      <c r="T771" s="136"/>
      <c r="U771" s="136"/>
    </row>
    <row r="772" spans="13:21" x14ac:dyDescent="0.35">
      <c r="M772" s="135"/>
      <c r="N772" s="136"/>
      <c r="O772" s="136"/>
      <c r="P772" s="136"/>
      <c r="Q772" s="136"/>
      <c r="R772" s="136"/>
      <c r="S772" s="136"/>
      <c r="T772" s="136"/>
      <c r="U772" s="136"/>
    </row>
    <row r="773" spans="13:21" x14ac:dyDescent="0.35">
      <c r="M773" s="135"/>
      <c r="N773" s="136"/>
      <c r="O773" s="136"/>
      <c r="P773" s="136"/>
      <c r="Q773" s="136"/>
      <c r="R773" s="136"/>
      <c r="S773" s="136"/>
      <c r="T773" s="136"/>
      <c r="U773" s="136"/>
    </row>
    <row r="774" spans="13:21" x14ac:dyDescent="0.35">
      <c r="M774" s="135"/>
      <c r="N774" s="136"/>
      <c r="O774" s="136"/>
      <c r="P774" s="136"/>
      <c r="Q774" s="136"/>
      <c r="R774" s="136"/>
      <c r="S774" s="136"/>
      <c r="T774" s="136"/>
      <c r="U774" s="136"/>
    </row>
    <row r="775" spans="13:21" x14ac:dyDescent="0.35">
      <c r="M775" s="135"/>
      <c r="N775" s="136"/>
      <c r="O775" s="136"/>
      <c r="P775" s="136"/>
      <c r="Q775" s="136"/>
      <c r="R775" s="136"/>
      <c r="S775" s="136"/>
      <c r="T775" s="136"/>
      <c r="U775" s="136"/>
    </row>
    <row r="776" spans="13:21" x14ac:dyDescent="0.35">
      <c r="M776" s="135"/>
      <c r="N776" s="136"/>
      <c r="O776" s="136"/>
      <c r="P776" s="136"/>
      <c r="Q776" s="136"/>
      <c r="R776" s="136"/>
      <c r="S776" s="136"/>
      <c r="T776" s="136"/>
      <c r="U776" s="136"/>
    </row>
    <row r="777" spans="13:21" x14ac:dyDescent="0.35">
      <c r="M777" s="135"/>
      <c r="N777" s="136"/>
      <c r="O777" s="136"/>
      <c r="P777" s="136"/>
      <c r="Q777" s="136"/>
      <c r="R777" s="136"/>
      <c r="S777" s="136"/>
      <c r="T777" s="136"/>
      <c r="U777" s="136"/>
    </row>
    <row r="778" spans="13:21" x14ac:dyDescent="0.35">
      <c r="M778" s="135"/>
      <c r="N778" s="136"/>
      <c r="O778" s="136"/>
      <c r="P778" s="136"/>
      <c r="Q778" s="136"/>
      <c r="R778" s="136"/>
      <c r="S778" s="136"/>
      <c r="T778" s="136"/>
      <c r="U778" s="136"/>
    </row>
    <row r="779" spans="13:21" x14ac:dyDescent="0.35">
      <c r="M779" s="135"/>
      <c r="N779" s="136"/>
      <c r="O779" s="136"/>
      <c r="P779" s="136"/>
      <c r="Q779" s="136"/>
      <c r="R779" s="136"/>
      <c r="S779" s="136"/>
      <c r="T779" s="136"/>
      <c r="U779" s="136"/>
    </row>
    <row r="780" spans="13:21" x14ac:dyDescent="0.35">
      <c r="M780" s="135"/>
      <c r="N780" s="136"/>
      <c r="O780" s="136"/>
      <c r="P780" s="136"/>
      <c r="Q780" s="136"/>
      <c r="R780" s="136"/>
      <c r="S780" s="136"/>
      <c r="T780" s="136"/>
      <c r="U780" s="136"/>
    </row>
    <row r="781" spans="13:21" x14ac:dyDescent="0.35">
      <c r="M781" s="135"/>
      <c r="N781" s="136"/>
      <c r="O781" s="136"/>
      <c r="P781" s="136"/>
      <c r="Q781" s="136"/>
      <c r="R781" s="136"/>
      <c r="S781" s="136"/>
      <c r="T781" s="136"/>
      <c r="U781" s="136"/>
    </row>
    <row r="782" spans="13:21" x14ac:dyDescent="0.35">
      <c r="M782" s="135"/>
      <c r="N782" s="136"/>
      <c r="O782" s="136"/>
      <c r="P782" s="136"/>
      <c r="Q782" s="136"/>
      <c r="R782" s="136"/>
      <c r="S782" s="136"/>
      <c r="T782" s="136"/>
      <c r="U782" s="136"/>
    </row>
    <row r="783" spans="13:21" x14ac:dyDescent="0.35">
      <c r="M783" s="135"/>
      <c r="N783" s="136"/>
      <c r="O783" s="136"/>
      <c r="P783" s="136"/>
      <c r="Q783" s="136"/>
      <c r="R783" s="136"/>
      <c r="S783" s="136"/>
      <c r="T783" s="136"/>
      <c r="U783" s="136"/>
    </row>
    <row r="784" spans="13:21" x14ac:dyDescent="0.35">
      <c r="M784" s="135"/>
      <c r="N784" s="136"/>
      <c r="O784" s="136"/>
      <c r="P784" s="136"/>
      <c r="Q784" s="136"/>
      <c r="R784" s="136"/>
      <c r="S784" s="136"/>
      <c r="T784" s="136"/>
      <c r="U784" s="136"/>
    </row>
    <row r="785" spans="13:21" x14ac:dyDescent="0.35">
      <c r="M785" s="135"/>
      <c r="N785" s="136"/>
      <c r="O785" s="136"/>
      <c r="P785" s="136"/>
      <c r="Q785" s="136"/>
      <c r="R785" s="136"/>
      <c r="S785" s="136"/>
      <c r="T785" s="136"/>
      <c r="U785" s="136"/>
    </row>
    <row r="786" spans="13:21" x14ac:dyDescent="0.35">
      <c r="M786" s="135"/>
      <c r="N786" s="136"/>
      <c r="O786" s="136"/>
      <c r="P786" s="136"/>
      <c r="Q786" s="136"/>
      <c r="R786" s="136"/>
      <c r="S786" s="136"/>
      <c r="T786" s="136"/>
      <c r="U786" s="136"/>
    </row>
    <row r="787" spans="13:21" x14ac:dyDescent="0.35">
      <c r="M787" s="135"/>
      <c r="N787" s="136"/>
      <c r="O787" s="136"/>
      <c r="P787" s="136"/>
      <c r="Q787" s="136"/>
      <c r="R787" s="136"/>
      <c r="S787" s="136"/>
      <c r="T787" s="136"/>
      <c r="U787" s="136"/>
    </row>
    <row r="788" spans="13:21" x14ac:dyDescent="0.35">
      <c r="M788" s="135"/>
      <c r="N788" s="136"/>
      <c r="O788" s="136"/>
      <c r="P788" s="136"/>
      <c r="Q788" s="136"/>
      <c r="R788" s="136"/>
      <c r="S788" s="136"/>
      <c r="T788" s="136"/>
      <c r="U788" s="136"/>
    </row>
    <row r="789" spans="13:21" x14ac:dyDescent="0.35">
      <c r="M789" s="135"/>
      <c r="N789" s="136"/>
      <c r="O789" s="136"/>
      <c r="P789" s="136"/>
      <c r="Q789" s="136"/>
      <c r="R789" s="136"/>
      <c r="S789" s="136"/>
      <c r="T789" s="136"/>
      <c r="U789" s="136"/>
    </row>
    <row r="790" spans="13:21" x14ac:dyDescent="0.35">
      <c r="M790" s="135"/>
      <c r="N790" s="136"/>
      <c r="O790" s="136"/>
      <c r="P790" s="136"/>
      <c r="Q790" s="136"/>
      <c r="R790" s="136"/>
      <c r="S790" s="136"/>
      <c r="T790" s="136"/>
      <c r="U790" s="136"/>
    </row>
    <row r="791" spans="13:21" x14ac:dyDescent="0.35">
      <c r="M791" s="135"/>
      <c r="N791" s="136"/>
      <c r="O791" s="136"/>
      <c r="P791" s="136"/>
      <c r="Q791" s="136"/>
      <c r="R791" s="136"/>
      <c r="S791" s="136"/>
      <c r="T791" s="136"/>
      <c r="U791" s="136"/>
    </row>
    <row r="792" spans="13:21" x14ac:dyDescent="0.35">
      <c r="M792" s="135"/>
      <c r="N792" s="136"/>
      <c r="O792" s="136"/>
      <c r="P792" s="136"/>
      <c r="Q792" s="136"/>
      <c r="R792" s="136"/>
      <c r="S792" s="136"/>
      <c r="T792" s="136"/>
      <c r="U792" s="136"/>
    </row>
    <row r="793" spans="13:21" x14ac:dyDescent="0.35">
      <c r="M793" s="135"/>
      <c r="N793" s="136"/>
      <c r="O793" s="136"/>
      <c r="P793" s="136"/>
      <c r="Q793" s="136"/>
      <c r="R793" s="136"/>
      <c r="S793" s="136"/>
      <c r="T793" s="136"/>
      <c r="U793" s="136"/>
    </row>
    <row r="794" spans="13:21" x14ac:dyDescent="0.35">
      <c r="M794" s="135"/>
      <c r="N794" s="136"/>
      <c r="O794" s="136"/>
      <c r="P794" s="136"/>
      <c r="Q794" s="136"/>
      <c r="R794" s="136"/>
      <c r="S794" s="136"/>
      <c r="T794" s="136"/>
      <c r="U794" s="136"/>
    </row>
    <row r="795" spans="13:21" x14ac:dyDescent="0.35">
      <c r="M795" s="135"/>
      <c r="N795" s="136"/>
      <c r="O795" s="136"/>
      <c r="P795" s="136"/>
      <c r="Q795" s="136"/>
      <c r="R795" s="136"/>
      <c r="S795" s="136"/>
      <c r="T795" s="136"/>
      <c r="U795" s="136"/>
    </row>
    <row r="796" spans="13:21" x14ac:dyDescent="0.35">
      <c r="M796" s="135"/>
      <c r="N796" s="136"/>
      <c r="O796" s="136"/>
      <c r="P796" s="136"/>
      <c r="Q796" s="136"/>
      <c r="R796" s="136"/>
      <c r="S796" s="136"/>
      <c r="T796" s="136"/>
      <c r="U796" s="136"/>
    </row>
    <row r="797" spans="13:21" x14ac:dyDescent="0.35">
      <c r="M797" s="135"/>
      <c r="N797" s="136"/>
      <c r="O797" s="136"/>
      <c r="P797" s="136"/>
      <c r="Q797" s="136"/>
      <c r="R797" s="136"/>
      <c r="S797" s="136"/>
      <c r="T797" s="136"/>
      <c r="U797" s="136"/>
    </row>
    <row r="798" spans="13:21" x14ac:dyDescent="0.35">
      <c r="M798" s="135"/>
      <c r="N798" s="136"/>
      <c r="O798" s="136"/>
      <c r="P798" s="136"/>
      <c r="Q798" s="136"/>
      <c r="R798" s="136"/>
      <c r="S798" s="136"/>
      <c r="T798" s="136"/>
      <c r="U798" s="136"/>
    </row>
    <row r="799" spans="13:21" x14ac:dyDescent="0.35">
      <c r="M799" s="135"/>
      <c r="N799" s="136"/>
      <c r="O799" s="136"/>
      <c r="P799" s="136"/>
      <c r="Q799" s="136"/>
      <c r="R799" s="136"/>
      <c r="S799" s="136"/>
      <c r="T799" s="136"/>
      <c r="U799" s="136"/>
    </row>
    <row r="800" spans="13:21" x14ac:dyDescent="0.35">
      <c r="M800" s="135"/>
      <c r="N800" s="136"/>
      <c r="O800" s="136"/>
      <c r="P800" s="136"/>
      <c r="Q800" s="136"/>
      <c r="R800" s="136"/>
      <c r="S800" s="136"/>
      <c r="T800" s="136"/>
      <c r="U800" s="136"/>
    </row>
    <row r="801" spans="13:21" x14ac:dyDescent="0.35">
      <c r="M801" s="135"/>
      <c r="N801" s="136"/>
      <c r="O801" s="136"/>
      <c r="P801" s="136"/>
      <c r="Q801" s="136"/>
      <c r="R801" s="136"/>
      <c r="S801" s="136"/>
      <c r="T801" s="136"/>
      <c r="U801" s="136"/>
    </row>
    <row r="802" spans="13:21" x14ac:dyDescent="0.35">
      <c r="M802" s="135"/>
      <c r="N802" s="136"/>
      <c r="O802" s="136"/>
      <c r="P802" s="136"/>
      <c r="Q802" s="136"/>
      <c r="R802" s="136"/>
      <c r="S802" s="136"/>
      <c r="T802" s="136"/>
      <c r="U802" s="136"/>
    </row>
    <row r="803" spans="13:21" x14ac:dyDescent="0.35">
      <c r="M803" s="135"/>
      <c r="N803" s="136"/>
      <c r="O803" s="136"/>
      <c r="P803" s="136"/>
      <c r="Q803" s="136"/>
      <c r="R803" s="136"/>
      <c r="S803" s="136"/>
      <c r="T803" s="136"/>
      <c r="U803" s="136"/>
    </row>
    <row r="804" spans="13:21" x14ac:dyDescent="0.35">
      <c r="M804" s="135"/>
      <c r="N804" s="136"/>
      <c r="O804" s="136"/>
      <c r="P804" s="136"/>
      <c r="Q804" s="136"/>
      <c r="R804" s="136"/>
      <c r="S804" s="136"/>
      <c r="T804" s="136"/>
      <c r="U804" s="136"/>
    </row>
    <row r="805" spans="13:21" x14ac:dyDescent="0.35">
      <c r="M805" s="135"/>
      <c r="N805" s="136"/>
      <c r="O805" s="136"/>
      <c r="P805" s="136"/>
      <c r="Q805" s="136"/>
      <c r="R805" s="136"/>
      <c r="S805" s="136"/>
      <c r="T805" s="136"/>
      <c r="U805" s="136"/>
    </row>
    <row r="806" spans="13:21" x14ac:dyDescent="0.35">
      <c r="M806" s="135"/>
      <c r="N806" s="136"/>
      <c r="O806" s="136"/>
      <c r="P806" s="136"/>
      <c r="Q806" s="136"/>
      <c r="R806" s="136"/>
      <c r="S806" s="136"/>
      <c r="T806" s="136"/>
      <c r="U806" s="136"/>
    </row>
    <row r="807" spans="13:21" x14ac:dyDescent="0.35">
      <c r="M807" s="135"/>
      <c r="N807" s="136"/>
      <c r="O807" s="136"/>
      <c r="P807" s="136"/>
      <c r="Q807" s="136"/>
      <c r="R807" s="136"/>
      <c r="S807" s="136"/>
      <c r="T807" s="136"/>
      <c r="U807" s="136"/>
    </row>
    <row r="808" spans="13:21" x14ac:dyDescent="0.35">
      <c r="M808" s="135"/>
      <c r="N808" s="136"/>
      <c r="O808" s="136"/>
      <c r="P808" s="136"/>
      <c r="Q808" s="136"/>
      <c r="R808" s="136"/>
      <c r="S808" s="136"/>
      <c r="T808" s="136"/>
      <c r="U808" s="136"/>
    </row>
    <row r="809" spans="13:21" x14ac:dyDescent="0.35">
      <c r="M809" s="135"/>
      <c r="N809" s="136"/>
      <c r="O809" s="136"/>
      <c r="P809" s="136"/>
      <c r="Q809" s="136"/>
      <c r="R809" s="136"/>
      <c r="S809" s="136"/>
      <c r="T809" s="136"/>
      <c r="U809" s="136"/>
    </row>
    <row r="810" spans="13:21" x14ac:dyDescent="0.35">
      <c r="M810" s="135"/>
      <c r="N810" s="136"/>
      <c r="O810" s="136"/>
      <c r="P810" s="136"/>
      <c r="Q810" s="136"/>
      <c r="R810" s="136"/>
      <c r="S810" s="136"/>
      <c r="T810" s="136"/>
      <c r="U810" s="136"/>
    </row>
    <row r="811" spans="13:21" x14ac:dyDescent="0.35">
      <c r="M811" s="135"/>
      <c r="N811" s="136"/>
      <c r="O811" s="136"/>
      <c r="P811" s="136"/>
      <c r="Q811" s="136"/>
      <c r="R811" s="136"/>
      <c r="S811" s="136"/>
      <c r="T811" s="136"/>
      <c r="U811" s="136"/>
    </row>
    <row r="812" spans="13:21" x14ac:dyDescent="0.35">
      <c r="M812" s="135"/>
      <c r="N812" s="136"/>
      <c r="O812" s="136"/>
      <c r="P812" s="136"/>
      <c r="Q812" s="136"/>
      <c r="R812" s="136"/>
      <c r="S812" s="136"/>
      <c r="T812" s="136"/>
      <c r="U812" s="136"/>
    </row>
    <row r="813" spans="13:21" x14ac:dyDescent="0.35">
      <c r="M813" s="135"/>
      <c r="N813" s="136"/>
      <c r="O813" s="136"/>
      <c r="P813" s="136"/>
      <c r="Q813" s="136"/>
      <c r="R813" s="136"/>
      <c r="S813" s="136"/>
      <c r="T813" s="136"/>
      <c r="U813" s="136"/>
    </row>
    <row r="814" spans="13:21" x14ac:dyDescent="0.35">
      <c r="M814" s="135"/>
      <c r="N814" s="136"/>
      <c r="O814" s="136"/>
      <c r="P814" s="136"/>
      <c r="Q814" s="136"/>
      <c r="R814" s="136"/>
      <c r="S814" s="136"/>
      <c r="T814" s="136"/>
      <c r="U814" s="136"/>
    </row>
    <row r="815" spans="13:21" x14ac:dyDescent="0.35">
      <c r="M815" s="135"/>
      <c r="N815" s="136"/>
      <c r="O815" s="136"/>
      <c r="P815" s="136"/>
      <c r="Q815" s="136"/>
      <c r="R815" s="136"/>
      <c r="S815" s="136"/>
      <c r="T815" s="136"/>
      <c r="U815" s="136"/>
    </row>
    <row r="816" spans="13:21" x14ac:dyDescent="0.35">
      <c r="M816" s="135"/>
      <c r="N816" s="136"/>
      <c r="O816" s="136"/>
      <c r="P816" s="136"/>
      <c r="Q816" s="136"/>
      <c r="R816" s="136"/>
      <c r="S816" s="136"/>
      <c r="T816" s="136"/>
      <c r="U816" s="136"/>
    </row>
    <row r="817" spans="13:21" x14ac:dyDescent="0.35">
      <c r="M817" s="135"/>
      <c r="N817" s="136"/>
      <c r="O817" s="136"/>
      <c r="P817" s="136"/>
      <c r="Q817" s="136"/>
      <c r="R817" s="136"/>
      <c r="S817" s="136"/>
      <c r="T817" s="136"/>
      <c r="U817" s="136"/>
    </row>
    <row r="818" spans="13:21" x14ac:dyDescent="0.35">
      <c r="M818" s="135"/>
      <c r="N818" s="136"/>
      <c r="O818" s="136"/>
      <c r="P818" s="136"/>
      <c r="Q818" s="136"/>
      <c r="R818" s="136"/>
      <c r="S818" s="136"/>
      <c r="T818" s="136"/>
      <c r="U818" s="136"/>
    </row>
    <row r="819" spans="13:21" x14ac:dyDescent="0.35">
      <c r="M819" s="135"/>
      <c r="N819" s="136"/>
      <c r="O819" s="136"/>
      <c r="P819" s="136"/>
      <c r="Q819" s="136"/>
      <c r="R819" s="136"/>
      <c r="S819" s="136"/>
      <c r="T819" s="136"/>
      <c r="U819" s="136"/>
    </row>
    <row r="820" spans="13:21" x14ac:dyDescent="0.35">
      <c r="M820" s="135"/>
      <c r="N820" s="136"/>
      <c r="O820" s="136"/>
      <c r="P820" s="136"/>
      <c r="Q820" s="136"/>
      <c r="R820" s="136"/>
      <c r="S820" s="136"/>
      <c r="T820" s="136"/>
      <c r="U820" s="136"/>
    </row>
    <row r="821" spans="13:21" x14ac:dyDescent="0.35">
      <c r="M821" s="135"/>
      <c r="N821" s="136"/>
      <c r="O821" s="136"/>
      <c r="P821" s="136"/>
      <c r="Q821" s="136"/>
      <c r="R821" s="136"/>
      <c r="S821" s="136"/>
      <c r="T821" s="136"/>
      <c r="U821" s="136"/>
    </row>
    <row r="822" spans="13:21" x14ac:dyDescent="0.35">
      <c r="M822" s="135"/>
      <c r="N822" s="136"/>
      <c r="O822" s="136"/>
      <c r="P822" s="136"/>
      <c r="Q822" s="136"/>
      <c r="R822" s="136"/>
      <c r="S822" s="136"/>
      <c r="T822" s="136"/>
      <c r="U822" s="136"/>
    </row>
    <row r="823" spans="13:21" x14ac:dyDescent="0.35">
      <c r="M823" s="135"/>
      <c r="N823" s="136"/>
      <c r="O823" s="136"/>
      <c r="P823" s="136"/>
      <c r="Q823" s="136"/>
      <c r="R823" s="136"/>
      <c r="S823" s="136"/>
      <c r="T823" s="136"/>
      <c r="U823" s="136"/>
    </row>
    <row r="824" spans="13:21" x14ac:dyDescent="0.35">
      <c r="M824" s="135"/>
      <c r="N824" s="136"/>
      <c r="O824" s="136"/>
      <c r="P824" s="136"/>
      <c r="Q824" s="136"/>
      <c r="R824" s="136"/>
      <c r="S824" s="136"/>
      <c r="T824" s="136"/>
      <c r="U824" s="136"/>
    </row>
    <row r="825" spans="13:21" x14ac:dyDescent="0.35">
      <c r="M825" s="135"/>
      <c r="N825" s="136"/>
      <c r="O825" s="136"/>
      <c r="P825" s="136"/>
      <c r="Q825" s="136"/>
      <c r="R825" s="136"/>
      <c r="S825" s="136"/>
      <c r="T825" s="136"/>
      <c r="U825" s="136"/>
    </row>
    <row r="826" spans="13:21" x14ac:dyDescent="0.35">
      <c r="M826" s="135"/>
      <c r="N826" s="136"/>
      <c r="O826" s="136"/>
      <c r="P826" s="136"/>
      <c r="Q826" s="136"/>
      <c r="R826" s="136"/>
      <c r="S826" s="136"/>
      <c r="T826" s="136"/>
      <c r="U826" s="136"/>
    </row>
    <row r="827" spans="13:21" x14ac:dyDescent="0.35">
      <c r="M827" s="135"/>
      <c r="N827" s="136"/>
      <c r="O827" s="136"/>
      <c r="P827" s="136"/>
      <c r="Q827" s="136"/>
      <c r="R827" s="136"/>
      <c r="S827" s="136"/>
      <c r="T827" s="136"/>
      <c r="U827" s="136"/>
    </row>
    <row r="828" spans="13:21" x14ac:dyDescent="0.35">
      <c r="M828" s="135"/>
      <c r="N828" s="136"/>
      <c r="O828" s="136"/>
      <c r="P828" s="136"/>
      <c r="Q828" s="136"/>
      <c r="R828" s="136"/>
      <c r="S828" s="136"/>
      <c r="T828" s="136"/>
      <c r="U828" s="136"/>
    </row>
    <row r="829" spans="13:21" x14ac:dyDescent="0.35">
      <c r="M829" s="135"/>
      <c r="N829" s="136"/>
      <c r="O829" s="136"/>
      <c r="P829" s="136"/>
      <c r="Q829" s="136"/>
      <c r="R829" s="136"/>
      <c r="S829" s="136"/>
      <c r="T829" s="136"/>
      <c r="U829" s="136"/>
    </row>
    <row r="830" spans="13:21" x14ac:dyDescent="0.35">
      <c r="M830" s="135"/>
      <c r="N830" s="136"/>
      <c r="O830" s="136"/>
      <c r="P830" s="136"/>
      <c r="Q830" s="136"/>
      <c r="R830" s="136"/>
      <c r="S830" s="136"/>
      <c r="T830" s="136"/>
      <c r="U830" s="136"/>
    </row>
    <row r="831" spans="13:21" x14ac:dyDescent="0.35">
      <c r="M831" s="135"/>
      <c r="N831" s="136"/>
      <c r="O831" s="136"/>
      <c r="P831" s="136"/>
      <c r="Q831" s="136"/>
      <c r="R831" s="136"/>
      <c r="S831" s="136"/>
      <c r="T831" s="136"/>
      <c r="U831" s="136"/>
    </row>
    <row r="832" spans="13:21" x14ac:dyDescent="0.35">
      <c r="M832" s="135"/>
      <c r="N832" s="136"/>
      <c r="O832" s="136"/>
      <c r="P832" s="136"/>
      <c r="Q832" s="136"/>
      <c r="R832" s="136"/>
      <c r="S832" s="136"/>
      <c r="T832" s="136"/>
      <c r="U832" s="136"/>
    </row>
    <row r="833" spans="13:21" x14ac:dyDescent="0.35">
      <c r="M833" s="135"/>
      <c r="N833" s="136"/>
      <c r="O833" s="136"/>
      <c r="P833" s="136"/>
      <c r="Q833" s="136"/>
      <c r="R833" s="136"/>
      <c r="S833" s="136"/>
      <c r="T833" s="136"/>
      <c r="U833" s="136"/>
    </row>
    <row r="834" spans="13:21" x14ac:dyDescent="0.35">
      <c r="M834" s="135"/>
      <c r="N834" s="136"/>
      <c r="O834" s="136"/>
      <c r="P834" s="136"/>
      <c r="Q834" s="136"/>
      <c r="R834" s="136"/>
      <c r="S834" s="136"/>
      <c r="T834" s="136"/>
      <c r="U834" s="136"/>
    </row>
    <row r="835" spans="13:21" x14ac:dyDescent="0.35">
      <c r="M835" s="135"/>
      <c r="N835" s="136"/>
      <c r="O835" s="136"/>
      <c r="P835" s="136"/>
      <c r="Q835" s="136"/>
      <c r="R835" s="136"/>
      <c r="S835" s="136"/>
      <c r="T835" s="136"/>
      <c r="U835" s="136"/>
    </row>
    <row r="836" spans="13:21" x14ac:dyDescent="0.35">
      <c r="M836" s="135"/>
      <c r="N836" s="136"/>
      <c r="O836" s="136"/>
      <c r="P836" s="136"/>
      <c r="Q836" s="136"/>
      <c r="R836" s="136"/>
      <c r="S836" s="136"/>
      <c r="T836" s="136"/>
      <c r="U836" s="136"/>
    </row>
    <row r="837" spans="13:21" x14ac:dyDescent="0.35">
      <c r="M837" s="135"/>
      <c r="N837" s="136"/>
      <c r="O837" s="136"/>
      <c r="P837" s="136"/>
      <c r="Q837" s="136"/>
      <c r="R837" s="136"/>
      <c r="S837" s="136"/>
      <c r="T837" s="136"/>
      <c r="U837" s="136"/>
    </row>
    <row r="838" spans="13:21" x14ac:dyDescent="0.35">
      <c r="M838" s="135"/>
      <c r="N838" s="136"/>
      <c r="O838" s="136"/>
      <c r="P838" s="136"/>
      <c r="Q838" s="136"/>
      <c r="R838" s="136"/>
      <c r="S838" s="136"/>
      <c r="T838" s="136"/>
      <c r="U838" s="136"/>
    </row>
    <row r="839" spans="13:21" x14ac:dyDescent="0.35">
      <c r="M839" s="135"/>
      <c r="N839" s="136"/>
      <c r="O839" s="136"/>
      <c r="P839" s="136"/>
      <c r="Q839" s="136"/>
      <c r="R839" s="136"/>
      <c r="S839" s="136"/>
      <c r="T839" s="136"/>
      <c r="U839" s="136"/>
    </row>
    <row r="840" spans="13:21" x14ac:dyDescent="0.35">
      <c r="M840" s="135"/>
      <c r="N840" s="136"/>
      <c r="O840" s="136"/>
      <c r="P840" s="136"/>
      <c r="Q840" s="136"/>
      <c r="R840" s="136"/>
      <c r="S840" s="136"/>
      <c r="T840" s="136"/>
      <c r="U840" s="136"/>
    </row>
    <row r="841" spans="13:21" x14ac:dyDescent="0.35">
      <c r="M841" s="135"/>
      <c r="N841" s="136"/>
      <c r="O841" s="136"/>
      <c r="P841" s="136"/>
      <c r="Q841" s="136"/>
      <c r="R841" s="136"/>
      <c r="S841" s="136"/>
      <c r="T841" s="136"/>
      <c r="U841" s="136"/>
    </row>
    <row r="842" spans="13:21" x14ac:dyDescent="0.35">
      <c r="M842" s="135"/>
      <c r="N842" s="136"/>
      <c r="O842" s="136"/>
      <c r="P842" s="136"/>
      <c r="Q842" s="136"/>
      <c r="R842" s="136"/>
      <c r="S842" s="136"/>
      <c r="T842" s="136"/>
      <c r="U842" s="136"/>
    </row>
    <row r="843" spans="13:21" x14ac:dyDescent="0.35">
      <c r="M843" s="135"/>
      <c r="N843" s="136"/>
      <c r="O843" s="136"/>
      <c r="P843" s="136"/>
      <c r="Q843" s="136"/>
      <c r="R843" s="136"/>
      <c r="S843" s="136"/>
      <c r="T843" s="136"/>
      <c r="U843" s="136"/>
    </row>
    <row r="844" spans="13:21" x14ac:dyDescent="0.35">
      <c r="M844" s="135"/>
      <c r="N844" s="136"/>
      <c r="O844" s="136"/>
      <c r="P844" s="136"/>
      <c r="Q844" s="136"/>
      <c r="R844" s="136"/>
      <c r="S844" s="136"/>
      <c r="T844" s="136"/>
      <c r="U844" s="136"/>
    </row>
    <row r="845" spans="13:21" x14ac:dyDescent="0.35">
      <c r="M845" s="135"/>
      <c r="N845" s="136"/>
      <c r="O845" s="136"/>
      <c r="P845" s="136"/>
      <c r="Q845" s="136"/>
      <c r="R845" s="136"/>
      <c r="S845" s="136"/>
      <c r="T845" s="136"/>
      <c r="U845" s="136"/>
    </row>
    <row r="846" spans="13:21" x14ac:dyDescent="0.35">
      <c r="M846" s="135"/>
      <c r="N846" s="136"/>
      <c r="O846" s="136"/>
      <c r="P846" s="136"/>
      <c r="Q846" s="136"/>
      <c r="R846" s="136"/>
      <c r="S846" s="136"/>
      <c r="T846" s="136"/>
      <c r="U846" s="136"/>
    </row>
    <row r="847" spans="13:21" x14ac:dyDescent="0.35">
      <c r="M847" s="135"/>
      <c r="N847" s="136"/>
      <c r="O847" s="136"/>
      <c r="P847" s="136"/>
      <c r="Q847" s="136"/>
      <c r="R847" s="136"/>
      <c r="S847" s="136"/>
      <c r="T847" s="136"/>
      <c r="U847" s="136"/>
    </row>
    <row r="848" spans="13:21" x14ac:dyDescent="0.35">
      <c r="M848" s="135"/>
      <c r="N848" s="136"/>
      <c r="O848" s="136"/>
      <c r="P848" s="136"/>
      <c r="Q848" s="136"/>
      <c r="R848" s="136"/>
      <c r="S848" s="136"/>
      <c r="T848" s="136"/>
      <c r="U848" s="136"/>
    </row>
    <row r="849" spans="13:21" x14ac:dyDescent="0.35">
      <c r="M849" s="135"/>
      <c r="N849" s="136"/>
      <c r="O849" s="136"/>
      <c r="P849" s="136"/>
      <c r="Q849" s="136"/>
      <c r="R849" s="136"/>
      <c r="S849" s="136"/>
      <c r="T849" s="136"/>
      <c r="U849" s="136"/>
    </row>
    <row r="850" spans="13:21" x14ac:dyDescent="0.35">
      <c r="M850" s="135"/>
      <c r="N850" s="136"/>
      <c r="O850" s="136"/>
      <c r="P850" s="136"/>
      <c r="Q850" s="136"/>
      <c r="R850" s="136"/>
      <c r="S850" s="136"/>
      <c r="T850" s="136"/>
      <c r="U850" s="136"/>
    </row>
    <row r="851" spans="13:21" x14ac:dyDescent="0.35">
      <c r="M851" s="135"/>
      <c r="N851" s="136"/>
      <c r="O851" s="136"/>
      <c r="P851" s="136"/>
      <c r="Q851" s="136"/>
      <c r="R851" s="136"/>
      <c r="S851" s="136"/>
      <c r="T851" s="136"/>
      <c r="U851" s="136"/>
    </row>
    <row r="852" spans="13:21" x14ac:dyDescent="0.35">
      <c r="M852" s="135"/>
      <c r="N852" s="136"/>
      <c r="O852" s="136"/>
      <c r="P852" s="136"/>
      <c r="Q852" s="136"/>
      <c r="R852" s="136"/>
      <c r="S852" s="136"/>
      <c r="T852" s="136"/>
      <c r="U852" s="136"/>
    </row>
    <row r="853" spans="13:21" x14ac:dyDescent="0.35">
      <c r="M853" s="135"/>
      <c r="N853" s="136"/>
      <c r="O853" s="136"/>
      <c r="P853" s="136"/>
      <c r="Q853" s="136"/>
      <c r="R853" s="136"/>
      <c r="S853" s="136"/>
      <c r="T853" s="136"/>
      <c r="U853" s="136"/>
    </row>
    <row r="854" spans="13:21" x14ac:dyDescent="0.35">
      <c r="M854" s="135"/>
      <c r="N854" s="136"/>
      <c r="O854" s="136"/>
      <c r="P854" s="136"/>
      <c r="Q854" s="136"/>
      <c r="R854" s="136"/>
      <c r="S854" s="136"/>
      <c r="T854" s="136"/>
      <c r="U854" s="136"/>
    </row>
    <row r="855" spans="13:21" x14ac:dyDescent="0.35">
      <c r="M855" s="135"/>
      <c r="N855" s="136"/>
      <c r="O855" s="136"/>
      <c r="P855" s="136"/>
      <c r="Q855" s="136"/>
      <c r="R855" s="136"/>
      <c r="S855" s="136"/>
      <c r="T855" s="136"/>
      <c r="U855" s="136"/>
    </row>
    <row r="856" spans="13:21" x14ac:dyDescent="0.35">
      <c r="M856" s="135"/>
      <c r="N856" s="136"/>
      <c r="O856" s="136"/>
      <c r="P856" s="136"/>
      <c r="Q856" s="136"/>
      <c r="R856" s="136"/>
      <c r="S856" s="136"/>
      <c r="T856" s="136"/>
      <c r="U856" s="136"/>
    </row>
    <row r="857" spans="13:21" x14ac:dyDescent="0.35">
      <c r="M857" s="135"/>
      <c r="N857" s="136"/>
      <c r="O857" s="136"/>
      <c r="P857" s="136"/>
      <c r="Q857" s="136"/>
      <c r="R857" s="136"/>
      <c r="S857" s="136"/>
      <c r="T857" s="136"/>
      <c r="U857" s="136"/>
    </row>
    <row r="858" spans="13:21" x14ac:dyDescent="0.35">
      <c r="M858" s="135"/>
      <c r="N858" s="136"/>
      <c r="O858" s="136"/>
      <c r="P858" s="136"/>
      <c r="Q858" s="136"/>
      <c r="R858" s="136"/>
      <c r="S858" s="136"/>
      <c r="T858" s="136"/>
      <c r="U858" s="136"/>
    </row>
    <row r="859" spans="13:21" x14ac:dyDescent="0.35">
      <c r="M859" s="135"/>
      <c r="N859" s="136"/>
      <c r="O859" s="136"/>
      <c r="P859" s="136"/>
      <c r="Q859" s="136"/>
      <c r="R859" s="136"/>
      <c r="S859" s="136"/>
      <c r="T859" s="136"/>
      <c r="U859" s="136"/>
    </row>
    <row r="860" spans="13:21" x14ac:dyDescent="0.35">
      <c r="M860" s="135"/>
      <c r="N860" s="136"/>
      <c r="O860" s="136"/>
      <c r="P860" s="136"/>
      <c r="Q860" s="136"/>
      <c r="R860" s="136"/>
      <c r="S860" s="136"/>
      <c r="T860" s="136"/>
      <c r="U860" s="136"/>
    </row>
    <row r="861" spans="13:21" x14ac:dyDescent="0.35">
      <c r="M861" s="135"/>
      <c r="N861" s="136"/>
      <c r="O861" s="136"/>
      <c r="P861" s="136"/>
      <c r="Q861" s="136"/>
      <c r="R861" s="136"/>
      <c r="S861" s="136"/>
      <c r="T861" s="136"/>
      <c r="U861" s="136"/>
    </row>
    <row r="862" spans="13:21" x14ac:dyDescent="0.35">
      <c r="M862" s="135"/>
      <c r="N862" s="136"/>
      <c r="O862" s="136"/>
      <c r="P862" s="136"/>
      <c r="Q862" s="136"/>
      <c r="R862" s="136"/>
      <c r="S862" s="136"/>
      <c r="T862" s="136"/>
      <c r="U862" s="136"/>
    </row>
    <row r="863" spans="13:21" x14ac:dyDescent="0.35">
      <c r="M863" s="135"/>
      <c r="N863" s="136"/>
      <c r="O863" s="136"/>
      <c r="P863" s="136"/>
      <c r="Q863" s="136"/>
      <c r="R863" s="136"/>
      <c r="S863" s="136"/>
      <c r="T863" s="136"/>
      <c r="U863" s="136"/>
    </row>
    <row r="864" spans="13:21" x14ac:dyDescent="0.35">
      <c r="M864" s="135"/>
      <c r="N864" s="136"/>
      <c r="O864" s="136"/>
      <c r="P864" s="136"/>
      <c r="Q864" s="136"/>
      <c r="R864" s="136"/>
      <c r="S864" s="136"/>
      <c r="T864" s="136"/>
      <c r="U864" s="136"/>
    </row>
    <row r="865" spans="13:21" x14ac:dyDescent="0.35">
      <c r="M865" s="135"/>
      <c r="N865" s="136"/>
      <c r="O865" s="136"/>
      <c r="P865" s="136"/>
      <c r="Q865" s="136"/>
      <c r="R865" s="136"/>
      <c r="S865" s="136"/>
      <c r="T865" s="136"/>
      <c r="U865" s="136"/>
    </row>
    <row r="866" spans="13:21" x14ac:dyDescent="0.35">
      <c r="M866" s="135"/>
      <c r="N866" s="136"/>
      <c r="O866" s="136"/>
      <c r="P866" s="136"/>
      <c r="Q866" s="136"/>
      <c r="R866" s="136"/>
      <c r="S866" s="136"/>
      <c r="T866" s="136"/>
      <c r="U866" s="136"/>
    </row>
    <row r="867" spans="13:21" x14ac:dyDescent="0.35">
      <c r="M867" s="135"/>
      <c r="N867" s="136"/>
      <c r="O867" s="136"/>
      <c r="P867" s="136"/>
      <c r="Q867" s="136"/>
      <c r="R867" s="136"/>
      <c r="S867" s="136"/>
      <c r="T867" s="136"/>
      <c r="U867" s="136"/>
    </row>
    <row r="868" spans="13:21" x14ac:dyDescent="0.35">
      <c r="M868" s="135"/>
      <c r="N868" s="136"/>
      <c r="O868" s="136"/>
      <c r="P868" s="136"/>
      <c r="Q868" s="136"/>
      <c r="R868" s="136"/>
      <c r="S868" s="136"/>
      <c r="T868" s="136"/>
      <c r="U868" s="136"/>
    </row>
    <row r="869" spans="13:21" x14ac:dyDescent="0.35">
      <c r="M869" s="135"/>
      <c r="N869" s="136"/>
      <c r="O869" s="136"/>
      <c r="P869" s="136"/>
      <c r="Q869" s="136"/>
      <c r="R869" s="136"/>
      <c r="S869" s="136"/>
      <c r="T869" s="136"/>
      <c r="U869" s="136"/>
    </row>
    <row r="870" spans="13:21" x14ac:dyDescent="0.35">
      <c r="M870" s="135"/>
      <c r="N870" s="136"/>
      <c r="O870" s="136"/>
      <c r="P870" s="136"/>
      <c r="Q870" s="136"/>
      <c r="R870" s="136"/>
      <c r="S870" s="136"/>
      <c r="T870" s="136"/>
      <c r="U870" s="136"/>
    </row>
    <row r="871" spans="13:21" x14ac:dyDescent="0.35">
      <c r="M871" s="135"/>
      <c r="N871" s="136"/>
      <c r="O871" s="136"/>
      <c r="P871" s="136"/>
      <c r="Q871" s="136"/>
      <c r="R871" s="136"/>
      <c r="S871" s="136"/>
      <c r="T871" s="136"/>
      <c r="U871" s="136"/>
    </row>
    <row r="872" spans="13:21" x14ac:dyDescent="0.35">
      <c r="M872" s="135"/>
      <c r="N872" s="136"/>
      <c r="O872" s="136"/>
      <c r="P872" s="136"/>
      <c r="Q872" s="136"/>
      <c r="R872" s="136"/>
      <c r="S872" s="136"/>
      <c r="T872" s="136"/>
      <c r="U872" s="136"/>
    </row>
    <row r="873" spans="13:21" x14ac:dyDescent="0.35">
      <c r="M873" s="135"/>
      <c r="N873" s="136"/>
      <c r="O873" s="136"/>
      <c r="P873" s="136"/>
      <c r="Q873" s="136"/>
      <c r="R873" s="136"/>
      <c r="S873" s="136"/>
      <c r="T873" s="136"/>
      <c r="U873" s="136"/>
    </row>
    <row r="874" spans="13:21" x14ac:dyDescent="0.35">
      <c r="M874" s="135"/>
      <c r="N874" s="136"/>
      <c r="O874" s="136"/>
      <c r="P874" s="136"/>
      <c r="Q874" s="136"/>
      <c r="R874" s="136"/>
      <c r="S874" s="136"/>
      <c r="T874" s="136"/>
      <c r="U874" s="136"/>
    </row>
    <row r="875" spans="13:21" x14ac:dyDescent="0.35">
      <c r="M875" s="135"/>
      <c r="N875" s="136"/>
      <c r="O875" s="136"/>
      <c r="P875" s="136"/>
      <c r="Q875" s="136"/>
      <c r="R875" s="136"/>
      <c r="S875" s="136"/>
      <c r="T875" s="136"/>
      <c r="U875" s="136"/>
    </row>
    <row r="876" spans="13:21" x14ac:dyDescent="0.35">
      <c r="M876" s="135"/>
      <c r="N876" s="136"/>
      <c r="O876" s="136"/>
      <c r="P876" s="136"/>
      <c r="Q876" s="136"/>
      <c r="R876" s="136"/>
      <c r="S876" s="136"/>
      <c r="T876" s="136"/>
      <c r="U876" s="136"/>
    </row>
    <row r="877" spans="13:21" x14ac:dyDescent="0.35">
      <c r="M877" s="135"/>
      <c r="N877" s="136"/>
      <c r="O877" s="136"/>
      <c r="P877" s="136"/>
      <c r="Q877" s="136"/>
      <c r="R877" s="136"/>
      <c r="S877" s="136"/>
      <c r="T877" s="136"/>
      <c r="U877" s="136"/>
    </row>
    <row r="878" spans="13:21" x14ac:dyDescent="0.35">
      <c r="M878" s="135"/>
      <c r="N878" s="136"/>
      <c r="O878" s="136"/>
      <c r="P878" s="136"/>
      <c r="Q878" s="136"/>
      <c r="R878" s="136"/>
      <c r="S878" s="136"/>
      <c r="T878" s="136"/>
      <c r="U878" s="136"/>
    </row>
    <row r="879" spans="13:21" x14ac:dyDescent="0.35">
      <c r="M879" s="135"/>
      <c r="N879" s="136"/>
      <c r="O879" s="136"/>
      <c r="P879" s="136"/>
      <c r="Q879" s="136"/>
      <c r="R879" s="136"/>
      <c r="S879" s="136"/>
      <c r="T879" s="136"/>
      <c r="U879" s="136"/>
    </row>
    <row r="880" spans="13:21" x14ac:dyDescent="0.35">
      <c r="M880" s="135"/>
      <c r="N880" s="136"/>
      <c r="O880" s="136"/>
      <c r="P880" s="136"/>
      <c r="Q880" s="136"/>
      <c r="R880" s="136"/>
      <c r="S880" s="136"/>
      <c r="T880" s="136"/>
      <c r="U880" s="136"/>
    </row>
    <row r="881" spans="13:21" x14ac:dyDescent="0.35">
      <c r="M881" s="135"/>
      <c r="N881" s="136"/>
      <c r="O881" s="136"/>
      <c r="P881" s="136"/>
      <c r="Q881" s="136"/>
      <c r="R881" s="136"/>
      <c r="S881" s="136"/>
      <c r="T881" s="136"/>
      <c r="U881" s="136"/>
    </row>
    <row r="882" spans="13:21" x14ac:dyDescent="0.35">
      <c r="M882" s="135"/>
      <c r="N882" s="136"/>
      <c r="O882" s="136"/>
      <c r="P882" s="136"/>
      <c r="Q882" s="136"/>
      <c r="R882" s="136"/>
      <c r="S882" s="136"/>
      <c r="T882" s="136"/>
      <c r="U882" s="136"/>
    </row>
    <row r="883" spans="13:21" x14ac:dyDescent="0.35">
      <c r="M883" s="135"/>
      <c r="N883" s="136"/>
      <c r="O883" s="136"/>
      <c r="P883" s="136"/>
      <c r="Q883" s="136"/>
      <c r="R883" s="136"/>
      <c r="S883" s="136"/>
      <c r="T883" s="136"/>
      <c r="U883" s="136"/>
    </row>
    <row r="884" spans="13:21" x14ac:dyDescent="0.35">
      <c r="M884" s="135"/>
      <c r="N884" s="136"/>
      <c r="O884" s="136"/>
      <c r="P884" s="136"/>
      <c r="Q884" s="136"/>
      <c r="R884" s="136"/>
      <c r="S884" s="136"/>
      <c r="T884" s="136"/>
      <c r="U884" s="136"/>
    </row>
    <row r="885" spans="13:21" x14ac:dyDescent="0.35">
      <c r="M885" s="135"/>
      <c r="N885" s="136"/>
      <c r="O885" s="136"/>
      <c r="P885" s="136"/>
      <c r="Q885" s="136"/>
      <c r="R885" s="136"/>
      <c r="S885" s="136"/>
      <c r="T885" s="136"/>
      <c r="U885" s="136"/>
    </row>
    <row r="886" spans="13:21" x14ac:dyDescent="0.35">
      <c r="M886" s="135"/>
      <c r="N886" s="136"/>
      <c r="O886" s="136"/>
      <c r="P886" s="136"/>
      <c r="Q886" s="136"/>
      <c r="R886" s="136"/>
      <c r="S886" s="136"/>
      <c r="T886" s="136"/>
      <c r="U886" s="136"/>
    </row>
    <row r="887" spans="13:21" x14ac:dyDescent="0.35">
      <c r="M887" s="135"/>
      <c r="N887" s="136"/>
      <c r="O887" s="136"/>
      <c r="P887" s="136"/>
      <c r="Q887" s="136"/>
      <c r="R887" s="136"/>
      <c r="S887" s="136"/>
      <c r="T887" s="136"/>
      <c r="U887" s="136"/>
    </row>
    <row r="888" spans="13:21" x14ac:dyDescent="0.35">
      <c r="M888" s="135"/>
      <c r="N888" s="136"/>
      <c r="O888" s="136"/>
      <c r="P888" s="136"/>
      <c r="Q888" s="136"/>
      <c r="R888" s="136"/>
      <c r="S888" s="136"/>
      <c r="T888" s="136"/>
      <c r="U888" s="136"/>
    </row>
    <row r="889" spans="13:21" x14ac:dyDescent="0.35">
      <c r="M889" s="135"/>
      <c r="N889" s="136"/>
      <c r="O889" s="136"/>
      <c r="P889" s="136"/>
      <c r="Q889" s="136"/>
      <c r="R889" s="136"/>
      <c r="S889" s="136"/>
      <c r="T889" s="136"/>
      <c r="U889" s="136"/>
    </row>
    <row r="890" spans="13:21" x14ac:dyDescent="0.35">
      <c r="M890" s="135"/>
      <c r="N890" s="136"/>
      <c r="O890" s="136"/>
      <c r="P890" s="136"/>
      <c r="Q890" s="136"/>
      <c r="R890" s="136"/>
      <c r="S890" s="136"/>
      <c r="T890" s="136"/>
      <c r="U890" s="136"/>
    </row>
    <row r="891" spans="13:21" x14ac:dyDescent="0.35">
      <c r="M891" s="135"/>
      <c r="N891" s="136"/>
      <c r="O891" s="136"/>
      <c r="P891" s="136"/>
      <c r="Q891" s="136"/>
      <c r="R891" s="136"/>
      <c r="S891" s="136"/>
      <c r="T891" s="136"/>
      <c r="U891" s="136"/>
    </row>
    <row r="892" spans="13:21" x14ac:dyDescent="0.35">
      <c r="M892" s="135"/>
      <c r="N892" s="136"/>
      <c r="O892" s="136"/>
      <c r="P892" s="136"/>
      <c r="Q892" s="136"/>
      <c r="R892" s="136"/>
      <c r="S892" s="136"/>
      <c r="T892" s="136"/>
      <c r="U892" s="136"/>
    </row>
    <row r="893" spans="13:21" x14ac:dyDescent="0.35">
      <c r="M893" s="135"/>
      <c r="N893" s="136"/>
      <c r="O893" s="136"/>
      <c r="P893" s="136"/>
      <c r="Q893" s="136"/>
      <c r="R893" s="136"/>
      <c r="S893" s="136"/>
      <c r="T893" s="136"/>
      <c r="U893" s="136"/>
    </row>
    <row r="894" spans="13:21" x14ac:dyDescent="0.35">
      <c r="M894" s="135"/>
      <c r="N894" s="136"/>
      <c r="O894" s="136"/>
      <c r="P894" s="136"/>
      <c r="Q894" s="136"/>
      <c r="R894" s="136"/>
      <c r="S894" s="136"/>
      <c r="T894" s="136"/>
      <c r="U894" s="136"/>
    </row>
    <row r="895" spans="13:21" x14ac:dyDescent="0.35">
      <c r="M895" s="135"/>
      <c r="N895" s="136"/>
      <c r="O895" s="136"/>
      <c r="P895" s="136"/>
      <c r="Q895" s="136"/>
      <c r="R895" s="136"/>
      <c r="S895" s="136"/>
      <c r="T895" s="136"/>
      <c r="U895" s="136"/>
    </row>
    <row r="896" spans="13:21" x14ac:dyDescent="0.35">
      <c r="M896" s="135"/>
      <c r="N896" s="136"/>
      <c r="O896" s="136"/>
      <c r="P896" s="136"/>
      <c r="Q896" s="136"/>
      <c r="R896" s="136"/>
      <c r="S896" s="136"/>
      <c r="T896" s="136"/>
      <c r="U896" s="136"/>
    </row>
    <row r="897" spans="13:21" x14ac:dyDescent="0.35">
      <c r="M897" s="135"/>
      <c r="N897" s="136"/>
      <c r="O897" s="136"/>
      <c r="P897" s="136"/>
      <c r="Q897" s="136"/>
      <c r="R897" s="136"/>
      <c r="S897" s="136"/>
      <c r="T897" s="136"/>
      <c r="U897" s="136"/>
    </row>
    <row r="898" spans="13:21" x14ac:dyDescent="0.35">
      <c r="M898" s="135"/>
      <c r="N898" s="136"/>
      <c r="O898" s="136"/>
      <c r="P898" s="136"/>
      <c r="Q898" s="136"/>
      <c r="R898" s="136"/>
      <c r="S898" s="136"/>
      <c r="T898" s="136"/>
      <c r="U898" s="136"/>
    </row>
    <row r="899" spans="13:21" x14ac:dyDescent="0.35">
      <c r="M899" s="135"/>
      <c r="N899" s="136"/>
      <c r="O899" s="136"/>
      <c r="P899" s="136"/>
      <c r="Q899" s="136"/>
      <c r="R899" s="136"/>
      <c r="S899" s="136"/>
      <c r="T899" s="136"/>
      <c r="U899" s="136"/>
    </row>
    <row r="900" spans="13:21" x14ac:dyDescent="0.35">
      <c r="M900" s="135"/>
      <c r="N900" s="136"/>
      <c r="O900" s="136"/>
      <c r="P900" s="136"/>
      <c r="Q900" s="136"/>
      <c r="R900" s="136"/>
      <c r="S900" s="136"/>
      <c r="T900" s="136"/>
      <c r="U900" s="136"/>
    </row>
    <row r="901" spans="13:21" x14ac:dyDescent="0.35">
      <c r="M901" s="135"/>
      <c r="N901" s="136"/>
      <c r="O901" s="136"/>
      <c r="P901" s="136"/>
      <c r="Q901" s="136"/>
      <c r="R901" s="136"/>
      <c r="S901" s="136"/>
      <c r="T901" s="136"/>
      <c r="U901" s="136"/>
    </row>
    <row r="902" spans="13:21" x14ac:dyDescent="0.35">
      <c r="M902" s="135"/>
      <c r="N902" s="136"/>
      <c r="O902" s="136"/>
      <c r="P902" s="136"/>
      <c r="Q902" s="136"/>
      <c r="R902" s="136"/>
      <c r="S902" s="136"/>
      <c r="T902" s="136"/>
      <c r="U902" s="136"/>
    </row>
    <row r="903" spans="13:21" x14ac:dyDescent="0.35">
      <c r="M903" s="135"/>
      <c r="N903" s="136"/>
      <c r="O903" s="136"/>
      <c r="P903" s="136"/>
      <c r="Q903" s="136"/>
      <c r="R903" s="136"/>
      <c r="S903" s="136"/>
      <c r="T903" s="136"/>
      <c r="U903" s="136"/>
    </row>
    <row r="904" spans="13:21" x14ac:dyDescent="0.35">
      <c r="M904" s="135"/>
      <c r="N904" s="136"/>
      <c r="O904" s="136"/>
      <c r="P904" s="136"/>
      <c r="Q904" s="136"/>
      <c r="R904" s="136"/>
      <c r="S904" s="136"/>
      <c r="T904" s="136"/>
      <c r="U904" s="136"/>
    </row>
    <row r="905" spans="13:21" x14ac:dyDescent="0.35">
      <c r="M905" s="135"/>
      <c r="N905" s="136"/>
      <c r="O905" s="136"/>
      <c r="P905" s="136"/>
      <c r="Q905" s="136"/>
      <c r="R905" s="136"/>
      <c r="S905" s="136"/>
      <c r="T905" s="136"/>
      <c r="U905" s="136"/>
    </row>
    <row r="906" spans="13:21" x14ac:dyDescent="0.35">
      <c r="M906" s="135"/>
      <c r="N906" s="136"/>
      <c r="O906" s="136"/>
      <c r="P906" s="136"/>
      <c r="Q906" s="136"/>
      <c r="R906" s="136"/>
      <c r="S906" s="136"/>
      <c r="T906" s="136"/>
      <c r="U906" s="136"/>
    </row>
    <row r="907" spans="13:21" x14ac:dyDescent="0.35">
      <c r="M907" s="135"/>
      <c r="N907" s="136"/>
      <c r="O907" s="136"/>
      <c r="P907" s="136"/>
      <c r="Q907" s="136"/>
      <c r="R907" s="136"/>
      <c r="S907" s="136"/>
      <c r="T907" s="136"/>
      <c r="U907" s="136"/>
    </row>
    <row r="908" spans="13:21" x14ac:dyDescent="0.35">
      <c r="M908" s="135"/>
      <c r="N908" s="136"/>
      <c r="O908" s="136"/>
      <c r="P908" s="136"/>
      <c r="Q908" s="136"/>
      <c r="R908" s="136"/>
      <c r="S908" s="136"/>
      <c r="T908" s="136"/>
      <c r="U908" s="136"/>
    </row>
    <row r="909" spans="13:21" x14ac:dyDescent="0.35">
      <c r="M909" s="135"/>
      <c r="N909" s="136"/>
      <c r="O909" s="136"/>
      <c r="P909" s="136"/>
      <c r="Q909" s="136"/>
      <c r="R909" s="136"/>
      <c r="S909" s="136"/>
      <c r="T909" s="136"/>
      <c r="U909" s="136"/>
    </row>
    <row r="910" spans="13:21" x14ac:dyDescent="0.35">
      <c r="M910" s="135"/>
      <c r="N910" s="136"/>
      <c r="O910" s="136"/>
      <c r="P910" s="136"/>
      <c r="Q910" s="136"/>
      <c r="R910" s="136"/>
      <c r="S910" s="136"/>
      <c r="T910" s="136"/>
      <c r="U910" s="136"/>
    </row>
    <row r="911" spans="13:21" x14ac:dyDescent="0.35">
      <c r="M911" s="135"/>
      <c r="N911" s="136"/>
      <c r="O911" s="136"/>
      <c r="P911" s="136"/>
      <c r="Q911" s="136"/>
      <c r="R911" s="136"/>
      <c r="S911" s="136"/>
      <c r="T911" s="136"/>
      <c r="U911" s="136"/>
    </row>
    <row r="912" spans="13:21" x14ac:dyDescent="0.35">
      <c r="M912" s="135"/>
      <c r="N912" s="136"/>
      <c r="O912" s="136"/>
      <c r="P912" s="136"/>
      <c r="Q912" s="136"/>
      <c r="R912" s="136"/>
      <c r="S912" s="136"/>
      <c r="T912" s="136"/>
      <c r="U912" s="136"/>
    </row>
    <row r="913" spans="13:21" x14ac:dyDescent="0.35">
      <c r="M913" s="135"/>
      <c r="N913" s="136"/>
      <c r="O913" s="136"/>
      <c r="P913" s="136"/>
      <c r="Q913" s="136"/>
      <c r="R913" s="136"/>
      <c r="S913" s="136"/>
      <c r="T913" s="136"/>
      <c r="U913" s="136"/>
    </row>
    <row r="914" spans="13:21" x14ac:dyDescent="0.35">
      <c r="M914" s="135"/>
      <c r="N914" s="136"/>
      <c r="O914" s="136"/>
      <c r="P914" s="136"/>
      <c r="Q914" s="136"/>
      <c r="R914" s="136"/>
      <c r="S914" s="136"/>
      <c r="T914" s="136"/>
      <c r="U914" s="136"/>
    </row>
    <row r="915" spans="13:21" x14ac:dyDescent="0.35">
      <c r="M915" s="135"/>
      <c r="N915" s="136"/>
      <c r="O915" s="136"/>
      <c r="P915" s="136"/>
      <c r="Q915" s="136"/>
      <c r="R915" s="136"/>
      <c r="S915" s="136"/>
      <c r="T915" s="136"/>
      <c r="U915" s="136"/>
    </row>
    <row r="916" spans="13:21" x14ac:dyDescent="0.35">
      <c r="M916" s="135"/>
      <c r="N916" s="136"/>
      <c r="O916" s="136"/>
      <c r="P916" s="136"/>
      <c r="Q916" s="136"/>
      <c r="R916" s="136"/>
      <c r="S916" s="136"/>
      <c r="T916" s="136"/>
      <c r="U916" s="136"/>
    </row>
    <row r="917" spans="13:21" x14ac:dyDescent="0.35">
      <c r="M917" s="135"/>
      <c r="N917" s="136"/>
      <c r="O917" s="136"/>
      <c r="P917" s="136"/>
      <c r="Q917" s="136"/>
      <c r="R917" s="136"/>
      <c r="S917" s="136"/>
      <c r="T917" s="136"/>
      <c r="U917" s="136"/>
    </row>
    <row r="918" spans="13:21" x14ac:dyDescent="0.35">
      <c r="M918" s="135"/>
      <c r="N918" s="136"/>
      <c r="O918" s="136"/>
      <c r="P918" s="136"/>
      <c r="Q918" s="136"/>
      <c r="R918" s="136"/>
      <c r="S918" s="136"/>
      <c r="T918" s="136"/>
      <c r="U918" s="136"/>
    </row>
    <row r="919" spans="13:21" x14ac:dyDescent="0.35">
      <c r="M919" s="135"/>
      <c r="N919" s="136"/>
      <c r="O919" s="136"/>
      <c r="P919" s="136"/>
      <c r="Q919" s="136"/>
      <c r="R919" s="136"/>
      <c r="S919" s="136"/>
      <c r="T919" s="136"/>
      <c r="U919" s="136"/>
    </row>
    <row r="920" spans="13:21" x14ac:dyDescent="0.35">
      <c r="M920" s="135"/>
      <c r="N920" s="136"/>
      <c r="O920" s="136"/>
      <c r="P920" s="136"/>
      <c r="Q920" s="136"/>
      <c r="R920" s="136"/>
      <c r="S920" s="136"/>
      <c r="T920" s="136"/>
      <c r="U920" s="136"/>
    </row>
    <row r="921" spans="13:21" x14ac:dyDescent="0.35">
      <c r="M921" s="135"/>
      <c r="N921" s="136"/>
      <c r="O921" s="136"/>
      <c r="P921" s="136"/>
      <c r="Q921" s="136"/>
      <c r="R921" s="136"/>
      <c r="S921" s="136"/>
      <c r="T921" s="136"/>
      <c r="U921" s="136"/>
    </row>
    <row r="922" spans="13:21" x14ac:dyDescent="0.35">
      <c r="M922" s="135"/>
      <c r="N922" s="136"/>
      <c r="O922" s="136"/>
      <c r="P922" s="136"/>
      <c r="Q922" s="136"/>
      <c r="R922" s="136"/>
      <c r="S922" s="136"/>
      <c r="T922" s="136"/>
      <c r="U922" s="136"/>
    </row>
    <row r="923" spans="13:21" x14ac:dyDescent="0.35">
      <c r="M923" s="135"/>
      <c r="N923" s="136"/>
      <c r="O923" s="136"/>
      <c r="P923" s="136"/>
      <c r="Q923" s="136"/>
      <c r="R923" s="136"/>
      <c r="S923" s="136"/>
      <c r="T923" s="136"/>
      <c r="U923" s="136"/>
    </row>
    <row r="924" spans="13:21" x14ac:dyDescent="0.35">
      <c r="M924" s="135"/>
      <c r="N924" s="136"/>
      <c r="O924" s="136"/>
      <c r="P924" s="136"/>
      <c r="Q924" s="136"/>
      <c r="R924" s="136"/>
      <c r="S924" s="136"/>
      <c r="T924" s="136"/>
      <c r="U924" s="136"/>
    </row>
    <row r="925" spans="13:21" x14ac:dyDescent="0.35">
      <c r="M925" s="135"/>
      <c r="N925" s="136"/>
      <c r="O925" s="136"/>
      <c r="P925" s="136"/>
      <c r="Q925" s="136"/>
      <c r="R925" s="136"/>
      <c r="S925" s="136"/>
      <c r="T925" s="136"/>
      <c r="U925" s="136"/>
    </row>
    <row r="926" spans="13:21" x14ac:dyDescent="0.35">
      <c r="M926" s="135"/>
      <c r="N926" s="136"/>
      <c r="O926" s="136"/>
      <c r="P926" s="136"/>
      <c r="Q926" s="136"/>
      <c r="R926" s="136"/>
      <c r="S926" s="136"/>
      <c r="T926" s="136"/>
      <c r="U926" s="136"/>
    </row>
    <row r="927" spans="13:21" x14ac:dyDescent="0.35">
      <c r="M927" s="135"/>
      <c r="N927" s="136"/>
      <c r="O927" s="136"/>
      <c r="P927" s="136"/>
      <c r="Q927" s="136"/>
      <c r="R927" s="136"/>
      <c r="S927" s="136"/>
      <c r="T927" s="136"/>
      <c r="U927" s="136"/>
    </row>
    <row r="928" spans="13:21" x14ac:dyDescent="0.35">
      <c r="M928" s="135"/>
      <c r="N928" s="136"/>
      <c r="O928" s="136"/>
      <c r="P928" s="136"/>
      <c r="Q928" s="136"/>
      <c r="R928" s="136"/>
      <c r="S928" s="136"/>
      <c r="T928" s="136"/>
      <c r="U928" s="136"/>
    </row>
    <row r="929" spans="13:21" x14ac:dyDescent="0.35">
      <c r="M929" s="135"/>
      <c r="N929" s="136"/>
      <c r="O929" s="136"/>
      <c r="P929" s="136"/>
      <c r="Q929" s="136"/>
      <c r="R929" s="136"/>
      <c r="S929" s="136"/>
      <c r="T929" s="136"/>
      <c r="U929" s="136"/>
    </row>
    <row r="930" spans="13:21" x14ac:dyDescent="0.35">
      <c r="M930" s="135"/>
      <c r="N930" s="136"/>
      <c r="O930" s="136"/>
      <c r="P930" s="136"/>
      <c r="Q930" s="136"/>
      <c r="R930" s="136"/>
      <c r="S930" s="136"/>
      <c r="T930" s="136"/>
      <c r="U930" s="136"/>
    </row>
    <row r="931" spans="13:21" x14ac:dyDescent="0.35">
      <c r="M931" s="135"/>
      <c r="N931" s="136"/>
      <c r="O931" s="136"/>
      <c r="P931" s="136"/>
      <c r="Q931" s="136"/>
      <c r="R931" s="136"/>
      <c r="S931" s="136"/>
      <c r="T931" s="136"/>
      <c r="U931" s="136"/>
    </row>
    <row r="932" spans="13:21" x14ac:dyDescent="0.35">
      <c r="M932" s="135"/>
      <c r="N932" s="136"/>
      <c r="O932" s="136"/>
      <c r="P932" s="136"/>
      <c r="Q932" s="136"/>
      <c r="R932" s="136"/>
      <c r="S932" s="136"/>
      <c r="T932" s="136"/>
      <c r="U932" s="136"/>
    </row>
    <row r="933" spans="13:21" x14ac:dyDescent="0.35">
      <c r="M933" s="135"/>
      <c r="N933" s="136"/>
      <c r="O933" s="136"/>
      <c r="P933" s="136"/>
      <c r="Q933" s="136"/>
      <c r="R933" s="136"/>
      <c r="S933" s="136"/>
      <c r="T933" s="136"/>
      <c r="U933" s="136"/>
    </row>
    <row r="934" spans="13:21" x14ac:dyDescent="0.35">
      <c r="M934" s="135"/>
      <c r="N934" s="136"/>
      <c r="O934" s="136"/>
      <c r="P934" s="136"/>
      <c r="Q934" s="136"/>
      <c r="R934" s="136"/>
      <c r="S934" s="136"/>
      <c r="T934" s="136"/>
      <c r="U934" s="136"/>
    </row>
    <row r="935" spans="13:21" x14ac:dyDescent="0.35">
      <c r="M935" s="135"/>
      <c r="N935" s="136"/>
      <c r="O935" s="136"/>
      <c r="P935" s="136"/>
      <c r="Q935" s="136"/>
      <c r="R935" s="136"/>
      <c r="S935" s="136"/>
      <c r="T935" s="136"/>
      <c r="U935" s="136"/>
    </row>
    <row r="936" spans="13:21" x14ac:dyDescent="0.35">
      <c r="M936" s="135"/>
      <c r="N936" s="136"/>
      <c r="O936" s="136"/>
      <c r="P936" s="136"/>
      <c r="Q936" s="136"/>
      <c r="R936" s="136"/>
      <c r="S936" s="136"/>
      <c r="T936" s="136"/>
      <c r="U936" s="136"/>
    </row>
    <row r="937" spans="13:21" x14ac:dyDescent="0.35">
      <c r="M937" s="135"/>
      <c r="N937" s="136"/>
      <c r="O937" s="136"/>
      <c r="P937" s="136"/>
      <c r="Q937" s="136"/>
      <c r="R937" s="136"/>
      <c r="S937" s="136"/>
      <c r="T937" s="136"/>
      <c r="U937" s="136"/>
    </row>
    <row r="938" spans="13:21" x14ac:dyDescent="0.35">
      <c r="M938" s="135"/>
      <c r="N938" s="136"/>
      <c r="O938" s="136"/>
      <c r="P938" s="136"/>
      <c r="Q938" s="136"/>
      <c r="R938" s="136"/>
      <c r="S938" s="136"/>
      <c r="T938" s="136"/>
      <c r="U938" s="136"/>
    </row>
    <row r="939" spans="13:21" x14ac:dyDescent="0.35">
      <c r="M939" s="135"/>
      <c r="N939" s="136"/>
      <c r="O939" s="136"/>
      <c r="P939" s="136"/>
      <c r="Q939" s="136"/>
      <c r="R939" s="136"/>
      <c r="S939" s="136"/>
      <c r="T939" s="136"/>
      <c r="U939" s="136"/>
    </row>
    <row r="940" spans="13:21" x14ac:dyDescent="0.35">
      <c r="M940" s="135"/>
      <c r="N940" s="136"/>
      <c r="O940" s="136"/>
      <c r="P940" s="136"/>
      <c r="Q940" s="136"/>
      <c r="R940" s="136"/>
      <c r="S940" s="136"/>
      <c r="T940" s="136"/>
      <c r="U940" s="136"/>
    </row>
    <row r="941" spans="13:21" x14ac:dyDescent="0.35">
      <c r="M941" s="135"/>
      <c r="N941" s="136"/>
      <c r="O941" s="136"/>
      <c r="P941" s="136"/>
      <c r="Q941" s="136"/>
      <c r="R941" s="136"/>
      <c r="S941" s="136"/>
      <c r="T941" s="136"/>
      <c r="U941" s="136"/>
    </row>
    <row r="942" spans="13:21" x14ac:dyDescent="0.35">
      <c r="M942" s="135"/>
      <c r="N942" s="136"/>
      <c r="O942" s="136"/>
      <c r="P942" s="136"/>
      <c r="Q942" s="136"/>
      <c r="R942" s="136"/>
      <c r="S942" s="136"/>
      <c r="T942" s="136"/>
      <c r="U942" s="136"/>
    </row>
    <row r="943" spans="13:21" x14ac:dyDescent="0.35">
      <c r="M943" s="135"/>
      <c r="N943" s="136"/>
      <c r="O943" s="136"/>
      <c r="P943" s="136"/>
      <c r="Q943" s="136"/>
      <c r="R943" s="136"/>
      <c r="S943" s="136"/>
      <c r="T943" s="136"/>
      <c r="U943" s="136"/>
    </row>
    <row r="944" spans="13:21" x14ac:dyDescent="0.35">
      <c r="M944" s="135"/>
      <c r="N944" s="136"/>
      <c r="O944" s="136"/>
      <c r="P944" s="136"/>
      <c r="Q944" s="136"/>
      <c r="R944" s="136"/>
      <c r="S944" s="136"/>
      <c r="T944" s="136"/>
      <c r="U944" s="136"/>
    </row>
    <row r="945" spans="13:21" x14ac:dyDescent="0.35">
      <c r="M945" s="135"/>
      <c r="N945" s="136"/>
      <c r="O945" s="136"/>
      <c r="P945" s="136"/>
      <c r="Q945" s="136"/>
      <c r="R945" s="136"/>
      <c r="S945" s="136"/>
      <c r="T945" s="136"/>
      <c r="U945" s="136"/>
    </row>
    <row r="946" spans="13:21" x14ac:dyDescent="0.35">
      <c r="M946" s="135"/>
      <c r="N946" s="136"/>
      <c r="O946" s="136"/>
      <c r="P946" s="136"/>
      <c r="Q946" s="136"/>
      <c r="R946" s="136"/>
      <c r="S946" s="136"/>
      <c r="T946" s="136"/>
      <c r="U946" s="136"/>
    </row>
    <row r="947" spans="13:21" x14ac:dyDescent="0.35">
      <c r="M947" s="135"/>
      <c r="N947" s="136"/>
      <c r="O947" s="136"/>
      <c r="P947" s="136"/>
      <c r="Q947" s="136"/>
      <c r="R947" s="136"/>
      <c r="S947" s="136"/>
      <c r="T947" s="136"/>
      <c r="U947" s="136"/>
    </row>
    <row r="948" spans="13:21" x14ac:dyDescent="0.35">
      <c r="M948" s="135"/>
      <c r="N948" s="136"/>
      <c r="O948" s="136"/>
      <c r="P948" s="136"/>
      <c r="Q948" s="136"/>
      <c r="R948" s="136"/>
      <c r="S948" s="136"/>
      <c r="T948" s="136"/>
      <c r="U948" s="136"/>
    </row>
    <row r="949" spans="13:21" x14ac:dyDescent="0.35">
      <c r="M949" s="135"/>
      <c r="N949" s="136"/>
      <c r="O949" s="136"/>
      <c r="P949" s="136"/>
      <c r="Q949" s="136"/>
      <c r="R949" s="136"/>
      <c r="S949" s="136"/>
      <c r="T949" s="136"/>
      <c r="U949" s="136"/>
    </row>
    <row r="950" spans="13:21" x14ac:dyDescent="0.35">
      <c r="M950" s="135"/>
      <c r="N950" s="136"/>
      <c r="O950" s="136"/>
      <c r="P950" s="136"/>
      <c r="Q950" s="136"/>
      <c r="R950" s="136"/>
      <c r="S950" s="136"/>
      <c r="T950" s="136"/>
      <c r="U950" s="136"/>
    </row>
    <row r="951" spans="13:21" x14ac:dyDescent="0.35">
      <c r="M951" s="135"/>
      <c r="N951" s="136"/>
      <c r="O951" s="136"/>
      <c r="P951" s="136"/>
      <c r="Q951" s="136"/>
      <c r="R951" s="136"/>
      <c r="S951" s="136"/>
      <c r="T951" s="136"/>
      <c r="U951" s="136"/>
    </row>
    <row r="952" spans="13:21" x14ac:dyDescent="0.35">
      <c r="M952" s="135"/>
      <c r="N952" s="136"/>
      <c r="O952" s="136"/>
      <c r="P952" s="136"/>
      <c r="Q952" s="136"/>
      <c r="R952" s="136"/>
      <c r="S952" s="136"/>
      <c r="T952" s="136"/>
      <c r="U952" s="136"/>
    </row>
    <row r="953" spans="13:21" x14ac:dyDescent="0.35">
      <c r="M953" s="135"/>
      <c r="N953" s="136"/>
      <c r="O953" s="136"/>
      <c r="P953" s="136"/>
      <c r="Q953" s="136"/>
      <c r="R953" s="136"/>
      <c r="S953" s="136"/>
      <c r="T953" s="136"/>
      <c r="U953" s="136"/>
    </row>
    <row r="954" spans="13:21" x14ac:dyDescent="0.35">
      <c r="M954" s="135"/>
      <c r="N954" s="136"/>
      <c r="O954" s="136"/>
      <c r="P954" s="136"/>
      <c r="Q954" s="136"/>
      <c r="R954" s="136"/>
      <c r="S954" s="136"/>
      <c r="T954" s="136"/>
      <c r="U954" s="136"/>
    </row>
    <row r="955" spans="13:21" x14ac:dyDescent="0.35">
      <c r="M955" s="135"/>
      <c r="N955" s="136"/>
      <c r="O955" s="136"/>
      <c r="P955" s="136"/>
      <c r="Q955" s="136"/>
      <c r="R955" s="136"/>
      <c r="S955" s="136"/>
      <c r="T955" s="136"/>
      <c r="U955" s="136"/>
    </row>
    <row r="956" spans="13:21" x14ac:dyDescent="0.35">
      <c r="M956" s="135"/>
      <c r="N956" s="136"/>
      <c r="O956" s="136"/>
      <c r="P956" s="136"/>
      <c r="Q956" s="136"/>
      <c r="R956" s="136"/>
      <c r="S956" s="136"/>
      <c r="T956" s="136"/>
      <c r="U956" s="136"/>
    </row>
    <row r="957" spans="13:21" x14ac:dyDescent="0.35">
      <c r="M957" s="135"/>
      <c r="N957" s="136"/>
      <c r="O957" s="136"/>
      <c r="P957" s="136"/>
      <c r="Q957" s="136"/>
      <c r="R957" s="136"/>
      <c r="S957" s="136"/>
      <c r="T957" s="136"/>
      <c r="U957" s="136"/>
    </row>
    <row r="958" spans="13:21" x14ac:dyDescent="0.35">
      <c r="M958" s="135"/>
      <c r="N958" s="136"/>
      <c r="O958" s="136"/>
      <c r="P958" s="136"/>
      <c r="Q958" s="136"/>
      <c r="R958" s="136"/>
      <c r="S958" s="136"/>
      <c r="T958" s="136"/>
      <c r="U958" s="136"/>
    </row>
    <row r="959" spans="13:21" x14ac:dyDescent="0.35">
      <c r="M959" s="135"/>
      <c r="N959" s="136"/>
      <c r="O959" s="136"/>
      <c r="P959" s="136"/>
      <c r="Q959" s="136"/>
      <c r="R959" s="136"/>
      <c r="S959" s="136"/>
      <c r="T959" s="136"/>
      <c r="U959" s="136"/>
    </row>
    <row r="960" spans="13:21" x14ac:dyDescent="0.35">
      <c r="M960" s="135"/>
      <c r="N960" s="136"/>
      <c r="O960" s="136"/>
      <c r="P960" s="136"/>
      <c r="Q960" s="136"/>
      <c r="R960" s="136"/>
      <c r="S960" s="136"/>
      <c r="T960" s="136"/>
      <c r="U960" s="136"/>
    </row>
    <row r="961" spans="13:21" x14ac:dyDescent="0.35">
      <c r="M961" s="135"/>
      <c r="N961" s="136"/>
      <c r="O961" s="136"/>
      <c r="P961" s="136"/>
      <c r="Q961" s="136"/>
      <c r="R961" s="136"/>
      <c r="S961" s="136"/>
      <c r="T961" s="136"/>
      <c r="U961" s="136"/>
    </row>
    <row r="962" spans="13:21" x14ac:dyDescent="0.35">
      <c r="M962" s="135"/>
      <c r="N962" s="136"/>
      <c r="O962" s="136"/>
      <c r="P962" s="136"/>
      <c r="Q962" s="136"/>
      <c r="R962" s="136"/>
      <c r="S962" s="136"/>
      <c r="T962" s="136"/>
      <c r="U962" s="136"/>
    </row>
    <row r="963" spans="13:21" x14ac:dyDescent="0.35">
      <c r="M963" s="135"/>
      <c r="N963" s="136"/>
      <c r="O963" s="136"/>
      <c r="P963" s="136"/>
      <c r="Q963" s="136"/>
      <c r="R963" s="136"/>
      <c r="S963" s="136"/>
      <c r="T963" s="136"/>
      <c r="U963" s="136"/>
    </row>
    <row r="964" spans="13:21" x14ac:dyDescent="0.35">
      <c r="M964" s="135"/>
      <c r="N964" s="136"/>
      <c r="O964" s="136"/>
      <c r="P964" s="136"/>
      <c r="Q964" s="136"/>
      <c r="R964" s="136"/>
      <c r="S964" s="136"/>
      <c r="T964" s="136"/>
      <c r="U964" s="136"/>
    </row>
    <row r="965" spans="13:21" x14ac:dyDescent="0.35">
      <c r="M965" s="135"/>
      <c r="N965" s="136"/>
      <c r="O965" s="136"/>
      <c r="P965" s="136"/>
      <c r="Q965" s="136"/>
      <c r="R965" s="136"/>
      <c r="S965" s="136"/>
      <c r="T965" s="136"/>
      <c r="U965" s="136"/>
    </row>
    <row r="966" spans="13:21" x14ac:dyDescent="0.35">
      <c r="M966" s="135"/>
      <c r="N966" s="136"/>
      <c r="O966" s="136"/>
      <c r="P966" s="136"/>
      <c r="Q966" s="136"/>
      <c r="R966" s="136"/>
      <c r="S966" s="136"/>
      <c r="T966" s="136"/>
      <c r="U966" s="136"/>
    </row>
    <row r="967" spans="13:21" x14ac:dyDescent="0.35">
      <c r="M967" s="135"/>
      <c r="N967" s="136"/>
      <c r="O967" s="136"/>
      <c r="P967" s="136"/>
      <c r="Q967" s="136"/>
      <c r="R967" s="136"/>
      <c r="S967" s="136"/>
      <c r="T967" s="136"/>
      <c r="U967" s="136"/>
    </row>
    <row r="968" spans="13:21" x14ac:dyDescent="0.35">
      <c r="M968" s="135"/>
      <c r="N968" s="136"/>
      <c r="O968" s="136"/>
      <c r="P968" s="136"/>
      <c r="Q968" s="136"/>
      <c r="R968" s="136"/>
      <c r="S968" s="136"/>
      <c r="T968" s="136"/>
      <c r="U968" s="136"/>
    </row>
    <row r="969" spans="13:21" x14ac:dyDescent="0.35">
      <c r="M969" s="135"/>
      <c r="N969" s="136"/>
      <c r="O969" s="136"/>
      <c r="P969" s="136"/>
      <c r="Q969" s="136"/>
      <c r="R969" s="136"/>
      <c r="S969" s="136"/>
      <c r="T969" s="136"/>
      <c r="U969" s="136"/>
    </row>
    <row r="970" spans="13:21" x14ac:dyDescent="0.35">
      <c r="M970" s="135"/>
      <c r="N970" s="136"/>
      <c r="O970" s="136"/>
      <c r="P970" s="136"/>
      <c r="Q970" s="136"/>
      <c r="R970" s="136"/>
      <c r="S970" s="136"/>
      <c r="T970" s="136"/>
      <c r="U970" s="136"/>
    </row>
    <row r="971" spans="13:21" x14ac:dyDescent="0.35">
      <c r="M971" s="135"/>
      <c r="N971" s="136"/>
      <c r="O971" s="136"/>
      <c r="P971" s="136"/>
      <c r="Q971" s="136"/>
      <c r="R971" s="136"/>
      <c r="S971" s="136"/>
      <c r="T971" s="136"/>
      <c r="U971" s="136"/>
    </row>
    <row r="972" spans="13:21" x14ac:dyDescent="0.35">
      <c r="M972" s="135"/>
      <c r="N972" s="136"/>
      <c r="O972" s="136"/>
      <c r="P972" s="136"/>
      <c r="Q972" s="136"/>
      <c r="R972" s="136"/>
      <c r="S972" s="136"/>
      <c r="T972" s="136"/>
      <c r="U972" s="136"/>
    </row>
    <row r="973" spans="13:21" x14ac:dyDescent="0.35">
      <c r="M973" s="135"/>
      <c r="N973" s="136"/>
      <c r="O973" s="136"/>
      <c r="P973" s="136"/>
      <c r="Q973" s="136"/>
      <c r="R973" s="136"/>
      <c r="S973" s="136"/>
      <c r="T973" s="136"/>
      <c r="U973" s="136"/>
    </row>
    <row r="974" spans="13:21" x14ac:dyDescent="0.35">
      <c r="M974" s="135"/>
      <c r="N974" s="136"/>
      <c r="O974" s="136"/>
      <c r="P974" s="136"/>
      <c r="Q974" s="136"/>
      <c r="R974" s="136"/>
      <c r="S974" s="136"/>
      <c r="T974" s="136"/>
      <c r="U974" s="136"/>
    </row>
    <row r="975" spans="13:21" x14ac:dyDescent="0.35">
      <c r="M975" s="135"/>
      <c r="N975" s="136"/>
      <c r="O975" s="136"/>
      <c r="P975" s="136"/>
      <c r="Q975" s="136"/>
      <c r="R975" s="136"/>
      <c r="S975" s="136"/>
      <c r="T975" s="136"/>
      <c r="U975" s="136"/>
    </row>
    <row r="976" spans="13:21" x14ac:dyDescent="0.35">
      <c r="M976" s="135"/>
      <c r="N976" s="136"/>
      <c r="O976" s="136"/>
      <c r="P976" s="136"/>
      <c r="Q976" s="136"/>
      <c r="R976" s="136"/>
      <c r="S976" s="136"/>
      <c r="T976" s="136"/>
      <c r="U976" s="136"/>
    </row>
    <row r="977" spans="13:21" x14ac:dyDescent="0.35">
      <c r="M977" s="135"/>
      <c r="N977" s="136"/>
      <c r="O977" s="136"/>
      <c r="P977" s="136"/>
      <c r="Q977" s="136"/>
      <c r="R977" s="136"/>
      <c r="S977" s="136"/>
      <c r="T977" s="136"/>
      <c r="U977" s="136"/>
    </row>
    <row r="978" spans="13:21" x14ac:dyDescent="0.35">
      <c r="M978" s="135"/>
      <c r="N978" s="136"/>
      <c r="O978" s="136"/>
      <c r="P978" s="136"/>
      <c r="Q978" s="136"/>
      <c r="R978" s="136"/>
      <c r="S978" s="136"/>
      <c r="T978" s="136"/>
      <c r="U978" s="136"/>
    </row>
    <row r="979" spans="13:21" x14ac:dyDescent="0.35">
      <c r="M979" s="135"/>
      <c r="N979" s="136"/>
      <c r="O979" s="136"/>
      <c r="P979" s="136"/>
      <c r="Q979" s="136"/>
      <c r="R979" s="136"/>
      <c r="S979" s="136"/>
      <c r="T979" s="136"/>
      <c r="U979" s="136"/>
    </row>
    <row r="980" spans="13:21" x14ac:dyDescent="0.35">
      <c r="M980" s="135"/>
      <c r="N980" s="136"/>
      <c r="O980" s="136"/>
      <c r="P980" s="136"/>
      <c r="Q980" s="136"/>
      <c r="R980" s="136"/>
      <c r="S980" s="136"/>
      <c r="T980" s="136"/>
      <c r="U980" s="136"/>
    </row>
    <row r="981" spans="13:21" x14ac:dyDescent="0.35">
      <c r="M981" s="135"/>
      <c r="N981" s="136"/>
      <c r="O981" s="136"/>
      <c r="P981" s="136"/>
      <c r="Q981" s="136"/>
      <c r="R981" s="136"/>
      <c r="S981" s="136"/>
      <c r="T981" s="136"/>
      <c r="U981" s="136"/>
    </row>
    <row r="982" spans="13:21" x14ac:dyDescent="0.35">
      <c r="M982" s="135"/>
      <c r="N982" s="136"/>
      <c r="O982" s="136"/>
      <c r="P982" s="136"/>
      <c r="Q982" s="136"/>
      <c r="R982" s="136"/>
      <c r="S982" s="136"/>
      <c r="T982" s="136"/>
      <c r="U982" s="136"/>
    </row>
    <row r="983" spans="13:21" x14ac:dyDescent="0.35">
      <c r="M983" s="135"/>
      <c r="N983" s="136"/>
      <c r="O983" s="136"/>
      <c r="P983" s="136"/>
      <c r="Q983" s="136"/>
      <c r="R983" s="136"/>
      <c r="S983" s="136"/>
      <c r="T983" s="136"/>
      <c r="U983" s="136"/>
    </row>
    <row r="984" spans="13:21" x14ac:dyDescent="0.35">
      <c r="M984" s="135"/>
      <c r="N984" s="136"/>
      <c r="O984" s="136"/>
      <c r="P984" s="136"/>
      <c r="Q984" s="136"/>
      <c r="R984" s="136"/>
      <c r="S984" s="136"/>
      <c r="T984" s="136"/>
      <c r="U984" s="136"/>
    </row>
    <row r="985" spans="13:21" x14ac:dyDescent="0.35">
      <c r="M985" s="135"/>
      <c r="N985" s="136"/>
      <c r="O985" s="136"/>
      <c r="P985" s="136"/>
      <c r="Q985" s="136"/>
      <c r="R985" s="136"/>
      <c r="S985" s="136"/>
      <c r="T985" s="136"/>
      <c r="U985" s="136"/>
    </row>
    <row r="986" spans="13:21" x14ac:dyDescent="0.35">
      <c r="M986" s="135"/>
      <c r="N986" s="136"/>
      <c r="O986" s="136"/>
      <c r="P986" s="136"/>
      <c r="Q986" s="136"/>
      <c r="R986" s="136"/>
      <c r="S986" s="136"/>
      <c r="T986" s="136"/>
      <c r="U986" s="136"/>
    </row>
    <row r="987" spans="13:21" x14ac:dyDescent="0.35">
      <c r="M987" s="135"/>
      <c r="N987" s="136"/>
      <c r="O987" s="136"/>
      <c r="P987" s="136"/>
      <c r="Q987" s="136"/>
      <c r="R987" s="136"/>
      <c r="S987" s="136"/>
      <c r="T987" s="136"/>
      <c r="U987" s="136"/>
    </row>
    <row r="988" spans="13:21" x14ac:dyDescent="0.35">
      <c r="M988" s="135"/>
      <c r="N988" s="136"/>
      <c r="O988" s="136"/>
      <c r="P988" s="136"/>
      <c r="Q988" s="136"/>
      <c r="R988" s="136"/>
      <c r="S988" s="136"/>
      <c r="T988" s="136"/>
      <c r="U988" s="136"/>
    </row>
    <row r="989" spans="13:21" x14ac:dyDescent="0.35">
      <c r="M989" s="135"/>
      <c r="N989" s="136"/>
      <c r="O989" s="136"/>
      <c r="P989" s="136"/>
      <c r="Q989" s="136"/>
      <c r="R989" s="136"/>
      <c r="S989" s="136"/>
      <c r="T989" s="136"/>
      <c r="U989" s="136"/>
    </row>
    <row r="990" spans="13:21" x14ac:dyDescent="0.35">
      <c r="M990" s="135"/>
      <c r="N990" s="136"/>
      <c r="O990" s="136"/>
      <c r="P990" s="136"/>
      <c r="Q990" s="136"/>
      <c r="R990" s="136"/>
      <c r="S990" s="136"/>
      <c r="T990" s="136"/>
      <c r="U990" s="136"/>
    </row>
    <row r="991" spans="13:21" x14ac:dyDescent="0.35">
      <c r="M991" s="135"/>
      <c r="N991" s="136"/>
      <c r="O991" s="136"/>
      <c r="P991" s="136"/>
      <c r="Q991" s="136"/>
      <c r="R991" s="136"/>
      <c r="S991" s="136"/>
      <c r="T991" s="136"/>
      <c r="U991" s="136"/>
    </row>
    <row r="992" spans="13:21" x14ac:dyDescent="0.35">
      <c r="M992" s="135"/>
      <c r="N992" s="136"/>
      <c r="O992" s="136"/>
      <c r="P992" s="136"/>
      <c r="Q992" s="136"/>
      <c r="R992" s="136"/>
      <c r="S992" s="136"/>
      <c r="T992" s="136"/>
      <c r="U992" s="136"/>
    </row>
    <row r="993" spans="13:21" x14ac:dyDescent="0.35">
      <c r="M993" s="135"/>
      <c r="N993" s="136"/>
      <c r="O993" s="136"/>
      <c r="P993" s="136"/>
      <c r="Q993" s="136"/>
      <c r="R993" s="136"/>
      <c r="S993" s="136"/>
      <c r="T993" s="136"/>
      <c r="U993" s="136"/>
    </row>
    <row r="994" spans="13:21" x14ac:dyDescent="0.35">
      <c r="M994" s="135"/>
      <c r="N994" s="136"/>
      <c r="O994" s="136"/>
      <c r="P994" s="136"/>
      <c r="Q994" s="136"/>
      <c r="R994" s="136"/>
      <c r="S994" s="136"/>
      <c r="T994" s="136"/>
      <c r="U994" s="136"/>
    </row>
    <row r="995" spans="13:21" x14ac:dyDescent="0.35">
      <c r="M995" s="135"/>
      <c r="N995" s="136"/>
      <c r="O995" s="136"/>
      <c r="P995" s="136"/>
      <c r="Q995" s="136"/>
      <c r="R995" s="136"/>
      <c r="S995" s="136"/>
      <c r="T995" s="136"/>
      <c r="U995" s="136"/>
    </row>
    <row r="996" spans="13:21" x14ac:dyDescent="0.35">
      <c r="M996" s="135"/>
      <c r="N996" s="136"/>
      <c r="O996" s="136"/>
      <c r="P996" s="136"/>
      <c r="Q996" s="136"/>
      <c r="R996" s="136"/>
      <c r="S996" s="136"/>
      <c r="T996" s="136"/>
      <c r="U996" s="136"/>
    </row>
    <row r="997" spans="13:21" x14ac:dyDescent="0.35">
      <c r="M997" s="135"/>
      <c r="N997" s="136"/>
      <c r="O997" s="136"/>
      <c r="P997" s="136"/>
      <c r="Q997" s="136"/>
      <c r="R997" s="136"/>
      <c r="S997" s="136"/>
      <c r="T997" s="136"/>
      <c r="U997" s="136"/>
    </row>
    <row r="998" spans="13:21" x14ac:dyDescent="0.35">
      <c r="M998" s="135"/>
      <c r="N998" s="136"/>
      <c r="O998" s="136"/>
      <c r="P998" s="136"/>
      <c r="Q998" s="136"/>
      <c r="R998" s="136"/>
      <c r="S998" s="136"/>
      <c r="T998" s="136"/>
      <c r="U998" s="136"/>
    </row>
    <row r="999" spans="13:21" x14ac:dyDescent="0.35">
      <c r="M999" s="135"/>
      <c r="N999" s="136"/>
      <c r="O999" s="136"/>
      <c r="P999" s="136"/>
      <c r="Q999" s="136"/>
      <c r="R999" s="136"/>
      <c r="S999" s="136"/>
      <c r="T999" s="136"/>
      <c r="U999" s="136"/>
    </row>
    <row r="1000" spans="13:21" x14ac:dyDescent="0.35">
      <c r="M1000" s="135"/>
      <c r="N1000" s="136"/>
      <c r="O1000" s="136"/>
      <c r="P1000" s="136"/>
      <c r="Q1000" s="136"/>
      <c r="R1000" s="136"/>
      <c r="S1000" s="136"/>
      <c r="T1000" s="136"/>
      <c r="U1000" s="136"/>
    </row>
    <row r="1001" spans="13:21" x14ac:dyDescent="0.35">
      <c r="M1001" s="135"/>
      <c r="N1001" s="136"/>
      <c r="O1001" s="136"/>
      <c r="P1001" s="136"/>
      <c r="Q1001" s="136"/>
      <c r="R1001" s="136"/>
      <c r="S1001" s="136"/>
      <c r="T1001" s="136"/>
      <c r="U1001" s="136"/>
    </row>
    <row r="1002" spans="13:21" x14ac:dyDescent="0.35">
      <c r="M1002" s="135"/>
      <c r="N1002" s="136"/>
      <c r="O1002" s="136"/>
      <c r="P1002" s="136"/>
      <c r="Q1002" s="136"/>
      <c r="R1002" s="136"/>
      <c r="S1002" s="136"/>
      <c r="T1002" s="136"/>
      <c r="U1002" s="136"/>
    </row>
    <row r="1003" spans="13:21" x14ac:dyDescent="0.35">
      <c r="M1003" s="135"/>
      <c r="N1003" s="136"/>
      <c r="O1003" s="136"/>
      <c r="P1003" s="136"/>
      <c r="Q1003" s="136"/>
      <c r="R1003" s="136"/>
      <c r="S1003" s="136"/>
      <c r="T1003" s="136"/>
      <c r="U1003" s="136"/>
    </row>
    <row r="1004" spans="13:21" x14ac:dyDescent="0.35">
      <c r="M1004" s="135"/>
      <c r="N1004" s="136"/>
      <c r="O1004" s="136"/>
      <c r="P1004" s="136"/>
      <c r="Q1004" s="136"/>
      <c r="R1004" s="136"/>
      <c r="S1004" s="136"/>
      <c r="T1004" s="136"/>
      <c r="U1004" s="136"/>
    </row>
    <row r="1005" spans="13:21" x14ac:dyDescent="0.35">
      <c r="M1005" s="135"/>
      <c r="N1005" s="136"/>
      <c r="O1005" s="136"/>
      <c r="P1005" s="136"/>
      <c r="Q1005" s="136"/>
      <c r="R1005" s="136"/>
      <c r="S1005" s="136"/>
      <c r="T1005" s="136"/>
      <c r="U1005" s="136"/>
    </row>
    <row r="1006" spans="13:21" x14ac:dyDescent="0.35">
      <c r="M1006" s="135"/>
      <c r="N1006" s="136"/>
      <c r="O1006" s="136"/>
      <c r="P1006" s="136"/>
      <c r="Q1006" s="136"/>
      <c r="R1006" s="136"/>
      <c r="S1006" s="136"/>
      <c r="T1006" s="136"/>
      <c r="U1006" s="136"/>
    </row>
    <row r="1007" spans="13:21" x14ac:dyDescent="0.35">
      <c r="M1007" s="135"/>
      <c r="N1007" s="136"/>
      <c r="O1007" s="136"/>
      <c r="P1007" s="136"/>
      <c r="Q1007" s="136"/>
      <c r="R1007" s="136"/>
      <c r="S1007" s="136"/>
      <c r="T1007" s="136"/>
      <c r="U1007" s="136"/>
    </row>
    <row r="1008" spans="13:21" x14ac:dyDescent="0.35">
      <c r="M1008" s="135"/>
      <c r="N1008" s="136"/>
      <c r="O1008" s="136"/>
      <c r="P1008" s="136"/>
      <c r="Q1008" s="136"/>
      <c r="R1008" s="136"/>
      <c r="S1008" s="136"/>
      <c r="T1008" s="136"/>
      <c r="U1008" s="136"/>
    </row>
    <row r="1009" spans="13:21" x14ac:dyDescent="0.35">
      <c r="M1009" s="135"/>
      <c r="N1009" s="136"/>
      <c r="O1009" s="136"/>
      <c r="P1009" s="136"/>
      <c r="Q1009" s="136"/>
      <c r="R1009" s="136"/>
      <c r="S1009" s="136"/>
      <c r="T1009" s="136"/>
      <c r="U1009" s="136"/>
    </row>
    <row r="1010" spans="13:21" x14ac:dyDescent="0.35">
      <c r="M1010" s="135"/>
      <c r="N1010" s="136"/>
      <c r="O1010" s="136"/>
      <c r="P1010" s="136"/>
      <c r="Q1010" s="136"/>
      <c r="R1010" s="136"/>
      <c r="S1010" s="136"/>
      <c r="T1010" s="136"/>
      <c r="U1010" s="136"/>
    </row>
    <row r="1011" spans="13:21" x14ac:dyDescent="0.35">
      <c r="M1011" s="135"/>
      <c r="N1011" s="136"/>
      <c r="O1011" s="136"/>
      <c r="P1011" s="136"/>
      <c r="Q1011" s="136"/>
      <c r="R1011" s="136"/>
      <c r="S1011" s="136"/>
      <c r="T1011" s="136"/>
      <c r="U1011" s="136"/>
    </row>
    <row r="1012" spans="13:21" x14ac:dyDescent="0.35">
      <c r="M1012" s="135"/>
      <c r="N1012" s="136"/>
      <c r="O1012" s="136"/>
      <c r="P1012" s="136"/>
      <c r="Q1012" s="136"/>
      <c r="R1012" s="136"/>
      <c r="S1012" s="136"/>
      <c r="T1012" s="136"/>
      <c r="U1012" s="136"/>
    </row>
    <row r="1013" spans="13:21" x14ac:dyDescent="0.35">
      <c r="M1013" s="135"/>
      <c r="N1013" s="136"/>
      <c r="O1013" s="136"/>
      <c r="P1013" s="136"/>
      <c r="Q1013" s="136"/>
      <c r="R1013" s="136"/>
      <c r="S1013" s="136"/>
      <c r="T1013" s="136"/>
      <c r="U1013" s="136"/>
    </row>
    <row r="1014" spans="13:21" x14ac:dyDescent="0.35">
      <c r="M1014" s="135"/>
      <c r="N1014" s="136"/>
      <c r="O1014" s="136"/>
      <c r="P1014" s="136"/>
      <c r="Q1014" s="136"/>
      <c r="R1014" s="136"/>
      <c r="S1014" s="136"/>
      <c r="T1014" s="136"/>
      <c r="U1014" s="136"/>
    </row>
    <row r="1015" spans="13:21" x14ac:dyDescent="0.35">
      <c r="M1015" s="135"/>
      <c r="N1015" s="136"/>
      <c r="O1015" s="136"/>
      <c r="P1015" s="136"/>
      <c r="Q1015" s="136"/>
      <c r="R1015" s="136"/>
      <c r="S1015" s="136"/>
      <c r="T1015" s="136"/>
      <c r="U1015" s="136"/>
    </row>
    <row r="1016" spans="13:21" x14ac:dyDescent="0.35">
      <c r="M1016" s="135"/>
      <c r="N1016" s="136"/>
      <c r="O1016" s="136"/>
      <c r="P1016" s="136"/>
      <c r="Q1016" s="136"/>
      <c r="R1016" s="136"/>
      <c r="S1016" s="136"/>
      <c r="T1016" s="136"/>
      <c r="U1016" s="136"/>
    </row>
    <row r="1017" spans="13:21" x14ac:dyDescent="0.35">
      <c r="M1017" s="135"/>
      <c r="N1017" s="136"/>
      <c r="O1017" s="136"/>
      <c r="P1017" s="136"/>
      <c r="Q1017" s="136"/>
      <c r="R1017" s="136"/>
      <c r="S1017" s="136"/>
      <c r="T1017" s="136"/>
      <c r="U1017" s="136"/>
    </row>
    <row r="1018" spans="13:21" x14ac:dyDescent="0.35">
      <c r="M1018" s="135"/>
      <c r="N1018" s="136"/>
      <c r="O1018" s="136"/>
      <c r="P1018" s="136"/>
      <c r="Q1018" s="136"/>
      <c r="R1018" s="136"/>
      <c r="S1018" s="136"/>
      <c r="T1018" s="136"/>
      <c r="U1018" s="136"/>
    </row>
    <row r="1019" spans="13:21" x14ac:dyDescent="0.35">
      <c r="M1019" s="135"/>
      <c r="N1019" s="136"/>
      <c r="O1019" s="136"/>
      <c r="P1019" s="136"/>
      <c r="Q1019" s="136"/>
      <c r="R1019" s="136"/>
      <c r="S1019" s="136"/>
      <c r="T1019" s="136"/>
      <c r="U1019" s="136"/>
    </row>
  </sheetData>
  <mergeCells count="86">
    <mergeCell ref="M151:R151"/>
    <mergeCell ref="N31:N44"/>
    <mergeCell ref="N47:N75"/>
    <mergeCell ref="N78:N98"/>
    <mergeCell ref="P24:Q24"/>
    <mergeCell ref="P25:Q25"/>
    <mergeCell ref="P26:Q26"/>
    <mergeCell ref="P21:Q21"/>
    <mergeCell ref="P22:Q22"/>
    <mergeCell ref="P23:Q23"/>
    <mergeCell ref="P18:Q18"/>
    <mergeCell ref="P19:Q19"/>
    <mergeCell ref="P20:Q20"/>
    <mergeCell ref="P15:Q15"/>
    <mergeCell ref="P16:Q16"/>
    <mergeCell ref="P17:Q17"/>
    <mergeCell ref="P12:Q12"/>
    <mergeCell ref="P13:Q13"/>
    <mergeCell ref="P14:Q14"/>
    <mergeCell ref="P9:Q9"/>
    <mergeCell ref="P10:Q10"/>
    <mergeCell ref="P11:Q11"/>
    <mergeCell ref="P6:U6"/>
    <mergeCell ref="M7:O7"/>
    <mergeCell ref="P7:U7"/>
    <mergeCell ref="M4:N4"/>
    <mergeCell ref="O4:P4"/>
    <mergeCell ref="Q4:R4"/>
    <mergeCell ref="B100:B111"/>
    <mergeCell ref="N100:N111"/>
    <mergeCell ref="P28:P29"/>
    <mergeCell ref="D17:E17"/>
    <mergeCell ref="D12:E12"/>
    <mergeCell ref="D13:E13"/>
    <mergeCell ref="D14:E14"/>
    <mergeCell ref="D9:E9"/>
    <mergeCell ref="D10:E10"/>
    <mergeCell ref="D11:E11"/>
    <mergeCell ref="A6:C6"/>
    <mergeCell ref="D6:I6"/>
    <mergeCell ref="A7:C7"/>
    <mergeCell ref="B113:B120"/>
    <mergeCell ref="N113:N133"/>
    <mergeCell ref="M6:O6"/>
    <mergeCell ref="M28:M30"/>
    <mergeCell ref="O28:O29"/>
    <mergeCell ref="B31:B44"/>
    <mergeCell ref="B47:B75"/>
    <mergeCell ref="B78:B98"/>
    <mergeCell ref="D21:E21"/>
    <mergeCell ref="D22:E22"/>
    <mergeCell ref="D23:E23"/>
    <mergeCell ref="D18:E18"/>
    <mergeCell ref="D19:E19"/>
    <mergeCell ref="D20:E20"/>
    <mergeCell ref="D15:E15"/>
    <mergeCell ref="D16:E16"/>
    <mergeCell ref="S28:T28"/>
    <mergeCell ref="E29:E30"/>
    <mergeCell ref="F29:F30"/>
    <mergeCell ref="G29:G30"/>
    <mergeCell ref="H29:H30"/>
    <mergeCell ref="Q29:Q30"/>
    <mergeCell ref="R29:R30"/>
    <mergeCell ref="S29:S30"/>
    <mergeCell ref="T29:T30"/>
    <mergeCell ref="A28:A30"/>
    <mergeCell ref="C28:C29"/>
    <mergeCell ref="D28:D29"/>
    <mergeCell ref="G28:H28"/>
    <mergeCell ref="D24:E24"/>
    <mergeCell ref="D25:E25"/>
    <mergeCell ref="D26:E26"/>
    <mergeCell ref="F26:H26"/>
    <mergeCell ref="D7:I7"/>
    <mergeCell ref="A4:B4"/>
    <mergeCell ref="C4:D4"/>
    <mergeCell ref="E4:G4"/>
    <mergeCell ref="A1:I1"/>
    <mergeCell ref="M1:U1"/>
    <mergeCell ref="A2:D2"/>
    <mergeCell ref="M2:P2"/>
    <mergeCell ref="A3:B3"/>
    <mergeCell ref="C3:D3"/>
    <mergeCell ref="M3:N3"/>
    <mergeCell ref="O3:P3"/>
  </mergeCells>
  <phoneticPr fontId="29" type="noConversion"/>
  <conditionalFormatting sqref="I398">
    <cfRule type="cellIs" dxfId="8" priority="2" operator="lessThan">
      <formula>0</formula>
    </cfRule>
  </conditionalFormatting>
  <conditionalFormatting sqref="U389:U1019">
    <cfRule type="cellIs" dxfId="7" priority="1" operator="lessThan">
      <formula>0</formula>
    </cfRule>
  </conditionalFormatting>
  <dataValidations disablePrompts="1" count="1">
    <dataValidation allowBlank="1" showInputMessage="1" showErrorMessage="1" promptTitle="INFORMAR A RAZÃO SOCIAL " prompt="DE FATURAMENTO" sqref="D6" xr:uid="{CA83EE2F-926A-47A0-B00C-0E5C2D344A1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19D0-AA54-4F9A-A7C4-676A5B30055B}">
  <dimension ref="B1:AG1019"/>
  <sheetViews>
    <sheetView showGridLines="0" topLeftCell="A50" zoomScale="80" zoomScaleNormal="80" workbookViewId="0">
      <selection activeCell="A58" sqref="A58:XFD58"/>
    </sheetView>
  </sheetViews>
  <sheetFormatPr defaultRowHeight="14.5" x14ac:dyDescent="0.35"/>
  <cols>
    <col min="2" max="2" width="9.1796875" style="15" customWidth="1"/>
    <col min="3" max="4" width="9.1796875" style="1" customWidth="1"/>
    <col min="5" max="5" width="73.81640625" style="1" customWidth="1"/>
    <col min="6" max="6" width="8.1796875" style="1" customWidth="1"/>
    <col min="7" max="7" width="9.26953125" style="1" customWidth="1"/>
    <col min="8" max="8" width="12.26953125" style="1" customWidth="1"/>
    <col min="9" max="9" width="14" style="1" bestFit="1" customWidth="1"/>
    <col min="10" max="10" width="18.1796875" style="1" customWidth="1"/>
    <col min="11" max="11" width="29.7265625" style="109" customWidth="1"/>
    <col min="14" max="16" width="9.1796875" customWidth="1"/>
    <col min="17" max="17" width="79.453125" customWidth="1"/>
    <col min="18" max="18" width="10.453125" customWidth="1"/>
    <col min="19" max="19" width="11.453125" customWidth="1"/>
    <col min="20" max="20" width="11" customWidth="1"/>
    <col min="21" max="21" width="12.453125" customWidth="1"/>
    <col min="22" max="22" width="21.1796875" customWidth="1"/>
    <col min="23" max="23" width="35.453125" customWidth="1"/>
    <col min="24" max="24" width="6.1796875" style="122" customWidth="1"/>
    <col min="25" max="25" width="9.1796875" style="15" customWidth="1"/>
    <col min="26" max="27" width="9.1796875" style="1" customWidth="1"/>
    <col min="28" max="28" width="107.453125" style="1" customWidth="1"/>
    <col min="29" max="29" width="10.453125" style="1" bestFit="1" customWidth="1"/>
    <col min="30" max="30" width="11.453125" style="1" bestFit="1" customWidth="1"/>
    <col min="31" max="31" width="11" style="1" bestFit="1" customWidth="1"/>
    <col min="32" max="32" width="12.453125" style="1" bestFit="1" customWidth="1"/>
    <col min="33" max="33" width="25.1796875" style="1" bestFit="1" customWidth="1"/>
  </cols>
  <sheetData>
    <row r="1" spans="2:33" ht="21" x14ac:dyDescent="0.35">
      <c r="B1" s="382"/>
      <c r="C1" s="383"/>
      <c r="D1" s="383"/>
      <c r="E1" s="383"/>
      <c r="F1" s="383"/>
      <c r="G1" s="383"/>
      <c r="H1" s="383"/>
      <c r="I1" s="383"/>
      <c r="J1" s="383"/>
      <c r="N1" s="435"/>
      <c r="O1" s="418"/>
      <c r="P1" s="418"/>
      <c r="Q1" s="418"/>
      <c r="R1" s="418"/>
      <c r="S1" s="418"/>
      <c r="T1" s="418"/>
      <c r="U1" s="418"/>
      <c r="V1" s="418"/>
      <c r="Y1" s="382"/>
      <c r="Z1" s="383"/>
      <c r="AA1" s="383"/>
      <c r="AB1" s="383"/>
      <c r="AC1" s="383"/>
      <c r="AD1" s="383"/>
      <c r="AE1" s="383"/>
      <c r="AF1" s="383"/>
      <c r="AG1" s="383"/>
    </row>
    <row r="2" spans="2:33" ht="32" x14ac:dyDescent="0.35">
      <c r="B2" s="384" t="s">
        <v>0</v>
      </c>
      <c r="C2" s="384"/>
      <c r="D2" s="384"/>
      <c r="E2" s="384"/>
      <c r="F2" s="2" t="s">
        <v>1</v>
      </c>
      <c r="G2" s="2" t="s">
        <v>2</v>
      </c>
      <c r="H2" s="2" t="s">
        <v>3</v>
      </c>
      <c r="I2" s="3" t="s">
        <v>4</v>
      </c>
      <c r="J2" s="3" t="s">
        <v>5</v>
      </c>
      <c r="N2" s="436" t="s">
        <v>0</v>
      </c>
      <c r="O2" s="418"/>
      <c r="P2" s="418"/>
      <c r="Q2" s="427"/>
      <c r="R2" s="123" t="s">
        <v>1</v>
      </c>
      <c r="S2" s="123" t="s">
        <v>2</v>
      </c>
      <c r="T2" s="123" t="s">
        <v>3</v>
      </c>
      <c r="U2" s="124" t="s">
        <v>4</v>
      </c>
      <c r="V2" s="124" t="s">
        <v>5</v>
      </c>
      <c r="X2" s="125"/>
      <c r="Y2" s="384" t="s">
        <v>0</v>
      </c>
      <c r="Z2" s="384"/>
      <c r="AA2" s="384"/>
      <c r="AB2" s="384"/>
      <c r="AC2" s="2" t="s">
        <v>1</v>
      </c>
      <c r="AD2" s="2" t="s">
        <v>2</v>
      </c>
      <c r="AE2" s="2" t="s">
        <v>3</v>
      </c>
      <c r="AF2" s="3" t="s">
        <v>4</v>
      </c>
      <c r="AG2" s="3" t="s">
        <v>5</v>
      </c>
    </row>
    <row r="3" spans="2:33" ht="18.5" x14ac:dyDescent="0.35">
      <c r="B3" s="385" t="s">
        <v>224</v>
      </c>
      <c r="C3" s="386"/>
      <c r="D3" s="387" t="s">
        <v>225</v>
      </c>
      <c r="E3" s="387"/>
      <c r="F3" s="4" t="s">
        <v>6</v>
      </c>
      <c r="G3" s="4"/>
      <c r="H3" s="5"/>
      <c r="I3" s="6">
        <v>46048</v>
      </c>
      <c r="J3" s="7">
        <v>46228</v>
      </c>
      <c r="N3" s="437" t="s">
        <v>224</v>
      </c>
      <c r="O3" s="427"/>
      <c r="P3" s="438" t="s">
        <v>225</v>
      </c>
      <c r="Q3" s="427"/>
      <c r="R3" s="126" t="s">
        <v>6</v>
      </c>
      <c r="S3" s="126"/>
      <c r="T3" s="127">
        <v>4745.76</v>
      </c>
      <c r="U3" s="128">
        <v>46048</v>
      </c>
      <c r="V3" s="129">
        <v>46228</v>
      </c>
      <c r="X3" s="125"/>
      <c r="Y3" s="385" t="s">
        <v>224</v>
      </c>
      <c r="Z3" s="386"/>
      <c r="AA3" s="387" t="s">
        <v>225</v>
      </c>
      <c r="AB3" s="387"/>
      <c r="AC3" s="4" t="s">
        <v>6</v>
      </c>
      <c r="AD3" s="4"/>
      <c r="AE3" s="5"/>
      <c r="AF3" s="6">
        <v>46048</v>
      </c>
      <c r="AG3" s="7">
        <v>46228</v>
      </c>
    </row>
    <row r="4" spans="2:33" ht="16" x14ac:dyDescent="0.35">
      <c r="B4" s="388" t="s">
        <v>7</v>
      </c>
      <c r="C4" s="389"/>
      <c r="D4" s="390"/>
      <c r="E4" s="391"/>
      <c r="F4" s="392" t="s">
        <v>8</v>
      </c>
      <c r="G4" s="393"/>
      <c r="H4" s="394"/>
      <c r="I4" s="8">
        <f>J3-I3</f>
        <v>180</v>
      </c>
      <c r="J4" s="9" t="s">
        <v>9</v>
      </c>
      <c r="N4" s="438" t="s">
        <v>7</v>
      </c>
      <c r="O4" s="427"/>
      <c r="P4" s="457"/>
      <c r="Q4" s="427"/>
      <c r="R4" s="440" t="s">
        <v>8</v>
      </c>
      <c r="S4" s="418"/>
      <c r="T4" s="130"/>
      <c r="U4" s="131">
        <v>180</v>
      </c>
      <c r="V4" s="132" t="s">
        <v>9</v>
      </c>
      <c r="Y4" s="388" t="s">
        <v>7</v>
      </c>
      <c r="Z4" s="389"/>
      <c r="AA4" s="390"/>
      <c r="AB4" s="391"/>
      <c r="AC4" s="392" t="s">
        <v>8</v>
      </c>
      <c r="AD4" s="393"/>
      <c r="AE4" s="394"/>
      <c r="AF4" s="8">
        <f>AG3-AF3</f>
        <v>180</v>
      </c>
      <c r="AG4" s="9" t="s">
        <v>9</v>
      </c>
    </row>
    <row r="5" spans="2:33" x14ac:dyDescent="0.35">
      <c r="B5" s="10"/>
      <c r="C5" s="11"/>
      <c r="D5" s="12"/>
      <c r="E5" s="11"/>
      <c r="F5" s="11"/>
      <c r="G5" s="11"/>
      <c r="H5" s="11"/>
      <c r="I5" s="11"/>
      <c r="J5" s="11"/>
      <c r="N5" s="133"/>
      <c r="O5" s="134"/>
      <c r="P5" s="134"/>
      <c r="Q5" s="134"/>
      <c r="R5" s="134"/>
      <c r="S5" s="134"/>
      <c r="T5" s="134"/>
      <c r="U5" s="134"/>
      <c r="V5" s="134"/>
      <c r="Y5" s="10"/>
      <c r="Z5" s="11"/>
      <c r="AA5" s="12"/>
      <c r="AB5" s="11"/>
      <c r="AC5" s="11"/>
      <c r="AD5" s="11"/>
      <c r="AE5" s="11"/>
      <c r="AF5" s="11"/>
      <c r="AG5" s="11"/>
    </row>
    <row r="6" spans="2:33" ht="18.5" x14ac:dyDescent="0.35">
      <c r="B6" s="392" t="s">
        <v>10</v>
      </c>
      <c r="C6" s="393"/>
      <c r="D6" s="394"/>
      <c r="E6" s="395" t="s">
        <v>297</v>
      </c>
      <c r="F6" s="396"/>
      <c r="G6" s="396"/>
      <c r="H6" s="396"/>
      <c r="I6" s="396"/>
      <c r="J6" s="396"/>
      <c r="N6" s="440" t="s">
        <v>10</v>
      </c>
      <c r="O6" s="418"/>
      <c r="P6" s="427"/>
      <c r="Q6" s="441" t="s">
        <v>298</v>
      </c>
      <c r="R6" s="418"/>
      <c r="S6" s="418"/>
      <c r="T6" s="418"/>
      <c r="U6" s="418"/>
      <c r="V6" s="418"/>
      <c r="Y6" s="392" t="s">
        <v>10</v>
      </c>
      <c r="Z6" s="393"/>
      <c r="AA6" s="394"/>
      <c r="AB6" s="395" t="s">
        <v>389</v>
      </c>
      <c r="AC6" s="396"/>
      <c r="AD6" s="396"/>
      <c r="AE6" s="396"/>
      <c r="AF6" s="396"/>
      <c r="AG6" s="396"/>
    </row>
    <row r="7" spans="2:33" ht="18.5" x14ac:dyDescent="0.35">
      <c r="B7" s="388" t="s">
        <v>11</v>
      </c>
      <c r="C7" s="397"/>
      <c r="D7" s="389"/>
      <c r="E7" s="395"/>
      <c r="F7" s="396"/>
      <c r="G7" s="396"/>
      <c r="H7" s="396"/>
      <c r="I7" s="396"/>
      <c r="J7" s="396"/>
      <c r="N7" s="438" t="s">
        <v>11</v>
      </c>
      <c r="O7" s="418"/>
      <c r="P7" s="427"/>
      <c r="Q7" s="441" t="s">
        <v>299</v>
      </c>
      <c r="R7" s="418"/>
      <c r="S7" s="418"/>
      <c r="T7" s="418"/>
      <c r="U7" s="418"/>
      <c r="V7" s="418"/>
      <c r="Y7" s="388" t="s">
        <v>11</v>
      </c>
      <c r="Z7" s="397"/>
      <c r="AA7" s="389"/>
      <c r="AB7" s="395" t="s">
        <v>390</v>
      </c>
      <c r="AC7" s="396"/>
      <c r="AD7" s="396"/>
      <c r="AE7" s="396"/>
      <c r="AF7" s="396"/>
      <c r="AG7" s="396"/>
    </row>
    <row r="8" spans="2:33" x14ac:dyDescent="0.35">
      <c r="B8" s="13"/>
      <c r="C8" s="14"/>
      <c r="D8" s="14"/>
      <c r="E8" s="14"/>
      <c r="F8" s="14"/>
      <c r="G8" s="14"/>
      <c r="H8" s="14"/>
      <c r="I8" s="14"/>
      <c r="J8" s="14"/>
      <c r="N8" s="133"/>
      <c r="O8" s="134"/>
      <c r="P8" s="134"/>
      <c r="Q8" s="134"/>
      <c r="R8" s="134"/>
      <c r="S8" s="134"/>
      <c r="T8" s="134"/>
      <c r="U8" s="134"/>
      <c r="V8" s="134"/>
      <c r="Y8" s="13"/>
      <c r="Z8" s="14"/>
      <c r="AA8" s="14"/>
      <c r="AB8" s="14"/>
      <c r="AC8" s="14"/>
      <c r="AD8" s="14"/>
      <c r="AE8" s="14"/>
      <c r="AF8" s="14"/>
      <c r="AG8" s="14"/>
    </row>
    <row r="9" spans="2:33" x14ac:dyDescent="0.35">
      <c r="D9" s="16"/>
      <c r="E9" s="398" t="s">
        <v>12</v>
      </c>
      <c r="F9" s="399"/>
      <c r="G9" s="17" t="s">
        <v>13</v>
      </c>
      <c r="H9" s="17" t="s">
        <v>14</v>
      </c>
      <c r="I9" s="17" t="s">
        <v>15</v>
      </c>
      <c r="J9" s="17" t="s">
        <v>16</v>
      </c>
      <c r="N9" s="135"/>
      <c r="O9" s="136"/>
      <c r="P9" s="137"/>
      <c r="Q9" s="443" t="s">
        <v>12</v>
      </c>
      <c r="R9" s="427"/>
      <c r="S9" s="138" t="s">
        <v>13</v>
      </c>
      <c r="T9" s="138" t="s">
        <v>14</v>
      </c>
      <c r="U9" s="138" t="s">
        <v>15</v>
      </c>
      <c r="V9" s="138" t="s">
        <v>16</v>
      </c>
      <c r="AA9" s="16"/>
      <c r="AB9" s="398" t="s">
        <v>12</v>
      </c>
      <c r="AC9" s="399"/>
      <c r="AD9" s="17" t="s">
        <v>13</v>
      </c>
      <c r="AE9" s="17" t="s">
        <v>14</v>
      </c>
      <c r="AF9" s="17" t="s">
        <v>15</v>
      </c>
      <c r="AG9" s="17" t="s">
        <v>16</v>
      </c>
    </row>
    <row r="10" spans="2:33" ht="16" x14ac:dyDescent="0.35">
      <c r="B10" s="18"/>
      <c r="C10" s="19"/>
      <c r="D10" s="19"/>
      <c r="E10" s="380" t="s">
        <v>17</v>
      </c>
      <c r="F10" s="381"/>
      <c r="G10" s="20">
        <v>810030</v>
      </c>
      <c r="H10" s="20">
        <v>10</v>
      </c>
      <c r="I10" s="20">
        <v>7317011</v>
      </c>
      <c r="J10" s="21">
        <f t="shared" ref="J10:J25" si="0">SUMIF($B$30:$B$147,G10,$J$30:$J$147)</f>
        <v>100721.85</v>
      </c>
      <c r="N10" s="139"/>
      <c r="O10" s="134"/>
      <c r="P10" s="134"/>
      <c r="Q10" s="417" t="s">
        <v>17</v>
      </c>
      <c r="R10" s="418"/>
      <c r="S10" s="140">
        <v>810030</v>
      </c>
      <c r="T10" s="140">
        <v>10</v>
      </c>
      <c r="U10" s="140">
        <v>7317011</v>
      </c>
      <c r="V10" s="141">
        <f t="shared" ref="V10:V25" si="1">SUMIF($N$30:$N$150,S10,$V$30:$V$150)</f>
        <v>50496.947328673079</v>
      </c>
      <c r="Y10" s="18"/>
      <c r="Z10" s="19"/>
      <c r="AA10" s="19"/>
      <c r="AB10" s="380" t="s">
        <v>17</v>
      </c>
      <c r="AC10" s="381"/>
      <c r="AD10" s="20">
        <v>810030</v>
      </c>
      <c r="AE10" s="20">
        <v>10</v>
      </c>
      <c r="AF10" s="20">
        <v>7317011</v>
      </c>
      <c r="AG10" s="21">
        <f t="shared" ref="AG10:AG25" si="2">SUMIF($Y$30:$Y$120,AD10,$AG$30:$AG$120)</f>
        <v>332630</v>
      </c>
    </row>
    <row r="11" spans="2:33" ht="16" x14ac:dyDescent="0.35">
      <c r="B11" s="18"/>
      <c r="C11" s="19"/>
      <c r="D11" s="19"/>
      <c r="E11" s="380" t="s">
        <v>18</v>
      </c>
      <c r="F11" s="381"/>
      <c r="G11" s="20">
        <v>810031</v>
      </c>
      <c r="H11" s="20">
        <v>20</v>
      </c>
      <c r="I11" s="20">
        <v>7316000</v>
      </c>
      <c r="J11" s="21">
        <f t="shared" si="0"/>
        <v>27840</v>
      </c>
      <c r="N11" s="139"/>
      <c r="O11" s="134"/>
      <c r="P11" s="134"/>
      <c r="Q11" s="417" t="s">
        <v>18</v>
      </c>
      <c r="R11" s="418"/>
      <c r="S11" s="140">
        <v>810031</v>
      </c>
      <c r="T11" s="140">
        <v>20</v>
      </c>
      <c r="U11" s="140">
        <v>7316000</v>
      </c>
      <c r="V11" s="141">
        <f t="shared" si="1"/>
        <v>9549.2316748293197</v>
      </c>
      <c r="Y11" s="18"/>
      <c r="Z11" s="19"/>
      <c r="AA11" s="19"/>
      <c r="AB11" s="380" t="s">
        <v>18</v>
      </c>
      <c r="AC11" s="381"/>
      <c r="AD11" s="20">
        <v>810031</v>
      </c>
      <c r="AE11" s="20">
        <v>20</v>
      </c>
      <c r="AF11" s="20">
        <v>7316000</v>
      </c>
      <c r="AG11" s="21">
        <f t="shared" si="2"/>
        <v>3200</v>
      </c>
    </row>
    <row r="12" spans="2:33" ht="16" x14ac:dyDescent="0.35">
      <c r="B12" s="18"/>
      <c r="C12" s="19"/>
      <c r="D12" s="19"/>
      <c r="E12" s="380" t="s">
        <v>19</v>
      </c>
      <c r="F12" s="381"/>
      <c r="G12" s="20">
        <v>810040</v>
      </c>
      <c r="H12" s="20">
        <v>30</v>
      </c>
      <c r="I12" s="20">
        <v>7317000</v>
      </c>
      <c r="J12" s="21">
        <f t="shared" si="0"/>
        <v>0</v>
      </c>
      <c r="N12" s="139"/>
      <c r="O12" s="134"/>
      <c r="P12" s="134"/>
      <c r="Q12" s="417" t="s">
        <v>19</v>
      </c>
      <c r="R12" s="418"/>
      <c r="S12" s="140">
        <v>810040</v>
      </c>
      <c r="T12" s="140">
        <v>30</v>
      </c>
      <c r="U12" s="140">
        <v>7317000</v>
      </c>
      <c r="V12" s="141">
        <f t="shared" si="1"/>
        <v>0</v>
      </c>
      <c r="Y12" s="18"/>
      <c r="Z12" s="19"/>
      <c r="AA12" s="19"/>
      <c r="AB12" s="380" t="s">
        <v>19</v>
      </c>
      <c r="AC12" s="381"/>
      <c r="AD12" s="20">
        <v>810040</v>
      </c>
      <c r="AE12" s="20">
        <v>30</v>
      </c>
      <c r="AF12" s="20">
        <v>7317000</v>
      </c>
      <c r="AG12" s="21">
        <f t="shared" si="2"/>
        <v>0</v>
      </c>
    </row>
    <row r="13" spans="2:33" ht="16" x14ac:dyDescent="0.35">
      <c r="B13" s="18"/>
      <c r="C13" s="19"/>
      <c r="D13" s="19"/>
      <c r="E13" s="380" t="s">
        <v>20</v>
      </c>
      <c r="F13" s="381"/>
      <c r="G13" s="20">
        <v>810041</v>
      </c>
      <c r="H13" s="20">
        <v>40</v>
      </c>
      <c r="I13" s="20">
        <v>7317120</v>
      </c>
      <c r="J13" s="21">
        <f t="shared" si="0"/>
        <v>465067.45499999996</v>
      </c>
      <c r="N13" s="139"/>
      <c r="O13" s="134"/>
      <c r="P13" s="134"/>
      <c r="Q13" s="417" t="s">
        <v>20</v>
      </c>
      <c r="R13" s="418"/>
      <c r="S13" s="140">
        <v>810041</v>
      </c>
      <c r="T13" s="140">
        <v>40</v>
      </c>
      <c r="U13" s="140">
        <v>7317120</v>
      </c>
      <c r="V13" s="141">
        <f t="shared" si="1"/>
        <v>423366.38348875195</v>
      </c>
      <c r="Y13" s="18"/>
      <c r="Z13" s="19"/>
      <c r="AA13" s="19"/>
      <c r="AB13" s="380" t="s">
        <v>20</v>
      </c>
      <c r="AC13" s="381"/>
      <c r="AD13" s="20">
        <v>810041</v>
      </c>
      <c r="AE13" s="20">
        <v>40</v>
      </c>
      <c r="AF13" s="20">
        <v>7317120</v>
      </c>
      <c r="AG13" s="21">
        <f t="shared" si="2"/>
        <v>1545028.3499999999</v>
      </c>
    </row>
    <row r="14" spans="2:33" ht="16" x14ac:dyDescent="0.35">
      <c r="B14" s="18"/>
      <c r="C14" s="19"/>
      <c r="D14" s="19"/>
      <c r="E14" s="380" t="s">
        <v>21</v>
      </c>
      <c r="F14" s="381"/>
      <c r="G14" s="20">
        <v>810051</v>
      </c>
      <c r="H14" s="20">
        <v>50</v>
      </c>
      <c r="I14" s="20">
        <v>7317002</v>
      </c>
      <c r="J14" s="21">
        <f t="shared" si="0"/>
        <v>653233.85</v>
      </c>
      <c r="N14" s="139"/>
      <c r="O14" s="134"/>
      <c r="P14" s="134"/>
      <c r="Q14" s="417" t="s">
        <v>21</v>
      </c>
      <c r="R14" s="418"/>
      <c r="S14" s="140">
        <v>810051</v>
      </c>
      <c r="T14" s="140">
        <v>50</v>
      </c>
      <c r="U14" s="140">
        <v>7317002</v>
      </c>
      <c r="V14" s="141">
        <f t="shared" si="1"/>
        <v>1029299.7244183145</v>
      </c>
      <c r="Y14" s="18"/>
      <c r="Z14" s="19"/>
      <c r="AA14" s="19"/>
      <c r="AB14" s="380" t="s">
        <v>21</v>
      </c>
      <c r="AC14" s="381"/>
      <c r="AD14" s="20">
        <v>810051</v>
      </c>
      <c r="AE14" s="20">
        <v>50</v>
      </c>
      <c r="AF14" s="20">
        <v>7317002</v>
      </c>
      <c r="AG14" s="21">
        <f t="shared" si="2"/>
        <v>389270.42000000004</v>
      </c>
    </row>
    <row r="15" spans="2:33" ht="16" x14ac:dyDescent="0.35">
      <c r="B15" s="18"/>
      <c r="C15" s="19"/>
      <c r="D15" s="19"/>
      <c r="E15" s="380" t="s">
        <v>22</v>
      </c>
      <c r="F15" s="381"/>
      <c r="G15" s="20">
        <v>810080</v>
      </c>
      <c r="H15" s="20">
        <v>60</v>
      </c>
      <c r="I15" s="20">
        <v>7361002</v>
      </c>
      <c r="J15" s="21">
        <f t="shared" si="0"/>
        <v>607480.68000000005</v>
      </c>
      <c r="N15" s="139"/>
      <c r="O15" s="134"/>
      <c r="P15" s="134"/>
      <c r="Q15" s="417" t="s">
        <v>22</v>
      </c>
      <c r="R15" s="418"/>
      <c r="S15" s="140">
        <v>810080</v>
      </c>
      <c r="T15" s="140">
        <v>60</v>
      </c>
      <c r="U15" s="140">
        <v>7361002</v>
      </c>
      <c r="V15" s="141">
        <f t="shared" si="1"/>
        <v>2744857.8188322145</v>
      </c>
      <c r="Y15" s="18"/>
      <c r="Z15" s="19"/>
      <c r="AA15" s="19"/>
      <c r="AB15" s="380" t="s">
        <v>22</v>
      </c>
      <c r="AC15" s="381"/>
      <c r="AD15" s="20">
        <v>810080</v>
      </c>
      <c r="AE15" s="20">
        <v>60</v>
      </c>
      <c r="AF15" s="20">
        <v>7361002</v>
      </c>
      <c r="AG15" s="21">
        <f t="shared" si="2"/>
        <v>1276976.23</v>
      </c>
    </row>
    <row r="16" spans="2:33" ht="16" x14ac:dyDescent="0.35">
      <c r="B16" s="18"/>
      <c r="C16" s="19"/>
      <c r="D16" s="19"/>
      <c r="E16" s="380" t="s">
        <v>23</v>
      </c>
      <c r="F16" s="381"/>
      <c r="G16" s="20">
        <v>810082</v>
      </c>
      <c r="H16" s="20">
        <v>70</v>
      </c>
      <c r="I16" s="20">
        <v>7318000</v>
      </c>
      <c r="J16" s="21">
        <f t="shared" si="0"/>
        <v>0</v>
      </c>
      <c r="N16" s="139"/>
      <c r="O16" s="134"/>
      <c r="P16" s="134"/>
      <c r="Q16" s="417" t="s">
        <v>23</v>
      </c>
      <c r="R16" s="418"/>
      <c r="S16" s="140">
        <v>810082</v>
      </c>
      <c r="T16" s="140">
        <v>70</v>
      </c>
      <c r="U16" s="140">
        <v>7318000</v>
      </c>
      <c r="V16" s="141">
        <f t="shared" si="1"/>
        <v>0</v>
      </c>
      <c r="Y16" s="18"/>
      <c r="Z16" s="19"/>
      <c r="AA16" s="19"/>
      <c r="AB16" s="380" t="s">
        <v>23</v>
      </c>
      <c r="AC16" s="381"/>
      <c r="AD16" s="20">
        <v>810082</v>
      </c>
      <c r="AE16" s="20">
        <v>70</v>
      </c>
      <c r="AF16" s="20">
        <v>7318000</v>
      </c>
      <c r="AG16" s="21">
        <f t="shared" si="2"/>
        <v>0</v>
      </c>
    </row>
    <row r="17" spans="2:33" ht="16" x14ac:dyDescent="0.35">
      <c r="B17" s="18"/>
      <c r="C17" s="19"/>
      <c r="D17" s="19"/>
      <c r="E17" s="380" t="s">
        <v>24</v>
      </c>
      <c r="F17" s="381"/>
      <c r="G17" s="20">
        <v>810100</v>
      </c>
      <c r="H17" s="20">
        <v>80</v>
      </c>
      <c r="I17" s="20">
        <v>7317012</v>
      </c>
      <c r="J17" s="21">
        <f t="shared" si="0"/>
        <v>0</v>
      </c>
      <c r="N17" s="139"/>
      <c r="O17" s="134"/>
      <c r="P17" s="134"/>
      <c r="Q17" s="417" t="s">
        <v>24</v>
      </c>
      <c r="R17" s="418"/>
      <c r="S17" s="140">
        <v>810100</v>
      </c>
      <c r="T17" s="140">
        <v>80</v>
      </c>
      <c r="U17" s="140">
        <v>7317012</v>
      </c>
      <c r="V17" s="141">
        <f t="shared" si="1"/>
        <v>0</v>
      </c>
      <c r="Y17" s="18"/>
      <c r="Z17" s="19"/>
      <c r="AA17" s="19"/>
      <c r="AB17" s="380" t="s">
        <v>24</v>
      </c>
      <c r="AC17" s="381"/>
      <c r="AD17" s="20">
        <v>810100</v>
      </c>
      <c r="AE17" s="20">
        <v>80</v>
      </c>
      <c r="AF17" s="20">
        <v>7317012</v>
      </c>
      <c r="AG17" s="21">
        <f t="shared" si="2"/>
        <v>0</v>
      </c>
    </row>
    <row r="18" spans="2:33" ht="16" x14ac:dyDescent="0.35">
      <c r="B18" s="18"/>
      <c r="C18" s="19"/>
      <c r="D18" s="19"/>
      <c r="E18" s="380" t="s">
        <v>25</v>
      </c>
      <c r="F18" s="381"/>
      <c r="G18" s="20">
        <v>810162</v>
      </c>
      <c r="H18" s="20">
        <v>90</v>
      </c>
      <c r="I18" s="20">
        <v>7333060</v>
      </c>
      <c r="J18" s="21">
        <f t="shared" si="0"/>
        <v>0</v>
      </c>
      <c r="N18" s="139"/>
      <c r="O18" s="134"/>
      <c r="P18" s="134"/>
      <c r="Q18" s="417" t="s">
        <v>25</v>
      </c>
      <c r="R18" s="418"/>
      <c r="S18" s="140">
        <v>810162</v>
      </c>
      <c r="T18" s="140">
        <v>90</v>
      </c>
      <c r="U18" s="140">
        <v>7333060</v>
      </c>
      <c r="V18" s="141">
        <f t="shared" si="1"/>
        <v>0</v>
      </c>
      <c r="Y18" s="18"/>
      <c r="Z18" s="19"/>
      <c r="AA18" s="19"/>
      <c r="AB18" s="380" t="s">
        <v>25</v>
      </c>
      <c r="AC18" s="381"/>
      <c r="AD18" s="20">
        <v>810162</v>
      </c>
      <c r="AE18" s="20">
        <v>90</v>
      </c>
      <c r="AF18" s="20">
        <v>7333060</v>
      </c>
      <c r="AG18" s="21">
        <f t="shared" si="2"/>
        <v>0</v>
      </c>
    </row>
    <row r="19" spans="2:33" ht="16" x14ac:dyDescent="0.35">
      <c r="B19" s="18"/>
      <c r="C19" s="19"/>
      <c r="D19" s="19"/>
      <c r="E19" s="380" t="s">
        <v>26</v>
      </c>
      <c r="F19" s="381"/>
      <c r="G19" s="20">
        <v>810230</v>
      </c>
      <c r="H19" s="20">
        <v>100</v>
      </c>
      <c r="I19" s="20">
        <v>7317003</v>
      </c>
      <c r="J19" s="21">
        <f t="shared" si="0"/>
        <v>8500</v>
      </c>
      <c r="N19" s="139"/>
      <c r="O19" s="134"/>
      <c r="P19" s="134"/>
      <c r="Q19" s="417" t="s">
        <v>26</v>
      </c>
      <c r="R19" s="418"/>
      <c r="S19" s="140">
        <v>810230</v>
      </c>
      <c r="T19" s="140">
        <v>100</v>
      </c>
      <c r="U19" s="140">
        <v>7317003</v>
      </c>
      <c r="V19" s="141">
        <f t="shared" si="1"/>
        <v>40882.170646279286</v>
      </c>
      <c r="Y19" s="18"/>
      <c r="Z19" s="19"/>
      <c r="AA19" s="19"/>
      <c r="AB19" s="380" t="s">
        <v>26</v>
      </c>
      <c r="AC19" s="381"/>
      <c r="AD19" s="20">
        <v>810230</v>
      </c>
      <c r="AE19" s="20">
        <v>100</v>
      </c>
      <c r="AF19" s="20">
        <v>7317003</v>
      </c>
      <c r="AG19" s="21">
        <f t="shared" si="2"/>
        <v>37800</v>
      </c>
    </row>
    <row r="20" spans="2:33" ht="16" x14ac:dyDescent="0.35">
      <c r="B20" s="18"/>
      <c r="C20" s="19"/>
      <c r="D20" s="19"/>
      <c r="E20" s="380" t="s">
        <v>27</v>
      </c>
      <c r="F20" s="381"/>
      <c r="G20" s="20">
        <v>810250</v>
      </c>
      <c r="H20" s="20">
        <v>110</v>
      </c>
      <c r="I20" s="20">
        <v>7317010</v>
      </c>
      <c r="J20" s="21">
        <f t="shared" si="0"/>
        <v>0</v>
      </c>
      <c r="N20" s="139"/>
      <c r="O20" s="134"/>
      <c r="P20" s="134"/>
      <c r="Q20" s="417" t="s">
        <v>27</v>
      </c>
      <c r="R20" s="418"/>
      <c r="S20" s="140">
        <v>810250</v>
      </c>
      <c r="T20" s="140">
        <v>110</v>
      </c>
      <c r="U20" s="140">
        <v>7317010</v>
      </c>
      <c r="V20" s="141">
        <f t="shared" si="1"/>
        <v>0</v>
      </c>
      <c r="Y20" s="18"/>
      <c r="Z20" s="19"/>
      <c r="AA20" s="19"/>
      <c r="AB20" s="380" t="s">
        <v>27</v>
      </c>
      <c r="AC20" s="381"/>
      <c r="AD20" s="20">
        <v>810250</v>
      </c>
      <c r="AE20" s="20">
        <v>110</v>
      </c>
      <c r="AF20" s="20">
        <v>7317010</v>
      </c>
      <c r="AG20" s="21">
        <f t="shared" si="2"/>
        <v>0</v>
      </c>
    </row>
    <row r="21" spans="2:33" ht="16" x14ac:dyDescent="0.35">
      <c r="B21" s="18"/>
      <c r="C21" s="19"/>
      <c r="D21" s="19"/>
      <c r="E21" s="380" t="s">
        <v>28</v>
      </c>
      <c r="F21" s="381"/>
      <c r="G21" s="20">
        <v>810260</v>
      </c>
      <c r="H21" s="20">
        <v>120</v>
      </c>
      <c r="I21" s="20">
        <v>7316012</v>
      </c>
      <c r="J21" s="21">
        <f t="shared" si="0"/>
        <v>350621.58500000002</v>
      </c>
      <c r="N21" s="139"/>
      <c r="O21" s="134"/>
      <c r="P21" s="134"/>
      <c r="Q21" s="417" t="s">
        <v>28</v>
      </c>
      <c r="R21" s="418"/>
      <c r="S21" s="140">
        <v>810260</v>
      </c>
      <c r="T21" s="140">
        <v>120</v>
      </c>
      <c r="U21" s="140">
        <v>7316012</v>
      </c>
      <c r="V21" s="141">
        <f t="shared" si="1"/>
        <v>223568.27387197004</v>
      </c>
      <c r="Y21" s="18"/>
      <c r="Z21" s="19"/>
      <c r="AA21" s="19"/>
      <c r="AB21" s="380" t="s">
        <v>28</v>
      </c>
      <c r="AC21" s="381"/>
      <c r="AD21" s="20">
        <v>810260</v>
      </c>
      <c r="AE21" s="20">
        <v>120</v>
      </c>
      <c r="AF21" s="20">
        <v>7316012</v>
      </c>
      <c r="AG21" s="21">
        <f t="shared" si="2"/>
        <v>190455.6</v>
      </c>
    </row>
    <row r="22" spans="2:33" ht="16" x14ac:dyDescent="0.35">
      <c r="B22" s="18"/>
      <c r="C22" s="19"/>
      <c r="D22" s="19"/>
      <c r="E22" s="380" t="s">
        <v>29</v>
      </c>
      <c r="F22" s="381"/>
      <c r="G22" s="20">
        <v>810321</v>
      </c>
      <c r="H22" s="20">
        <v>130</v>
      </c>
      <c r="I22" s="20">
        <v>7312130</v>
      </c>
      <c r="J22" s="21">
        <f t="shared" si="0"/>
        <v>0</v>
      </c>
      <c r="N22" s="139"/>
      <c r="O22" s="134"/>
      <c r="P22" s="134"/>
      <c r="Q22" s="417" t="s">
        <v>29</v>
      </c>
      <c r="R22" s="418"/>
      <c r="S22" s="140">
        <v>810321</v>
      </c>
      <c r="T22" s="140">
        <v>130</v>
      </c>
      <c r="U22" s="140">
        <v>7312130</v>
      </c>
      <c r="V22" s="141">
        <f t="shared" si="1"/>
        <v>0</v>
      </c>
      <c r="Y22" s="18"/>
      <c r="Z22" s="19"/>
      <c r="AA22" s="19"/>
      <c r="AB22" s="380" t="s">
        <v>29</v>
      </c>
      <c r="AC22" s="381"/>
      <c r="AD22" s="20">
        <v>810321</v>
      </c>
      <c r="AE22" s="20">
        <v>130</v>
      </c>
      <c r="AF22" s="20">
        <v>7312130</v>
      </c>
      <c r="AG22" s="21">
        <f t="shared" si="2"/>
        <v>0</v>
      </c>
    </row>
    <row r="23" spans="2:33" ht="16" x14ac:dyDescent="0.35">
      <c r="B23" s="18"/>
      <c r="C23" s="19"/>
      <c r="D23" s="19"/>
      <c r="E23" s="380" t="s">
        <v>30</v>
      </c>
      <c r="F23" s="381"/>
      <c r="G23" s="20">
        <v>810210</v>
      </c>
      <c r="H23" s="20">
        <v>140</v>
      </c>
      <c r="I23" s="20">
        <v>7332021</v>
      </c>
      <c r="J23" s="21">
        <f t="shared" si="0"/>
        <v>36444</v>
      </c>
      <c r="N23" s="139"/>
      <c r="O23" s="134"/>
      <c r="P23" s="134"/>
      <c r="Q23" s="417" t="s">
        <v>30</v>
      </c>
      <c r="R23" s="418"/>
      <c r="S23" s="140">
        <v>810210</v>
      </c>
      <c r="T23" s="140">
        <v>140</v>
      </c>
      <c r="U23" s="140">
        <v>7332021</v>
      </c>
      <c r="V23" s="141">
        <f t="shared" si="1"/>
        <v>371311.99340403185</v>
      </c>
      <c r="Y23" s="18"/>
      <c r="Z23" s="19"/>
      <c r="AA23" s="19"/>
      <c r="AB23" s="380" t="s">
        <v>30</v>
      </c>
      <c r="AC23" s="381"/>
      <c r="AD23" s="20">
        <v>810210</v>
      </c>
      <c r="AE23" s="20">
        <v>140</v>
      </c>
      <c r="AF23" s="20">
        <v>7332021</v>
      </c>
      <c r="AG23" s="21">
        <f t="shared" si="2"/>
        <v>66380</v>
      </c>
    </row>
    <row r="24" spans="2:33" ht="16" x14ac:dyDescent="0.35">
      <c r="B24" s="18"/>
      <c r="C24" s="19"/>
      <c r="D24" s="19"/>
      <c r="E24" s="380" t="s">
        <v>31</v>
      </c>
      <c r="F24" s="381"/>
      <c r="G24" s="20">
        <v>810213</v>
      </c>
      <c r="H24" s="20">
        <v>150</v>
      </c>
      <c r="I24" s="20">
        <v>7332023</v>
      </c>
      <c r="J24" s="21">
        <f t="shared" si="0"/>
        <v>320968.02500000002</v>
      </c>
      <c r="N24" s="139"/>
      <c r="O24" s="134"/>
      <c r="P24" s="134"/>
      <c r="Q24" s="417" t="s">
        <v>31</v>
      </c>
      <c r="R24" s="418"/>
      <c r="S24" s="140">
        <v>810213</v>
      </c>
      <c r="T24" s="140">
        <v>150</v>
      </c>
      <c r="U24" s="140">
        <v>7332023</v>
      </c>
      <c r="V24" s="141">
        <f t="shared" si="1"/>
        <v>813902.08949685213</v>
      </c>
      <c r="Y24" s="18"/>
      <c r="Z24" s="19"/>
      <c r="AA24" s="19"/>
      <c r="AB24" s="380" t="s">
        <v>31</v>
      </c>
      <c r="AC24" s="381"/>
      <c r="AD24" s="20">
        <v>810213</v>
      </c>
      <c r="AE24" s="20">
        <v>150</v>
      </c>
      <c r="AF24" s="20">
        <v>7332023</v>
      </c>
      <c r="AG24" s="21">
        <f t="shared" si="2"/>
        <v>562148</v>
      </c>
    </row>
    <row r="25" spans="2:33" ht="16" x14ac:dyDescent="0.35">
      <c r="B25" s="18"/>
      <c r="C25" s="19"/>
      <c r="D25" s="19"/>
      <c r="E25" s="424"/>
      <c r="F25" s="425"/>
      <c r="G25" s="20" t="s">
        <v>32</v>
      </c>
      <c r="H25" s="20">
        <v>160</v>
      </c>
      <c r="I25" s="20"/>
      <c r="J25" s="21">
        <f t="shared" si="0"/>
        <v>82942.350000000006</v>
      </c>
      <c r="K25" s="121"/>
      <c r="N25" s="139"/>
      <c r="O25" s="134"/>
      <c r="P25" s="134"/>
      <c r="Q25" s="426"/>
      <c r="R25" s="427"/>
      <c r="S25" s="140" t="s">
        <v>32</v>
      </c>
      <c r="T25" s="140">
        <v>160</v>
      </c>
      <c r="U25" s="140"/>
      <c r="V25" s="141">
        <f t="shared" si="1"/>
        <v>187387.42918270113</v>
      </c>
      <c r="Y25" s="18"/>
      <c r="Z25" s="19"/>
      <c r="AA25" s="19"/>
      <c r="AB25" s="424"/>
      <c r="AC25" s="425"/>
      <c r="AD25" s="20" t="s">
        <v>32</v>
      </c>
      <c r="AE25" s="20">
        <v>160</v>
      </c>
      <c r="AF25" s="20"/>
      <c r="AG25" s="21">
        <f t="shared" si="2"/>
        <v>0</v>
      </c>
    </row>
    <row r="26" spans="2:33" ht="18.5" x14ac:dyDescent="0.35">
      <c r="B26" s="18"/>
      <c r="C26" s="19"/>
      <c r="D26" s="19"/>
      <c r="E26" s="419" t="s">
        <v>33</v>
      </c>
      <c r="F26" s="419"/>
      <c r="G26" s="419"/>
      <c r="H26" s="419"/>
      <c r="I26" s="420"/>
      <c r="J26" s="22">
        <f>SUM(J10:J25)</f>
        <v>2653819.7949999999</v>
      </c>
      <c r="N26" s="139"/>
      <c r="O26" s="134"/>
      <c r="P26" s="134"/>
      <c r="Q26" s="456" t="s">
        <v>33</v>
      </c>
      <c r="R26" s="448"/>
      <c r="S26" s="281"/>
      <c r="T26" s="281"/>
      <c r="U26" s="280"/>
      <c r="V26" s="279">
        <f>SUM(V10:V25)</f>
        <v>5894622.0623446172</v>
      </c>
      <c r="Y26" s="18"/>
      <c r="Z26" s="19"/>
      <c r="AA26" s="19"/>
      <c r="AB26" s="419" t="s">
        <v>33</v>
      </c>
      <c r="AC26" s="419"/>
      <c r="AD26" s="419"/>
      <c r="AE26" s="419"/>
      <c r="AF26" s="420"/>
      <c r="AG26" s="22">
        <f>SUM(AG10:AG25)</f>
        <v>4403888.5999999996</v>
      </c>
    </row>
    <row r="27" spans="2:33" x14ac:dyDescent="0.35">
      <c r="B27" s="23"/>
      <c r="C27" s="24"/>
      <c r="D27" s="24"/>
      <c r="E27" s="25"/>
      <c r="F27" s="24"/>
      <c r="G27" s="26"/>
      <c r="H27" s="26"/>
      <c r="I27" s="27"/>
      <c r="J27" s="27"/>
      <c r="N27" s="145"/>
      <c r="O27" s="146"/>
      <c r="P27" s="146"/>
      <c r="Q27" s="147"/>
      <c r="R27" s="146"/>
      <c r="S27" s="148"/>
      <c r="T27" s="148"/>
      <c r="U27" s="149"/>
      <c r="V27" s="149"/>
      <c r="Y27" s="23"/>
      <c r="Z27" s="24"/>
      <c r="AA27" s="24"/>
      <c r="AB27" s="25"/>
      <c r="AC27" s="24"/>
      <c r="AD27" s="26"/>
      <c r="AE27" s="26"/>
      <c r="AF27" s="27"/>
      <c r="AG27" s="27"/>
    </row>
    <row r="28" spans="2:33" x14ac:dyDescent="0.35">
      <c r="B28" s="400" t="s">
        <v>13</v>
      </c>
      <c r="C28" s="28"/>
      <c r="D28" s="403" t="s">
        <v>14</v>
      </c>
      <c r="E28" s="405" t="s">
        <v>12</v>
      </c>
      <c r="F28" s="29"/>
      <c r="G28" s="30"/>
      <c r="H28" s="414" t="s">
        <v>34</v>
      </c>
      <c r="I28" s="414"/>
      <c r="J28" s="30"/>
      <c r="N28" s="449" t="s">
        <v>13</v>
      </c>
      <c r="O28" s="150"/>
      <c r="P28" s="454" t="s">
        <v>14</v>
      </c>
      <c r="Q28" s="455" t="s">
        <v>12</v>
      </c>
      <c r="R28" s="278"/>
      <c r="S28" s="153"/>
      <c r="T28" s="430" t="s">
        <v>34</v>
      </c>
      <c r="U28" s="427"/>
      <c r="V28" s="153"/>
      <c r="Y28" s="400" t="s">
        <v>13</v>
      </c>
      <c r="Z28" s="28"/>
      <c r="AA28" s="403" t="s">
        <v>14</v>
      </c>
      <c r="AB28" s="405" t="s">
        <v>12</v>
      </c>
      <c r="AC28" s="29"/>
      <c r="AD28" s="30"/>
      <c r="AE28" s="414" t="s">
        <v>34</v>
      </c>
      <c r="AF28" s="414"/>
      <c r="AG28" s="30"/>
    </row>
    <row r="29" spans="2:33" x14ac:dyDescent="0.35">
      <c r="B29" s="401"/>
      <c r="C29" s="31"/>
      <c r="D29" s="404"/>
      <c r="E29" s="406"/>
      <c r="F29" s="407" t="s">
        <v>35</v>
      </c>
      <c r="G29" s="412" t="s">
        <v>36</v>
      </c>
      <c r="H29" s="415" t="s">
        <v>37</v>
      </c>
      <c r="I29" s="415" t="s">
        <v>38</v>
      </c>
      <c r="J29" s="32" t="s">
        <v>33</v>
      </c>
      <c r="N29" s="429"/>
      <c r="O29" s="154"/>
      <c r="P29" s="432"/>
      <c r="Q29" s="432"/>
      <c r="R29" s="453" t="s">
        <v>35</v>
      </c>
      <c r="S29" s="428" t="s">
        <v>36</v>
      </c>
      <c r="T29" s="428" t="s">
        <v>37</v>
      </c>
      <c r="U29" s="428" t="s">
        <v>38</v>
      </c>
      <c r="V29" s="155" t="s">
        <v>33</v>
      </c>
      <c r="Y29" s="401"/>
      <c r="Z29" s="31"/>
      <c r="AA29" s="404"/>
      <c r="AB29" s="406"/>
      <c r="AC29" s="407" t="s">
        <v>35</v>
      </c>
      <c r="AD29" s="412" t="s">
        <v>36</v>
      </c>
      <c r="AE29" s="415" t="s">
        <v>37</v>
      </c>
      <c r="AF29" s="415" t="s">
        <v>38</v>
      </c>
      <c r="AG29" s="32" t="s">
        <v>33</v>
      </c>
    </row>
    <row r="30" spans="2:33" x14ac:dyDescent="0.35">
      <c r="B30" s="402"/>
      <c r="C30" s="33"/>
      <c r="D30" s="34" t="s">
        <v>39</v>
      </c>
      <c r="E30" s="35" t="s">
        <v>40</v>
      </c>
      <c r="F30" s="408"/>
      <c r="G30" s="413"/>
      <c r="H30" s="416"/>
      <c r="I30" s="416"/>
      <c r="J30" s="36">
        <f>SUM(J31:J44)</f>
        <v>572348.56000000006</v>
      </c>
      <c r="N30" s="432"/>
      <c r="O30" s="156"/>
      <c r="P30" s="277" t="s">
        <v>39</v>
      </c>
      <c r="Q30" s="276" t="s">
        <v>40</v>
      </c>
      <c r="R30" s="429"/>
      <c r="S30" s="429"/>
      <c r="T30" s="429"/>
      <c r="U30" s="429"/>
      <c r="V30" s="159">
        <f>SUM(V31:V44)</f>
        <v>2716069.9410867398</v>
      </c>
      <c r="Y30" s="402"/>
      <c r="Z30" s="33"/>
      <c r="AA30" s="34" t="s">
        <v>39</v>
      </c>
      <c r="AB30" s="35" t="s">
        <v>40</v>
      </c>
      <c r="AC30" s="408"/>
      <c r="AD30" s="413"/>
      <c r="AE30" s="416"/>
      <c r="AF30" s="416"/>
      <c r="AG30" s="36">
        <f>SUM(AG31:AG44)</f>
        <v>634631.73</v>
      </c>
    </row>
    <row r="31" spans="2:33" x14ac:dyDescent="0.35">
      <c r="B31" s="37">
        <v>810080</v>
      </c>
      <c r="C31" s="409" t="s">
        <v>40</v>
      </c>
      <c r="D31" s="64" t="s">
        <v>41</v>
      </c>
      <c r="E31" s="39" t="s">
        <v>42</v>
      </c>
      <c r="F31" s="38" t="s">
        <v>43</v>
      </c>
      <c r="G31" s="110">
        <v>11</v>
      </c>
      <c r="H31" s="238">
        <v>800</v>
      </c>
      <c r="I31" s="42"/>
      <c r="J31" s="66">
        <f t="shared" ref="J31:J44" si="3">G31*H31+I31*G31</f>
        <v>8800</v>
      </c>
      <c r="N31" s="160">
        <v>810080</v>
      </c>
      <c r="O31" s="445" t="s">
        <v>40</v>
      </c>
      <c r="P31" s="161" t="s">
        <v>41</v>
      </c>
      <c r="Q31" s="162" t="s">
        <v>42</v>
      </c>
      <c r="R31" s="161" t="s">
        <v>43</v>
      </c>
      <c r="S31" s="229">
        <v>80</v>
      </c>
      <c r="T31" s="236">
        <v>305.57541359453825</v>
      </c>
      <c r="U31" s="236">
        <v>152.78770679726912</v>
      </c>
      <c r="V31" s="165">
        <f t="shared" ref="V31:V44" si="4">S31*T31+U31*S31</f>
        <v>36669.049631344591</v>
      </c>
      <c r="Y31" s="37">
        <v>810080</v>
      </c>
      <c r="Z31" s="409" t="s">
        <v>40</v>
      </c>
      <c r="AA31" s="38" t="s">
        <v>41</v>
      </c>
      <c r="AB31" s="39" t="s">
        <v>42</v>
      </c>
      <c r="AC31" s="38" t="s">
        <v>43</v>
      </c>
      <c r="AD31" s="283">
        <v>12</v>
      </c>
      <c r="AE31" s="41">
        <v>442</v>
      </c>
      <c r="AF31" s="42">
        <v>0</v>
      </c>
      <c r="AG31" s="66">
        <f t="shared" ref="AG31:AG44" si="5">AD31*AE31+AF31*AD31</f>
        <v>5304</v>
      </c>
    </row>
    <row r="32" spans="2:33" ht="26" x14ac:dyDescent="0.35">
      <c r="B32" s="37">
        <v>810080</v>
      </c>
      <c r="C32" s="410"/>
      <c r="D32" s="64" t="s">
        <v>44</v>
      </c>
      <c r="E32" s="39" t="s">
        <v>45</v>
      </c>
      <c r="F32" s="38" t="s">
        <v>46</v>
      </c>
      <c r="G32" s="40">
        <v>1</v>
      </c>
      <c r="H32" s="238">
        <v>15000</v>
      </c>
      <c r="I32" s="42"/>
      <c r="J32" s="66">
        <f t="shared" si="3"/>
        <v>15000</v>
      </c>
      <c r="N32" s="160">
        <v>810080</v>
      </c>
      <c r="O32" s="429"/>
      <c r="P32" s="161" t="s">
        <v>44</v>
      </c>
      <c r="Q32" s="162" t="s">
        <v>45</v>
      </c>
      <c r="R32" s="161" t="s">
        <v>46</v>
      </c>
      <c r="S32" s="163">
        <v>1</v>
      </c>
      <c r="T32" s="236">
        <v>4745.2296684739849</v>
      </c>
      <c r="U32" s="236">
        <v>2372.6148342369925</v>
      </c>
      <c r="V32" s="165">
        <f t="shared" si="4"/>
        <v>7117.8445027109774</v>
      </c>
      <c r="Y32" s="37">
        <v>810080</v>
      </c>
      <c r="Z32" s="410"/>
      <c r="AA32" s="38" t="s">
        <v>44</v>
      </c>
      <c r="AB32" s="39" t="s">
        <v>45</v>
      </c>
      <c r="AC32" s="38" t="s">
        <v>46</v>
      </c>
      <c r="AD32" s="40">
        <v>1</v>
      </c>
      <c r="AE32" s="41">
        <v>22000</v>
      </c>
      <c r="AF32" s="42">
        <v>4500</v>
      </c>
      <c r="AG32" s="66">
        <f t="shared" si="5"/>
        <v>26500</v>
      </c>
    </row>
    <row r="33" spans="2:33" x14ac:dyDescent="0.35">
      <c r="B33" s="37">
        <v>810080</v>
      </c>
      <c r="C33" s="410"/>
      <c r="D33" s="64" t="s">
        <v>47</v>
      </c>
      <c r="E33" s="39" t="s">
        <v>48</v>
      </c>
      <c r="F33" s="38" t="s">
        <v>46</v>
      </c>
      <c r="G33" s="110">
        <v>1</v>
      </c>
      <c r="H33" s="238">
        <v>52000</v>
      </c>
      <c r="I33" s="42"/>
      <c r="J33" s="66">
        <f t="shared" si="3"/>
        <v>52000</v>
      </c>
      <c r="N33" s="160">
        <v>810080</v>
      </c>
      <c r="O33" s="429"/>
      <c r="P33" s="161" t="s">
        <v>47</v>
      </c>
      <c r="Q33" s="162" t="s">
        <v>48</v>
      </c>
      <c r="R33" s="161" t="s">
        <v>46</v>
      </c>
      <c r="S33" s="163">
        <v>1</v>
      </c>
      <c r="T33" s="164">
        <v>0</v>
      </c>
      <c r="U33" s="236">
        <v>12746.360275874216</v>
      </c>
      <c r="V33" s="165">
        <f t="shared" si="4"/>
        <v>12746.360275874216</v>
      </c>
      <c r="Y33" s="37">
        <v>810080</v>
      </c>
      <c r="Z33" s="410"/>
      <c r="AA33" s="38" t="s">
        <v>47</v>
      </c>
      <c r="AB33" s="39" t="s">
        <v>48</v>
      </c>
      <c r="AC33" s="38" t="s">
        <v>46</v>
      </c>
      <c r="AD33" s="40">
        <v>1</v>
      </c>
      <c r="AE33" s="41">
        <v>96000</v>
      </c>
      <c r="AF33" s="42"/>
      <c r="AG33" s="66">
        <f t="shared" si="5"/>
        <v>96000</v>
      </c>
    </row>
    <row r="34" spans="2:33" x14ac:dyDescent="0.35">
      <c r="B34" s="37">
        <v>810080</v>
      </c>
      <c r="C34" s="410"/>
      <c r="D34" s="64" t="s">
        <v>49</v>
      </c>
      <c r="E34" s="39" t="s">
        <v>50</v>
      </c>
      <c r="F34" s="38" t="s">
        <v>46</v>
      </c>
      <c r="G34" s="110">
        <v>1</v>
      </c>
      <c r="H34" s="244">
        <v>24000</v>
      </c>
      <c r="I34" s="45"/>
      <c r="J34" s="66">
        <f t="shared" si="3"/>
        <v>24000</v>
      </c>
      <c r="N34" s="160">
        <v>810080</v>
      </c>
      <c r="O34" s="429"/>
      <c r="P34" s="161" t="s">
        <v>49</v>
      </c>
      <c r="Q34" s="162" t="s">
        <v>50</v>
      </c>
      <c r="R34" s="161" t="s">
        <v>46</v>
      </c>
      <c r="S34" s="163">
        <v>1</v>
      </c>
      <c r="T34" s="164">
        <v>0</v>
      </c>
      <c r="U34" s="236">
        <v>41310.663769992228</v>
      </c>
      <c r="V34" s="165">
        <f t="shared" si="4"/>
        <v>41310.663769992228</v>
      </c>
      <c r="Y34" s="37">
        <v>810080</v>
      </c>
      <c r="Z34" s="410"/>
      <c r="AA34" s="38" t="s">
        <v>49</v>
      </c>
      <c r="AB34" s="39" t="s">
        <v>50</v>
      </c>
      <c r="AC34" s="38" t="s">
        <v>46</v>
      </c>
      <c r="AD34" s="40">
        <v>1</v>
      </c>
      <c r="AE34" s="102">
        <v>48000</v>
      </c>
      <c r="AF34" s="45"/>
      <c r="AG34" s="66">
        <f t="shared" si="5"/>
        <v>48000</v>
      </c>
    </row>
    <row r="35" spans="2:33" x14ac:dyDescent="0.35">
      <c r="B35" s="37">
        <v>810080</v>
      </c>
      <c r="C35" s="410"/>
      <c r="D35" s="64" t="s">
        <v>51</v>
      </c>
      <c r="E35" s="39" t="s">
        <v>52</v>
      </c>
      <c r="F35" s="38" t="s">
        <v>46</v>
      </c>
      <c r="G35" s="110">
        <v>1</v>
      </c>
      <c r="H35" s="238">
        <v>8500</v>
      </c>
      <c r="I35" s="46"/>
      <c r="J35" s="66">
        <f t="shared" si="3"/>
        <v>8500</v>
      </c>
      <c r="N35" s="160">
        <v>810080</v>
      </c>
      <c r="O35" s="429"/>
      <c r="P35" s="161" t="s">
        <v>51</v>
      </c>
      <c r="Q35" s="162" t="s">
        <v>52</v>
      </c>
      <c r="R35" s="161" t="s">
        <v>71</v>
      </c>
      <c r="S35" s="163">
        <v>6</v>
      </c>
      <c r="T35" s="164">
        <v>0</v>
      </c>
      <c r="U35" s="236">
        <v>15822.674048180195</v>
      </c>
      <c r="V35" s="165">
        <f t="shared" si="4"/>
        <v>94936.044289081168</v>
      </c>
      <c r="Y35" s="37">
        <v>810080</v>
      </c>
      <c r="Z35" s="410"/>
      <c r="AA35" s="38" t="s">
        <v>51</v>
      </c>
      <c r="AB35" s="39" t="s">
        <v>52</v>
      </c>
      <c r="AC35" s="38" t="s">
        <v>46</v>
      </c>
      <c r="AD35" s="40">
        <v>1</v>
      </c>
      <c r="AE35" s="41"/>
      <c r="AF35" s="46">
        <v>20000</v>
      </c>
      <c r="AG35" s="66">
        <f t="shared" si="5"/>
        <v>20000</v>
      </c>
    </row>
    <row r="36" spans="2:33" ht="26" x14ac:dyDescent="0.35">
      <c r="B36" s="37">
        <v>810080</v>
      </c>
      <c r="C36" s="410"/>
      <c r="D36" s="64" t="s">
        <v>53</v>
      </c>
      <c r="E36" s="39" t="s">
        <v>54</v>
      </c>
      <c r="F36" s="38" t="s">
        <v>215</v>
      </c>
      <c r="G36" s="110">
        <v>6</v>
      </c>
      <c r="H36" s="115">
        <v>1000</v>
      </c>
      <c r="I36" s="245">
        <v>8500</v>
      </c>
      <c r="J36" s="66">
        <f t="shared" si="3"/>
        <v>57000</v>
      </c>
      <c r="N36" s="160">
        <v>810080</v>
      </c>
      <c r="O36" s="429"/>
      <c r="P36" s="161" t="s">
        <v>53</v>
      </c>
      <c r="Q36" s="162" t="s">
        <v>54</v>
      </c>
      <c r="R36" s="161" t="s">
        <v>71</v>
      </c>
      <c r="S36" s="163">
        <v>6</v>
      </c>
      <c r="T36" s="164">
        <v>0</v>
      </c>
      <c r="U36" s="236">
        <v>6743.8115303525337</v>
      </c>
      <c r="V36" s="165">
        <f t="shared" si="4"/>
        <v>40462.869182115202</v>
      </c>
      <c r="Y36" s="37">
        <v>810080</v>
      </c>
      <c r="Z36" s="410"/>
      <c r="AA36" s="38" t="s">
        <v>53</v>
      </c>
      <c r="AB36" s="39" t="s">
        <v>54</v>
      </c>
      <c r="AC36" s="38" t="s">
        <v>55</v>
      </c>
      <c r="AD36" s="40">
        <v>180</v>
      </c>
      <c r="AE36" s="41">
        <v>70</v>
      </c>
      <c r="AF36" s="46">
        <v>450</v>
      </c>
      <c r="AG36" s="66">
        <f t="shared" si="5"/>
        <v>93600</v>
      </c>
    </row>
    <row r="37" spans="2:33" x14ac:dyDescent="0.35">
      <c r="B37" s="37">
        <v>810080</v>
      </c>
      <c r="C37" s="410"/>
      <c r="D37" s="64" t="s">
        <v>56</v>
      </c>
      <c r="E37" s="63" t="s">
        <v>57</v>
      </c>
      <c r="F37" s="38" t="s">
        <v>55</v>
      </c>
      <c r="G37" s="222">
        <v>7</v>
      </c>
      <c r="H37" s="115">
        <v>150</v>
      </c>
      <c r="I37" s="42">
        <v>6000</v>
      </c>
      <c r="J37" s="66">
        <f t="shared" si="3"/>
        <v>43050</v>
      </c>
      <c r="K37" s="109" t="s">
        <v>263</v>
      </c>
      <c r="N37" s="160">
        <v>810080</v>
      </c>
      <c r="O37" s="429"/>
      <c r="P37" s="161" t="s">
        <v>56</v>
      </c>
      <c r="Q37" s="162" t="s">
        <v>57</v>
      </c>
      <c r="R37" s="161" t="s">
        <v>55</v>
      </c>
      <c r="S37" s="291">
        <v>20</v>
      </c>
      <c r="T37" s="236">
        <v>64294.900472772417</v>
      </c>
      <c r="U37" s="236">
        <v>45924.928909123162</v>
      </c>
      <c r="V37" s="165">
        <f t="shared" si="4"/>
        <v>2204396.5876379116</v>
      </c>
      <c r="W37" s="168"/>
      <c r="Y37" s="37">
        <v>810080</v>
      </c>
      <c r="Z37" s="410"/>
      <c r="AA37" s="38" t="s">
        <v>56</v>
      </c>
      <c r="AB37" s="39" t="s">
        <v>57</v>
      </c>
      <c r="AC37" s="38" t="s">
        <v>55</v>
      </c>
      <c r="AD37" s="40">
        <v>32</v>
      </c>
      <c r="AE37" s="41">
        <v>360</v>
      </c>
      <c r="AF37" s="42">
        <v>550</v>
      </c>
      <c r="AG37" s="66">
        <f t="shared" si="5"/>
        <v>29120</v>
      </c>
    </row>
    <row r="38" spans="2:33" ht="39" x14ac:dyDescent="0.35">
      <c r="B38" s="37">
        <v>810080</v>
      </c>
      <c r="C38" s="410"/>
      <c r="D38" s="64" t="s">
        <v>58</v>
      </c>
      <c r="E38" s="39" t="s">
        <v>59</v>
      </c>
      <c r="F38" s="230" t="s">
        <v>46</v>
      </c>
      <c r="G38" s="222">
        <v>1</v>
      </c>
      <c r="H38" s="102">
        <v>130425</v>
      </c>
      <c r="I38" s="46">
        <v>54000</v>
      </c>
      <c r="J38" s="66">
        <f t="shared" si="3"/>
        <v>184425</v>
      </c>
      <c r="K38" s="112" t="s">
        <v>242</v>
      </c>
      <c r="N38" s="160">
        <v>810080</v>
      </c>
      <c r="O38" s="429"/>
      <c r="P38" s="161" t="s">
        <v>58</v>
      </c>
      <c r="Q38" s="162" t="s">
        <v>59</v>
      </c>
      <c r="R38" s="161" t="s">
        <v>46</v>
      </c>
      <c r="S38" s="163">
        <v>1</v>
      </c>
      <c r="T38" s="236">
        <v>36414.403453349143</v>
      </c>
      <c r="U38" s="236">
        <v>12751.934530121152</v>
      </c>
      <c r="V38" s="165">
        <f t="shared" si="4"/>
        <v>49166.337983470294</v>
      </c>
      <c r="Y38" s="37">
        <v>810080</v>
      </c>
      <c r="Z38" s="410"/>
      <c r="AA38" s="38" t="s">
        <v>58</v>
      </c>
      <c r="AB38" s="39" t="s">
        <v>59</v>
      </c>
      <c r="AC38" s="38" t="s">
        <v>46</v>
      </c>
      <c r="AD38" s="40">
        <v>1</v>
      </c>
      <c r="AE38" s="102">
        <v>65000</v>
      </c>
      <c r="AF38" s="46">
        <v>8500</v>
      </c>
      <c r="AG38" s="66">
        <f t="shared" si="5"/>
        <v>73500</v>
      </c>
    </row>
    <row r="39" spans="2:33" ht="26" x14ac:dyDescent="0.35">
      <c r="B39" s="37">
        <v>810080</v>
      </c>
      <c r="C39" s="410"/>
      <c r="D39" s="64" t="s">
        <v>60</v>
      </c>
      <c r="E39" s="39" t="s">
        <v>61</v>
      </c>
      <c r="F39" s="38" t="s">
        <v>46</v>
      </c>
      <c r="G39" s="40">
        <v>1</v>
      </c>
      <c r="H39" s="41">
        <v>15000</v>
      </c>
      <c r="I39" s="42"/>
      <c r="J39" s="66">
        <f t="shared" si="3"/>
        <v>15000</v>
      </c>
      <c r="N39" s="160">
        <v>810080</v>
      </c>
      <c r="O39" s="429"/>
      <c r="P39" s="161" t="s">
        <v>60</v>
      </c>
      <c r="Q39" s="162" t="s">
        <v>61</v>
      </c>
      <c r="R39" s="161" t="s">
        <v>46</v>
      </c>
      <c r="S39" s="163">
        <v>1</v>
      </c>
      <c r="T39" s="236">
        <v>4097.3843270357647</v>
      </c>
      <c r="U39" s="164">
        <v>0</v>
      </c>
      <c r="V39" s="165">
        <f t="shared" si="4"/>
        <v>4097.3843270357647</v>
      </c>
      <c r="Y39" s="37">
        <v>810080</v>
      </c>
      <c r="Z39" s="410"/>
      <c r="AA39" s="38" t="s">
        <v>60</v>
      </c>
      <c r="AB39" s="39" t="s">
        <v>61</v>
      </c>
      <c r="AC39" s="38" t="s">
        <v>46</v>
      </c>
      <c r="AD39" s="40">
        <v>1</v>
      </c>
      <c r="AE39" s="41">
        <v>4800</v>
      </c>
      <c r="AF39" s="42"/>
      <c r="AG39" s="66">
        <f t="shared" si="5"/>
        <v>4800</v>
      </c>
    </row>
    <row r="40" spans="2:33" ht="39" x14ac:dyDescent="0.35">
      <c r="B40" s="37">
        <v>810080</v>
      </c>
      <c r="C40" s="410"/>
      <c r="D40" s="64" t="s">
        <v>62</v>
      </c>
      <c r="E40" s="39" t="s">
        <v>63</v>
      </c>
      <c r="F40" s="38" t="s">
        <v>46</v>
      </c>
      <c r="G40" s="110">
        <v>1</v>
      </c>
      <c r="H40" s="238">
        <v>1500</v>
      </c>
      <c r="I40" s="42"/>
      <c r="J40" s="66">
        <f t="shared" si="3"/>
        <v>1500</v>
      </c>
      <c r="N40" s="160">
        <v>810080</v>
      </c>
      <c r="O40" s="429"/>
      <c r="P40" s="161" t="s">
        <v>62</v>
      </c>
      <c r="Q40" s="162" t="s">
        <v>63</v>
      </c>
      <c r="R40" s="161" t="s">
        <v>46</v>
      </c>
      <c r="S40" s="163">
        <v>1</v>
      </c>
      <c r="T40" s="164">
        <v>0</v>
      </c>
      <c r="U40" s="164">
        <v>700.27698948748343</v>
      </c>
      <c r="V40" s="165">
        <f t="shared" si="4"/>
        <v>700.27698948748343</v>
      </c>
      <c r="Y40" s="37">
        <v>810080</v>
      </c>
      <c r="Z40" s="410"/>
      <c r="AA40" s="38" t="s">
        <v>62</v>
      </c>
      <c r="AB40" s="39" t="s">
        <v>63</v>
      </c>
      <c r="AC40" s="38" t="s">
        <v>46</v>
      </c>
      <c r="AD40" s="40">
        <v>1</v>
      </c>
      <c r="AE40" s="41">
        <v>1600</v>
      </c>
      <c r="AF40" s="42"/>
      <c r="AG40" s="66">
        <f t="shared" si="5"/>
        <v>1600</v>
      </c>
    </row>
    <row r="41" spans="2:33" x14ac:dyDescent="0.35">
      <c r="B41" s="37">
        <v>810080</v>
      </c>
      <c r="C41" s="410"/>
      <c r="D41" s="64" t="s">
        <v>64</v>
      </c>
      <c r="E41" s="39" t="s">
        <v>65</v>
      </c>
      <c r="F41" s="38" t="s">
        <v>46</v>
      </c>
      <c r="G41" s="110">
        <v>1</v>
      </c>
      <c r="H41" s="238">
        <v>11500</v>
      </c>
      <c r="I41" s="42"/>
      <c r="J41" s="66">
        <f t="shared" si="3"/>
        <v>11500</v>
      </c>
      <c r="N41" s="160">
        <v>810080</v>
      </c>
      <c r="O41" s="429"/>
      <c r="P41" s="161" t="s">
        <v>64</v>
      </c>
      <c r="Q41" s="162" t="s">
        <v>65</v>
      </c>
      <c r="R41" s="161" t="s">
        <v>46</v>
      </c>
      <c r="S41" s="163">
        <v>1</v>
      </c>
      <c r="T41" s="164">
        <v>0</v>
      </c>
      <c r="U41" s="236">
        <v>6112.2722104247505</v>
      </c>
      <c r="V41" s="165">
        <f t="shared" si="4"/>
        <v>6112.2722104247505</v>
      </c>
      <c r="Y41" s="37">
        <v>810080</v>
      </c>
      <c r="Z41" s="410"/>
      <c r="AA41" s="38" t="s">
        <v>64</v>
      </c>
      <c r="AB41" s="39" t="s">
        <v>65</v>
      </c>
      <c r="AC41" s="38" t="s">
        <v>46</v>
      </c>
      <c r="AD41" s="40">
        <v>1</v>
      </c>
      <c r="AE41" s="41">
        <v>30000</v>
      </c>
      <c r="AF41" s="42"/>
      <c r="AG41" s="66">
        <f t="shared" si="5"/>
        <v>30000</v>
      </c>
    </row>
    <row r="42" spans="2:33" ht="29" x14ac:dyDescent="0.35">
      <c r="B42" s="37">
        <v>810080</v>
      </c>
      <c r="C42" s="410"/>
      <c r="D42" s="64" t="s">
        <v>66</v>
      </c>
      <c r="E42" s="63" t="s">
        <v>67</v>
      </c>
      <c r="F42" s="38" t="s">
        <v>206</v>
      </c>
      <c r="G42" s="222">
        <f>65.97*3</f>
        <v>197.91</v>
      </c>
      <c r="H42" s="238">
        <f>(75+65+20)*1.35</f>
        <v>216</v>
      </c>
      <c r="I42" s="42"/>
      <c r="J42" s="66">
        <f t="shared" si="3"/>
        <v>42748.56</v>
      </c>
      <c r="K42" s="248" t="s">
        <v>386</v>
      </c>
      <c r="N42" s="160">
        <v>810080</v>
      </c>
      <c r="O42" s="429"/>
      <c r="P42" s="161" t="s">
        <v>66</v>
      </c>
      <c r="Q42" s="162" t="s">
        <v>67</v>
      </c>
      <c r="R42" s="169" t="s">
        <v>79</v>
      </c>
      <c r="S42" s="229">
        <v>647.06999999999994</v>
      </c>
      <c r="T42" s="236">
        <v>119.91200881079411</v>
      </c>
      <c r="U42" s="236">
        <v>35.960622836773169</v>
      </c>
      <c r="V42" s="165">
        <f t="shared" si="4"/>
        <v>100860.50376019135</v>
      </c>
      <c r="Y42" s="37">
        <v>810080</v>
      </c>
      <c r="Z42" s="410"/>
      <c r="AA42" s="38" t="s">
        <v>66</v>
      </c>
      <c r="AB42" s="39" t="s">
        <v>67</v>
      </c>
      <c r="AC42" s="38" t="s">
        <v>68</v>
      </c>
      <c r="AD42" s="40">
        <v>135.87</v>
      </c>
      <c r="AE42" s="41">
        <v>219</v>
      </c>
      <c r="AF42" s="42">
        <v>60</v>
      </c>
      <c r="AG42" s="66">
        <f t="shared" si="5"/>
        <v>37907.730000000003</v>
      </c>
    </row>
    <row r="43" spans="2:33" x14ac:dyDescent="0.35">
      <c r="B43" s="37">
        <v>810080</v>
      </c>
      <c r="C43" s="410"/>
      <c r="D43" s="64" t="s">
        <v>69</v>
      </c>
      <c r="E43" s="39" t="s">
        <v>70</v>
      </c>
      <c r="F43" s="38" t="s">
        <v>71</v>
      </c>
      <c r="G43" s="110">
        <v>6</v>
      </c>
      <c r="H43" s="41"/>
      <c r="I43" s="246">
        <v>17000</v>
      </c>
      <c r="J43" s="66">
        <f t="shared" si="3"/>
        <v>102000</v>
      </c>
      <c r="N43" s="160">
        <v>810080</v>
      </c>
      <c r="O43" s="429"/>
      <c r="P43" s="161" t="s">
        <v>69</v>
      </c>
      <c r="Q43" s="162" t="s">
        <v>70</v>
      </c>
      <c r="R43" s="161" t="s">
        <v>71</v>
      </c>
      <c r="S43" s="163">
        <v>6</v>
      </c>
      <c r="T43" s="164">
        <v>0</v>
      </c>
      <c r="U43" s="236">
        <v>15278.770679726911</v>
      </c>
      <c r="V43" s="165">
        <f t="shared" si="4"/>
        <v>91672.624078361463</v>
      </c>
      <c r="Y43" s="37">
        <v>810080</v>
      </c>
      <c r="Z43" s="410"/>
      <c r="AA43" s="38" t="s">
        <v>69</v>
      </c>
      <c r="AB43" s="39" t="s">
        <v>70</v>
      </c>
      <c r="AC43" s="38" t="s">
        <v>71</v>
      </c>
      <c r="AD43" s="40">
        <v>6</v>
      </c>
      <c r="AE43" s="41"/>
      <c r="AF43" s="42">
        <v>20000</v>
      </c>
      <c r="AG43" s="66">
        <f t="shared" si="5"/>
        <v>120000</v>
      </c>
    </row>
    <row r="44" spans="2:33" x14ac:dyDescent="0.35">
      <c r="B44" s="37">
        <v>810080</v>
      </c>
      <c r="C44" s="411"/>
      <c r="D44" s="64" t="s">
        <v>72</v>
      </c>
      <c r="E44" s="39" t="s">
        <v>73</v>
      </c>
      <c r="F44" s="38" t="s">
        <v>71</v>
      </c>
      <c r="G44" s="110">
        <v>1.5</v>
      </c>
      <c r="H44" s="41"/>
      <c r="I44" s="246">
        <f>3500*1.3</f>
        <v>4550</v>
      </c>
      <c r="J44" s="66">
        <f t="shared" si="3"/>
        <v>6825</v>
      </c>
      <c r="N44" s="160">
        <v>810080</v>
      </c>
      <c r="O44" s="432"/>
      <c r="P44" s="161" t="s">
        <v>72</v>
      </c>
      <c r="Q44" s="162" t="s">
        <v>73</v>
      </c>
      <c r="R44" s="231" t="s">
        <v>55</v>
      </c>
      <c r="S44" s="229">
        <v>52</v>
      </c>
      <c r="T44" s="164">
        <v>0</v>
      </c>
      <c r="U44" s="236">
        <v>496.56004709112466</v>
      </c>
      <c r="V44" s="165">
        <f t="shared" si="4"/>
        <v>25821.122448738482</v>
      </c>
      <c r="Y44" s="37">
        <v>810080</v>
      </c>
      <c r="Z44" s="411"/>
      <c r="AA44" s="38" t="s">
        <v>72</v>
      </c>
      <c r="AB44" s="39" t="s">
        <v>73</v>
      </c>
      <c r="AC44" s="38" t="s">
        <v>71</v>
      </c>
      <c r="AD44" s="40">
        <v>6</v>
      </c>
      <c r="AE44" s="41">
        <v>1050</v>
      </c>
      <c r="AF44" s="42">
        <v>7000</v>
      </c>
      <c r="AG44" s="66">
        <f t="shared" si="5"/>
        <v>48300</v>
      </c>
    </row>
    <row r="45" spans="2:33" x14ac:dyDescent="0.35">
      <c r="B45" s="47"/>
      <c r="C45" s="47"/>
      <c r="D45" s="47" t="s">
        <v>74</v>
      </c>
      <c r="E45" s="48" t="s">
        <v>75</v>
      </c>
      <c r="F45" s="47"/>
      <c r="G45" s="49"/>
      <c r="H45" s="50"/>
      <c r="I45" s="51"/>
      <c r="J45" s="52">
        <f>SUM(J47:J76)</f>
        <v>1330366.2749999999</v>
      </c>
      <c r="N45" s="268"/>
      <c r="O45" s="268"/>
      <c r="P45" s="268" t="s">
        <v>74</v>
      </c>
      <c r="Q45" s="269" t="s">
        <v>75</v>
      </c>
      <c r="R45" s="268"/>
      <c r="S45" s="172"/>
      <c r="T45" s="173"/>
      <c r="U45" s="174"/>
      <c r="V45" s="175">
        <f>SUM(V47:V76)</f>
        <v>3004193.608055125</v>
      </c>
      <c r="Y45" s="47"/>
      <c r="Z45" s="47"/>
      <c r="AA45" s="47" t="s">
        <v>74</v>
      </c>
      <c r="AB45" s="48" t="s">
        <v>75</v>
      </c>
      <c r="AC45" s="47"/>
      <c r="AD45" s="49"/>
      <c r="AE45" s="50"/>
      <c r="AF45" s="51"/>
      <c r="AG45" s="52">
        <f>SUM(AG47:AG75)</f>
        <v>2055603.77</v>
      </c>
    </row>
    <row r="46" spans="2:33" x14ac:dyDescent="0.35">
      <c r="B46" s="53"/>
      <c r="C46" s="54"/>
      <c r="D46" s="53"/>
      <c r="E46" s="55" t="s">
        <v>76</v>
      </c>
      <c r="F46" s="56"/>
      <c r="G46" s="57"/>
      <c r="H46" s="58"/>
      <c r="I46" s="59"/>
      <c r="J46" s="60"/>
      <c r="N46" s="274"/>
      <c r="O46" s="275"/>
      <c r="P46" s="274"/>
      <c r="Q46" s="273" t="s">
        <v>76</v>
      </c>
      <c r="R46" s="272"/>
      <c r="S46" s="180"/>
      <c r="T46" s="181"/>
      <c r="U46" s="182"/>
      <c r="V46" s="183"/>
      <c r="Y46" s="53"/>
      <c r="Z46" s="54"/>
      <c r="AA46" s="53"/>
      <c r="AB46" s="55" t="s">
        <v>76</v>
      </c>
      <c r="AC46" s="56"/>
      <c r="AD46" s="57"/>
      <c r="AE46" s="58"/>
      <c r="AF46" s="59"/>
      <c r="AG46" s="60"/>
    </row>
    <row r="47" spans="2:33" ht="43.5" x14ac:dyDescent="0.35">
      <c r="B47" s="61">
        <v>810080</v>
      </c>
      <c r="C47" s="410" t="s">
        <v>75</v>
      </c>
      <c r="D47" s="38" t="s">
        <v>77</v>
      </c>
      <c r="E47" s="63" t="s">
        <v>78</v>
      </c>
      <c r="F47" s="62" t="s">
        <v>79</v>
      </c>
      <c r="G47" s="222">
        <v>1507.34</v>
      </c>
      <c r="H47" s="238">
        <v>18</v>
      </c>
      <c r="I47" s="42"/>
      <c r="J47" s="66">
        <f t="shared" ref="J47:J52" si="6">G47*H47+I47*G47</f>
        <v>27132.12</v>
      </c>
      <c r="K47" s="248" t="s">
        <v>385</v>
      </c>
      <c r="N47" s="184">
        <v>810080</v>
      </c>
      <c r="O47" s="451" t="s">
        <v>75</v>
      </c>
      <c r="P47" s="161" t="s">
        <v>77</v>
      </c>
      <c r="Q47" s="162" t="s">
        <v>78</v>
      </c>
      <c r="R47" s="169" t="s">
        <v>79</v>
      </c>
      <c r="S47" s="229">
        <v>1507.3400000000001</v>
      </c>
      <c r="T47" s="164">
        <v>0</v>
      </c>
      <c r="U47" s="236">
        <v>19.09846334965864</v>
      </c>
      <c r="V47" s="165">
        <f t="shared" ref="V47:V52" si="7">S47*T47+U47*S47</f>
        <v>28787.87774547446</v>
      </c>
      <c r="Y47" s="61">
        <v>810080</v>
      </c>
      <c r="Z47" s="410" t="s">
        <v>75</v>
      </c>
      <c r="AA47" s="38" t="s">
        <v>77</v>
      </c>
      <c r="AB47" s="39" t="s">
        <v>78</v>
      </c>
      <c r="AC47" s="62" t="s">
        <v>79</v>
      </c>
      <c r="AD47" s="284">
        <v>1798</v>
      </c>
      <c r="AE47" s="41">
        <v>15</v>
      </c>
      <c r="AF47" s="42">
        <v>35</v>
      </c>
      <c r="AG47" s="66">
        <f t="shared" ref="AG47:AG52" si="8">AD47*AE47+AF47*AD47</f>
        <v>89900</v>
      </c>
    </row>
    <row r="48" spans="2:33" x14ac:dyDescent="0.35">
      <c r="B48" s="61">
        <v>810030</v>
      </c>
      <c r="C48" s="410"/>
      <c r="D48" s="38" t="s">
        <v>80</v>
      </c>
      <c r="E48" s="63" t="s">
        <v>81</v>
      </c>
      <c r="F48" s="62" t="s">
        <v>79</v>
      </c>
      <c r="G48" s="223">
        <v>1707.15</v>
      </c>
      <c r="H48" s="238">
        <v>10</v>
      </c>
      <c r="I48" s="247">
        <v>49</v>
      </c>
      <c r="J48" s="66">
        <f t="shared" si="6"/>
        <v>100721.85</v>
      </c>
      <c r="K48" s="117" t="s">
        <v>373</v>
      </c>
      <c r="N48" s="184">
        <v>810030</v>
      </c>
      <c r="O48" s="429"/>
      <c r="P48" s="161" t="s">
        <v>80</v>
      </c>
      <c r="Q48" s="185" t="s">
        <v>354</v>
      </c>
      <c r="R48" s="169" t="s">
        <v>79</v>
      </c>
      <c r="S48" s="229">
        <v>400.18400000000003</v>
      </c>
      <c r="T48" s="236">
        <v>62.525783074844838</v>
      </c>
      <c r="U48" s="236">
        <v>63.658540458012737</v>
      </c>
      <c r="V48" s="165">
        <f t="shared" si="7"/>
        <v>50496.947328673079</v>
      </c>
      <c r="Y48" s="61">
        <v>810030</v>
      </c>
      <c r="Z48" s="410"/>
      <c r="AA48" s="38" t="s">
        <v>80</v>
      </c>
      <c r="AB48" s="63" t="s">
        <v>81</v>
      </c>
      <c r="AC48" s="62" t="s">
        <v>79</v>
      </c>
      <c r="AD48" s="40">
        <v>1798</v>
      </c>
      <c r="AE48" s="41">
        <v>115</v>
      </c>
      <c r="AF48" s="42">
        <v>70</v>
      </c>
      <c r="AG48" s="66">
        <f t="shared" si="8"/>
        <v>332630</v>
      </c>
    </row>
    <row r="49" spans="2:33" ht="26" x14ac:dyDescent="0.35">
      <c r="B49" s="61">
        <v>810041</v>
      </c>
      <c r="C49" s="410"/>
      <c r="D49" s="38" t="s">
        <v>82</v>
      </c>
      <c r="E49" s="63" t="s">
        <v>83</v>
      </c>
      <c r="F49" s="62" t="s">
        <v>79</v>
      </c>
      <c r="G49" s="40">
        <v>151.91</v>
      </c>
      <c r="H49" s="238">
        <v>20</v>
      </c>
      <c r="I49" s="246">
        <v>32.5</v>
      </c>
      <c r="J49" s="66">
        <f t="shared" si="6"/>
        <v>7975.2749999999996</v>
      </c>
      <c r="K49" s="258"/>
      <c r="N49" s="184">
        <v>810041</v>
      </c>
      <c r="O49" s="429"/>
      <c r="P49" s="161" t="s">
        <v>82</v>
      </c>
      <c r="Q49" s="162" t="s">
        <v>83</v>
      </c>
      <c r="R49" s="169" t="s">
        <v>79</v>
      </c>
      <c r="S49" s="163">
        <v>159</v>
      </c>
      <c r="T49" s="236">
        <v>17.588322387983332</v>
      </c>
      <c r="U49" s="236">
        <v>70.41068680045349</v>
      </c>
      <c r="V49" s="165">
        <f t="shared" si="7"/>
        <v>13991.842460961454</v>
      </c>
      <c r="W49" s="186"/>
      <c r="Y49" s="61">
        <v>810041</v>
      </c>
      <c r="Z49" s="410"/>
      <c r="AA49" s="38" t="s">
        <v>82</v>
      </c>
      <c r="AB49" s="39" t="s">
        <v>83</v>
      </c>
      <c r="AC49" s="62" t="s">
        <v>79</v>
      </c>
      <c r="AD49" s="283">
        <v>72</v>
      </c>
      <c r="AE49" s="41">
        <v>21</v>
      </c>
      <c r="AF49" s="42">
        <v>25</v>
      </c>
      <c r="AG49" s="66">
        <f t="shared" si="8"/>
        <v>3312</v>
      </c>
    </row>
    <row r="50" spans="2:33" x14ac:dyDescent="0.35">
      <c r="B50" s="61">
        <v>810041</v>
      </c>
      <c r="C50" s="410"/>
      <c r="D50" s="38" t="s">
        <v>84</v>
      </c>
      <c r="E50" s="63" t="s">
        <v>85</v>
      </c>
      <c r="F50" s="62" t="str">
        <f>F49</f>
        <v>m²</v>
      </c>
      <c r="G50" s="223">
        <v>2260.96</v>
      </c>
      <c r="H50" s="238">
        <v>21</v>
      </c>
      <c r="I50" s="246">
        <v>40</v>
      </c>
      <c r="J50" s="66">
        <f t="shared" si="6"/>
        <v>137918.56</v>
      </c>
      <c r="N50" s="184">
        <v>810041</v>
      </c>
      <c r="O50" s="429"/>
      <c r="P50" s="161" t="s">
        <v>84</v>
      </c>
      <c r="Q50" s="162" t="s">
        <v>85</v>
      </c>
      <c r="R50" s="169" t="str">
        <f>R49</f>
        <v>m²</v>
      </c>
      <c r="S50" s="232">
        <v>2260.9639999999999</v>
      </c>
      <c r="T50" s="164">
        <v>19.09846334965864</v>
      </c>
      <c r="U50" s="164">
        <v>22.918156019590366</v>
      </c>
      <c r="V50" s="165">
        <f t="shared" si="7"/>
        <v>94998.063795574708</v>
      </c>
      <c r="Y50" s="61">
        <v>810041</v>
      </c>
      <c r="Z50" s="410"/>
      <c r="AA50" s="38" t="s">
        <v>84</v>
      </c>
      <c r="AB50" s="39" t="s">
        <v>85</v>
      </c>
      <c r="AC50" s="62" t="str">
        <f>AC49</f>
        <v>m²</v>
      </c>
      <c r="AD50" s="283">
        <v>1798</v>
      </c>
      <c r="AE50" s="41">
        <v>170</v>
      </c>
      <c r="AF50" s="42">
        <v>90</v>
      </c>
      <c r="AG50" s="66">
        <f t="shared" si="8"/>
        <v>467480</v>
      </c>
    </row>
    <row r="51" spans="2:33" ht="26" x14ac:dyDescent="0.35">
      <c r="B51" s="61">
        <v>810041</v>
      </c>
      <c r="C51" s="410"/>
      <c r="D51" s="38" t="s">
        <v>86</v>
      </c>
      <c r="E51" s="63" t="s">
        <v>87</v>
      </c>
      <c r="F51" s="62" t="str">
        <f>F50</f>
        <v>m²</v>
      </c>
      <c r="G51" s="40">
        <v>101.33</v>
      </c>
      <c r="H51" s="115">
        <v>19</v>
      </c>
      <c r="I51" s="246">
        <v>32.5</v>
      </c>
      <c r="J51" s="66">
        <f t="shared" si="6"/>
        <v>5218.4949999999999</v>
      </c>
      <c r="N51" s="184">
        <v>810041</v>
      </c>
      <c r="O51" s="429"/>
      <c r="P51" s="161" t="s">
        <v>86</v>
      </c>
      <c r="Q51" s="162" t="s">
        <v>87</v>
      </c>
      <c r="R51" s="169" t="str">
        <f>R50</f>
        <v>m²</v>
      </c>
      <c r="S51" s="187">
        <v>320.14720000000005</v>
      </c>
      <c r="T51" s="164">
        <v>16.442414587003814</v>
      </c>
      <c r="U51" s="164">
        <v>64.283899757883006</v>
      </c>
      <c r="V51" s="165">
        <f t="shared" si="7"/>
        <v>25844.303503835352</v>
      </c>
      <c r="W51" s="186"/>
      <c r="Y51" s="61">
        <v>810041</v>
      </c>
      <c r="Z51" s="410"/>
      <c r="AA51" s="38" t="s">
        <v>86</v>
      </c>
      <c r="AB51" s="39" t="s">
        <v>87</v>
      </c>
      <c r="AC51" s="62" t="str">
        <f>AC50</f>
        <v>m²</v>
      </c>
      <c r="AD51" s="283">
        <v>235</v>
      </c>
      <c r="AE51" s="41">
        <v>29</v>
      </c>
      <c r="AF51" s="42">
        <v>30</v>
      </c>
      <c r="AG51" s="66">
        <f t="shared" si="8"/>
        <v>13865</v>
      </c>
    </row>
    <row r="52" spans="2:33" ht="26" x14ac:dyDescent="0.35">
      <c r="B52" s="61">
        <v>810031</v>
      </c>
      <c r="C52" s="410"/>
      <c r="D52" s="64" t="s">
        <v>88</v>
      </c>
      <c r="E52" s="63" t="s">
        <v>89</v>
      </c>
      <c r="F52" s="62" t="s">
        <v>90</v>
      </c>
      <c r="G52" s="40">
        <v>48</v>
      </c>
      <c r="H52" s="238">
        <v>580</v>
      </c>
      <c r="I52" s="42"/>
      <c r="J52" s="66">
        <f t="shared" si="6"/>
        <v>27840</v>
      </c>
      <c r="K52" s="109" t="s">
        <v>278</v>
      </c>
      <c r="N52" s="184">
        <v>810031</v>
      </c>
      <c r="O52" s="429"/>
      <c r="P52" s="188" t="s">
        <v>88</v>
      </c>
      <c r="Q52" s="162" t="s">
        <v>89</v>
      </c>
      <c r="R52" s="169" t="s">
        <v>90</v>
      </c>
      <c r="S52" s="229">
        <v>10</v>
      </c>
      <c r="T52" s="236">
        <v>954.92316748293194</v>
      </c>
      <c r="U52" s="164">
        <v>0</v>
      </c>
      <c r="V52" s="165">
        <f t="shared" si="7"/>
        <v>9549.2316748293197</v>
      </c>
      <c r="Y52" s="61">
        <v>810031</v>
      </c>
      <c r="Z52" s="410"/>
      <c r="AA52" s="64" t="s">
        <v>88</v>
      </c>
      <c r="AB52" s="39" t="s">
        <v>89</v>
      </c>
      <c r="AC52" s="62" t="s">
        <v>90</v>
      </c>
      <c r="AD52" s="283">
        <v>1</v>
      </c>
      <c r="AE52" s="41">
        <v>2300</v>
      </c>
      <c r="AF52" s="42">
        <v>900</v>
      </c>
      <c r="AG52" s="66">
        <f t="shared" si="8"/>
        <v>3200</v>
      </c>
    </row>
    <row r="53" spans="2:33" x14ac:dyDescent="0.35">
      <c r="B53" s="61"/>
      <c r="C53" s="410"/>
      <c r="D53" s="53"/>
      <c r="E53" s="55" t="s">
        <v>91</v>
      </c>
      <c r="F53" s="56"/>
      <c r="G53" s="57"/>
      <c r="H53" s="58"/>
      <c r="I53" s="59"/>
      <c r="J53" s="60"/>
      <c r="N53" s="184"/>
      <c r="O53" s="429"/>
      <c r="P53" s="274"/>
      <c r="Q53" s="273" t="s">
        <v>91</v>
      </c>
      <c r="R53" s="272"/>
      <c r="S53" s="180"/>
      <c r="T53" s="181"/>
      <c r="U53" s="182"/>
      <c r="V53" s="183"/>
      <c r="Y53" s="61"/>
      <c r="Z53" s="410"/>
      <c r="AA53" s="53"/>
      <c r="AB53" s="55" t="s">
        <v>91</v>
      </c>
      <c r="AC53" s="56"/>
      <c r="AD53" s="57"/>
      <c r="AE53" s="58"/>
      <c r="AF53" s="59"/>
      <c r="AG53" s="60"/>
    </row>
    <row r="54" spans="2:33" ht="29" x14ac:dyDescent="0.35">
      <c r="B54" s="61">
        <v>810041</v>
      </c>
      <c r="C54" s="410"/>
      <c r="D54" s="38" t="s">
        <v>92</v>
      </c>
      <c r="E54" s="63" t="s">
        <v>93</v>
      </c>
      <c r="F54" s="62" t="s">
        <v>79</v>
      </c>
      <c r="G54" s="222">
        <v>825.22</v>
      </c>
      <c r="H54" s="238"/>
      <c r="I54" s="42">
        <v>25</v>
      </c>
      <c r="J54" s="66">
        <f t="shared" ref="J54:J63" si="9">G54*H54+I54*G54</f>
        <v>20630.5</v>
      </c>
      <c r="K54" s="248" t="s">
        <v>384</v>
      </c>
      <c r="N54" s="184">
        <v>810041</v>
      </c>
      <c r="O54" s="429"/>
      <c r="P54" s="161" t="s">
        <v>92</v>
      </c>
      <c r="Q54" s="162" t="s">
        <v>93</v>
      </c>
      <c r="R54" s="169" t="s">
        <v>79</v>
      </c>
      <c r="S54" s="229">
        <v>4362.3799999999992</v>
      </c>
      <c r="T54" s="164">
        <v>0</v>
      </c>
      <c r="U54" s="236">
        <v>12.732308899772427</v>
      </c>
      <c r="V54" s="165">
        <f t="shared" ref="V54:V63" si="10">S54*T54+U54*S54</f>
        <v>55543.169698189231</v>
      </c>
      <c r="Y54" s="61">
        <v>810041</v>
      </c>
      <c r="Z54" s="410"/>
      <c r="AA54" s="38" t="s">
        <v>92</v>
      </c>
      <c r="AB54" s="39" t="s">
        <v>93</v>
      </c>
      <c r="AC54" s="62" t="s">
        <v>79</v>
      </c>
      <c r="AD54" s="283">
        <f>922+794.2+59.69+52</f>
        <v>1827.89</v>
      </c>
      <c r="AE54" s="41">
        <v>15</v>
      </c>
      <c r="AF54" s="42">
        <v>35</v>
      </c>
      <c r="AG54" s="66">
        <f>AD54*AE54+AF54*AD54</f>
        <v>91394.5</v>
      </c>
    </row>
    <row r="55" spans="2:33" ht="39" x14ac:dyDescent="0.35">
      <c r="B55" s="61">
        <v>810041</v>
      </c>
      <c r="C55" s="410"/>
      <c r="D55" s="38" t="s">
        <v>94</v>
      </c>
      <c r="E55" s="63" t="s">
        <v>95</v>
      </c>
      <c r="F55" s="62" t="s">
        <v>79</v>
      </c>
      <c r="G55" s="110">
        <f>2163.15-83.8</f>
        <v>2079.35</v>
      </c>
      <c r="H55" s="115"/>
      <c r="I55" s="247">
        <v>55</v>
      </c>
      <c r="J55" s="66">
        <f t="shared" si="9"/>
        <v>114364.25</v>
      </c>
      <c r="K55" s="117" t="s">
        <v>284</v>
      </c>
      <c r="N55" s="184">
        <v>810041</v>
      </c>
      <c r="O55" s="429"/>
      <c r="P55" s="161" t="s">
        <v>94</v>
      </c>
      <c r="Q55" s="185" t="s">
        <v>95</v>
      </c>
      <c r="R55" s="169" t="s">
        <v>79</v>
      </c>
      <c r="S55" s="232">
        <v>1375.4499999999998</v>
      </c>
      <c r="T55" s="237">
        <v>0</v>
      </c>
      <c r="U55" s="164">
        <v>55.938412346610839</v>
      </c>
      <c r="V55" s="165">
        <f t="shared" si="10"/>
        <v>76940.489262145871</v>
      </c>
      <c r="W55" s="248" t="s">
        <v>373</v>
      </c>
      <c r="Y55" s="61">
        <v>810041</v>
      </c>
      <c r="Z55" s="410"/>
      <c r="AA55" s="38" t="s">
        <v>94</v>
      </c>
      <c r="AB55" s="63" t="s">
        <v>95</v>
      </c>
      <c r="AC55" s="62" t="s">
        <v>79</v>
      </c>
      <c r="AD55" s="283">
        <f>AD54</f>
        <v>1827.89</v>
      </c>
      <c r="AE55" s="41">
        <v>125</v>
      </c>
      <c r="AF55" s="42">
        <v>80</v>
      </c>
      <c r="AG55" s="66">
        <f>AD55*AE55+AF55*AD55</f>
        <v>374717.45</v>
      </c>
    </row>
    <row r="56" spans="2:33" x14ac:dyDescent="0.35">
      <c r="B56" s="61"/>
      <c r="C56" s="410"/>
      <c r="D56" s="38" t="s">
        <v>96</v>
      </c>
      <c r="E56" s="63" t="s">
        <v>344</v>
      </c>
      <c r="F56" s="62" t="s">
        <v>79</v>
      </c>
      <c r="G56" s="40">
        <v>62.92</v>
      </c>
      <c r="H56" s="224">
        <v>450</v>
      </c>
      <c r="I56" s="225"/>
      <c r="J56" s="66">
        <f t="shared" si="9"/>
        <v>28314</v>
      </c>
      <c r="N56" s="184"/>
      <c r="O56" s="429"/>
      <c r="P56" s="161" t="s">
        <v>96</v>
      </c>
      <c r="Q56" s="63" t="s">
        <v>344</v>
      </c>
      <c r="R56" s="62" t="s">
        <v>79</v>
      </c>
      <c r="S56" s="40">
        <v>63</v>
      </c>
      <c r="T56" s="224">
        <v>12171.756268151046</v>
      </c>
      <c r="U56" s="225">
        <v>4137.0454692585554</v>
      </c>
      <c r="V56" s="165">
        <f t="shared" si="10"/>
        <v>1027454.5094568048</v>
      </c>
      <c r="Y56" s="61"/>
      <c r="Z56" s="410"/>
      <c r="AA56" s="38" t="s">
        <v>96</v>
      </c>
      <c r="AB56" s="63"/>
      <c r="AC56" s="62"/>
      <c r="AD56" s="283"/>
      <c r="AE56" s="285"/>
      <c r="AF56" s="286"/>
      <c r="AG56" s="66"/>
    </row>
    <row r="57" spans="2:33" ht="29" x14ac:dyDescent="0.35">
      <c r="B57" s="61">
        <v>810041</v>
      </c>
      <c r="C57" s="410"/>
      <c r="D57" s="38" t="s">
        <v>97</v>
      </c>
      <c r="E57" s="63" t="s">
        <v>98</v>
      </c>
      <c r="F57" s="62" t="s">
        <v>79</v>
      </c>
      <c r="G57" s="223">
        <v>3171.75</v>
      </c>
      <c r="H57" s="115">
        <v>16</v>
      </c>
      <c r="I57" s="246">
        <v>32.5</v>
      </c>
      <c r="J57" s="66">
        <f t="shared" si="9"/>
        <v>153829.875</v>
      </c>
      <c r="K57" s="248" t="s">
        <v>383</v>
      </c>
      <c r="N57" s="184">
        <v>810041</v>
      </c>
      <c r="O57" s="429"/>
      <c r="P57" s="161" t="s">
        <v>97</v>
      </c>
      <c r="Q57" s="185" t="s">
        <v>98</v>
      </c>
      <c r="R57" s="169" t="s">
        <v>79</v>
      </c>
      <c r="S57" s="232">
        <v>1776.19</v>
      </c>
      <c r="T57" s="236">
        <v>31.830772249431067</v>
      </c>
      <c r="U57" s="164">
        <v>22.918156019590366</v>
      </c>
      <c r="V57" s="165">
        <f t="shared" si="10"/>
        <v>97244.49890215318</v>
      </c>
      <c r="Y57" s="61">
        <v>810041</v>
      </c>
      <c r="Z57" s="410"/>
      <c r="AA57" s="38" t="s">
        <v>97</v>
      </c>
      <c r="AB57" s="63" t="s">
        <v>98</v>
      </c>
      <c r="AC57" s="62" t="s">
        <v>79</v>
      </c>
      <c r="AD57" s="283">
        <v>922</v>
      </c>
      <c r="AE57" s="41">
        <v>21</v>
      </c>
      <c r="AF57" s="42">
        <v>30</v>
      </c>
      <c r="AG57" s="66">
        <f t="shared" ref="AG57:AG63" si="11">AD57*AE57+AF57*AD57</f>
        <v>47022</v>
      </c>
    </row>
    <row r="58" spans="2:33" ht="28.5" customHeight="1" x14ac:dyDescent="0.35">
      <c r="B58" s="61">
        <v>810041</v>
      </c>
      <c r="C58" s="410"/>
      <c r="D58" s="38" t="s">
        <v>99</v>
      </c>
      <c r="E58" s="63" t="s">
        <v>374</v>
      </c>
      <c r="F58" s="62" t="s">
        <v>79</v>
      </c>
      <c r="G58" s="226">
        <v>0</v>
      </c>
      <c r="H58" s="250">
        <v>16</v>
      </c>
      <c r="I58" s="249">
        <v>28</v>
      </c>
      <c r="J58" s="66">
        <f t="shared" si="9"/>
        <v>0</v>
      </c>
      <c r="N58" s="184">
        <v>810041</v>
      </c>
      <c r="O58" s="429"/>
      <c r="P58" s="161" t="s">
        <v>99</v>
      </c>
      <c r="Q58" s="63" t="s">
        <v>374</v>
      </c>
      <c r="R58" s="169" t="s">
        <v>79</v>
      </c>
      <c r="S58" s="233"/>
      <c r="T58" s="237">
        <v>31.830772249431067</v>
      </c>
      <c r="U58" s="237">
        <v>22.918156019590366</v>
      </c>
      <c r="V58" s="165">
        <f t="shared" si="10"/>
        <v>0</v>
      </c>
      <c r="Y58" s="61">
        <v>810041</v>
      </c>
      <c r="Z58" s="410"/>
      <c r="AA58" s="38" t="s">
        <v>99</v>
      </c>
      <c r="AB58" s="63" t="s">
        <v>100</v>
      </c>
      <c r="AC58" s="62" t="s">
        <v>79</v>
      </c>
      <c r="AD58" s="40">
        <v>1</v>
      </c>
      <c r="AE58" s="41">
        <v>35000</v>
      </c>
      <c r="AF58" s="42">
        <v>25000</v>
      </c>
      <c r="AG58" s="66">
        <f t="shared" si="11"/>
        <v>60000</v>
      </c>
    </row>
    <row r="59" spans="2:33" ht="26" x14ac:dyDescent="0.35">
      <c r="B59" s="61">
        <v>810230</v>
      </c>
      <c r="C59" s="410"/>
      <c r="D59" s="38" t="s">
        <v>101</v>
      </c>
      <c r="E59" s="63" t="s">
        <v>102</v>
      </c>
      <c r="F59" s="62" t="s">
        <v>103</v>
      </c>
      <c r="G59" s="222">
        <f>425</f>
        <v>425</v>
      </c>
      <c r="H59" s="41">
        <v>5</v>
      </c>
      <c r="I59" s="42">
        <v>15</v>
      </c>
      <c r="J59" s="66">
        <f t="shared" si="9"/>
        <v>8500</v>
      </c>
      <c r="N59" s="184">
        <v>810230</v>
      </c>
      <c r="O59" s="429"/>
      <c r="P59" s="161" t="s">
        <v>101</v>
      </c>
      <c r="Q59" s="185" t="s">
        <v>300</v>
      </c>
      <c r="R59" s="169" t="s">
        <v>103</v>
      </c>
      <c r="S59" s="229">
        <v>2919</v>
      </c>
      <c r="T59" s="236">
        <v>5.0929235599089706</v>
      </c>
      <c r="U59" s="236">
        <v>8.9126162298406992</v>
      </c>
      <c r="V59" s="165">
        <f t="shared" si="10"/>
        <v>40882.170646279286</v>
      </c>
      <c r="Y59" s="61">
        <v>810230</v>
      </c>
      <c r="Z59" s="410"/>
      <c r="AA59" s="38" t="s">
        <v>101</v>
      </c>
      <c r="AB59" s="63" t="s">
        <v>102</v>
      </c>
      <c r="AC59" s="62" t="s">
        <v>103</v>
      </c>
      <c r="AD59" s="40">
        <v>1260</v>
      </c>
      <c r="AE59" s="41"/>
      <c r="AF59" s="42">
        <v>30</v>
      </c>
      <c r="AG59" s="66">
        <f t="shared" si="11"/>
        <v>37800</v>
      </c>
    </row>
    <row r="60" spans="2:33" ht="29" x14ac:dyDescent="0.35">
      <c r="B60" s="61">
        <v>810041</v>
      </c>
      <c r="C60" s="410"/>
      <c r="D60" s="38" t="s">
        <v>104</v>
      </c>
      <c r="E60" s="63" t="s">
        <v>105</v>
      </c>
      <c r="F60" s="62" t="s">
        <v>103</v>
      </c>
      <c r="G60" s="222">
        <v>0</v>
      </c>
      <c r="H60" s="224"/>
      <c r="I60" s="225"/>
      <c r="J60" s="66">
        <f t="shared" si="9"/>
        <v>0</v>
      </c>
      <c r="K60" s="248" t="s">
        <v>382</v>
      </c>
      <c r="N60" s="184">
        <v>810041</v>
      </c>
      <c r="O60" s="429"/>
      <c r="P60" s="161" t="s">
        <v>104</v>
      </c>
      <c r="Q60" s="185" t="s">
        <v>301</v>
      </c>
      <c r="R60" s="169" t="s">
        <v>103</v>
      </c>
      <c r="S60" s="229">
        <v>2919</v>
      </c>
      <c r="T60" s="236">
        <v>7.6393853398634555</v>
      </c>
      <c r="U60" s="236">
        <v>8.9126162298406992</v>
      </c>
      <c r="V60" s="165">
        <f t="shared" si="10"/>
        <v>48315.292581966423</v>
      </c>
      <c r="Y60" s="61">
        <v>810041</v>
      </c>
      <c r="Z60" s="410"/>
      <c r="AA60" s="38" t="s">
        <v>104</v>
      </c>
      <c r="AB60" s="63" t="s">
        <v>105</v>
      </c>
      <c r="AC60" s="62" t="s">
        <v>103</v>
      </c>
      <c r="AD60" s="40">
        <v>751</v>
      </c>
      <c r="AE60" s="41">
        <v>15</v>
      </c>
      <c r="AF60" s="42">
        <v>40</v>
      </c>
      <c r="AG60" s="66">
        <f t="shared" si="11"/>
        <v>41305</v>
      </c>
    </row>
    <row r="61" spans="2:33" x14ac:dyDescent="0.35">
      <c r="B61" s="61">
        <v>810210</v>
      </c>
      <c r="C61" s="410"/>
      <c r="D61" s="38" t="s">
        <v>106</v>
      </c>
      <c r="E61" s="63" t="s">
        <v>107</v>
      </c>
      <c r="F61" s="111" t="s">
        <v>228</v>
      </c>
      <c r="G61" s="110">
        <f>32.91+50.89</f>
        <v>83.8</v>
      </c>
      <c r="H61" s="238">
        <v>200</v>
      </c>
      <c r="I61" s="246">
        <v>30</v>
      </c>
      <c r="J61" s="66">
        <f t="shared" si="9"/>
        <v>19274</v>
      </c>
      <c r="N61" s="184">
        <v>810210</v>
      </c>
      <c r="O61" s="429"/>
      <c r="P61" s="161" t="s">
        <v>106</v>
      </c>
      <c r="Q61" s="185" t="s">
        <v>107</v>
      </c>
      <c r="R61" s="251" t="s">
        <v>79</v>
      </c>
      <c r="S61" s="229">
        <v>125.76</v>
      </c>
      <c r="T61" s="236">
        <v>1260.4985810774701</v>
      </c>
      <c r="U61" s="236">
        <v>840.33238738498017</v>
      </c>
      <c r="V61" s="165">
        <f t="shared" si="10"/>
        <v>264200.50259383774</v>
      </c>
      <c r="Y61" s="61">
        <v>810210</v>
      </c>
      <c r="Z61" s="410"/>
      <c r="AA61" s="38" t="s">
        <v>106</v>
      </c>
      <c r="AB61" s="63" t="s">
        <v>107</v>
      </c>
      <c r="AC61" s="62" t="s">
        <v>46</v>
      </c>
      <c r="AD61" s="40">
        <v>1</v>
      </c>
      <c r="AE61" s="41">
        <v>28000</v>
      </c>
      <c r="AF61" s="42">
        <v>18000</v>
      </c>
      <c r="AG61" s="66">
        <f t="shared" si="11"/>
        <v>46000</v>
      </c>
    </row>
    <row r="62" spans="2:33" x14ac:dyDescent="0.35">
      <c r="B62" s="61">
        <v>810210</v>
      </c>
      <c r="C62" s="410"/>
      <c r="D62" s="38" t="s">
        <v>108</v>
      </c>
      <c r="E62" s="63" t="s">
        <v>109</v>
      </c>
      <c r="F62" s="62" t="s">
        <v>228</v>
      </c>
      <c r="G62" s="110">
        <f>G61</f>
        <v>83.8</v>
      </c>
      <c r="H62" s="238">
        <v>120</v>
      </c>
      <c r="I62" s="246">
        <v>30</v>
      </c>
      <c r="J62" s="66">
        <f t="shared" si="9"/>
        <v>12570</v>
      </c>
      <c r="N62" s="184">
        <v>810210</v>
      </c>
      <c r="O62" s="429"/>
      <c r="P62" s="161" t="s">
        <v>108</v>
      </c>
      <c r="Q62" s="185" t="s">
        <v>109</v>
      </c>
      <c r="R62" s="251" t="s">
        <v>79</v>
      </c>
      <c r="S62" s="229">
        <v>125.76</v>
      </c>
      <c r="T62" s="236">
        <v>85.943085073463877</v>
      </c>
      <c r="U62" s="236">
        <v>31.830772249431071</v>
      </c>
      <c r="V62" s="165">
        <f t="shared" si="10"/>
        <v>14811.24029692727</v>
      </c>
      <c r="Y62" s="61">
        <v>810210</v>
      </c>
      <c r="Z62" s="410"/>
      <c r="AA62" s="38" t="s">
        <v>108</v>
      </c>
      <c r="AB62" s="63" t="s">
        <v>109</v>
      </c>
      <c r="AC62" s="62" t="s">
        <v>46</v>
      </c>
      <c r="AD62" s="40">
        <v>1</v>
      </c>
      <c r="AE62" s="41">
        <v>9500</v>
      </c>
      <c r="AF62" s="42">
        <v>8000</v>
      </c>
      <c r="AG62" s="66">
        <f t="shared" si="11"/>
        <v>17500</v>
      </c>
    </row>
    <row r="63" spans="2:33" ht="26" x14ac:dyDescent="0.35">
      <c r="B63" s="61">
        <v>810041</v>
      </c>
      <c r="C63" s="410"/>
      <c r="D63" s="38" t="s">
        <v>110</v>
      </c>
      <c r="E63" s="63" t="s">
        <v>111</v>
      </c>
      <c r="F63" s="65" t="s">
        <v>79</v>
      </c>
      <c r="G63" s="223">
        <v>45</v>
      </c>
      <c r="H63" s="41">
        <v>19</v>
      </c>
      <c r="I63" s="42">
        <v>32.5</v>
      </c>
      <c r="J63" s="66">
        <f t="shared" si="9"/>
        <v>2317.5</v>
      </c>
      <c r="N63" s="184">
        <v>810041</v>
      </c>
      <c r="O63" s="429"/>
      <c r="P63" s="161" t="s">
        <v>110</v>
      </c>
      <c r="Q63" s="185" t="s">
        <v>111</v>
      </c>
      <c r="R63" s="190" t="s">
        <v>79</v>
      </c>
      <c r="S63" s="232">
        <v>17.16</v>
      </c>
      <c r="T63" s="236">
        <v>31.830772249431067</v>
      </c>
      <c r="U63" s="164">
        <v>22.918156019590366</v>
      </c>
      <c r="V63" s="165">
        <f t="shared" si="10"/>
        <v>939.49160909640773</v>
      </c>
      <c r="Y63" s="61">
        <v>810041</v>
      </c>
      <c r="Z63" s="410"/>
      <c r="AA63" s="38" t="s">
        <v>110</v>
      </c>
      <c r="AB63" s="63" t="s">
        <v>111</v>
      </c>
      <c r="AC63" s="65" t="s">
        <v>79</v>
      </c>
      <c r="AD63" s="283">
        <v>794.2</v>
      </c>
      <c r="AE63" s="41">
        <v>22</v>
      </c>
      <c r="AF63" s="42">
        <v>25</v>
      </c>
      <c r="AG63" s="66">
        <f t="shared" si="11"/>
        <v>37327.4</v>
      </c>
    </row>
    <row r="64" spans="2:33" x14ac:dyDescent="0.35">
      <c r="B64" s="61">
        <v>810051</v>
      </c>
      <c r="C64" s="410"/>
      <c r="D64" s="53"/>
      <c r="E64" s="55" t="s">
        <v>112</v>
      </c>
      <c r="F64" s="56"/>
      <c r="G64" s="57"/>
      <c r="H64" s="58"/>
      <c r="I64" s="59"/>
      <c r="J64" s="60"/>
      <c r="N64" s="184">
        <v>810051</v>
      </c>
      <c r="O64" s="429"/>
      <c r="P64" s="274"/>
      <c r="Q64" s="273" t="s">
        <v>112</v>
      </c>
      <c r="R64" s="272"/>
      <c r="S64" s="180"/>
      <c r="T64" s="181"/>
      <c r="U64" s="182"/>
      <c r="V64" s="183"/>
      <c r="Y64" s="61">
        <v>810051</v>
      </c>
      <c r="Z64" s="410"/>
      <c r="AA64" s="53"/>
      <c r="AB64" s="55" t="s">
        <v>112</v>
      </c>
      <c r="AC64" s="56"/>
      <c r="AD64" s="57"/>
      <c r="AE64" s="58"/>
      <c r="AF64" s="59"/>
      <c r="AG64" s="60"/>
    </row>
    <row r="65" spans="2:33" x14ac:dyDescent="0.35">
      <c r="B65" s="61">
        <v>810051</v>
      </c>
      <c r="C65" s="410"/>
      <c r="D65" s="38" t="s">
        <v>113</v>
      </c>
      <c r="E65" s="63" t="s">
        <v>114</v>
      </c>
      <c r="F65" s="62" t="s">
        <v>79</v>
      </c>
      <c r="G65" s="223">
        <v>3444.25</v>
      </c>
      <c r="H65" s="41">
        <v>0</v>
      </c>
      <c r="I65" s="42">
        <v>27</v>
      </c>
      <c r="J65" s="66">
        <f t="shared" ref="J65:J71" si="12">G65*H65+I65*G65</f>
        <v>92994.75</v>
      </c>
      <c r="K65" s="109" t="s">
        <v>241</v>
      </c>
      <c r="N65" s="184">
        <v>810051</v>
      </c>
      <c r="O65" s="429"/>
      <c r="P65" s="161" t="s">
        <v>113</v>
      </c>
      <c r="Q65" s="162" t="s">
        <v>114</v>
      </c>
      <c r="R65" s="169" t="s">
        <v>79</v>
      </c>
      <c r="S65" s="229">
        <v>4362.3799999999992</v>
      </c>
      <c r="T65" s="164">
        <v>0</v>
      </c>
      <c r="U65" s="164">
        <v>12.732308899772427</v>
      </c>
      <c r="V65" s="165">
        <f t="shared" ref="V65:V71" si="13">S65*T65+U65*S65</f>
        <v>55543.169698189231</v>
      </c>
      <c r="Y65" s="61">
        <v>810051</v>
      </c>
      <c r="Z65" s="410"/>
      <c r="AA65" s="38" t="s">
        <v>113</v>
      </c>
      <c r="AB65" s="39" t="s">
        <v>114</v>
      </c>
      <c r="AC65" s="62" t="s">
        <v>79</v>
      </c>
      <c r="AD65" s="283">
        <f>AD54</f>
        <v>1827.89</v>
      </c>
      <c r="AE65" s="41">
        <v>15</v>
      </c>
      <c r="AF65" s="42">
        <v>35</v>
      </c>
      <c r="AG65" s="66">
        <f t="shared" ref="AG65:AG70" si="14">AD65*AE65+AF65*AD65</f>
        <v>91394.5</v>
      </c>
    </row>
    <row r="66" spans="2:33" x14ac:dyDescent="0.35">
      <c r="B66" s="61">
        <v>810051</v>
      </c>
      <c r="C66" s="410"/>
      <c r="D66" s="38" t="s">
        <v>115</v>
      </c>
      <c r="E66" s="63" t="s">
        <v>272</v>
      </c>
      <c r="F66" s="62" t="s">
        <v>79</v>
      </c>
      <c r="G66" s="223">
        <f>G65</f>
        <v>3444.25</v>
      </c>
      <c r="H66" s="238">
        <v>20</v>
      </c>
      <c r="I66" s="246">
        <v>40</v>
      </c>
      <c r="J66" s="66">
        <f t="shared" si="12"/>
        <v>206655</v>
      </c>
      <c r="N66" s="184">
        <v>810051</v>
      </c>
      <c r="O66" s="429"/>
      <c r="P66" s="161" t="s">
        <v>115</v>
      </c>
      <c r="Q66" s="162" t="s">
        <v>302</v>
      </c>
      <c r="R66" s="169" t="s">
        <v>79</v>
      </c>
      <c r="S66" s="229">
        <v>4362.3799999999992</v>
      </c>
      <c r="T66" s="236">
        <v>56.982559765770297</v>
      </c>
      <c r="U66" s="236">
        <v>58.598383351325765</v>
      </c>
      <c r="V66" s="165">
        <f t="shared" si="13"/>
        <v>504207.9946351574</v>
      </c>
      <c r="Y66" s="61">
        <v>810051</v>
      </c>
      <c r="Z66" s="410"/>
      <c r="AA66" s="38" t="s">
        <v>115</v>
      </c>
      <c r="AB66" s="39" t="s">
        <v>302</v>
      </c>
      <c r="AC66" s="62" t="s">
        <v>79</v>
      </c>
      <c r="AD66" s="283">
        <f>AD65</f>
        <v>1827.89</v>
      </c>
      <c r="AE66" s="41">
        <v>8</v>
      </c>
      <c r="AF66" s="42">
        <v>30</v>
      </c>
      <c r="AG66" s="66">
        <f t="shared" si="14"/>
        <v>69459.820000000007</v>
      </c>
    </row>
    <row r="67" spans="2:33" ht="39" x14ac:dyDescent="0.35">
      <c r="B67" s="61">
        <v>810051</v>
      </c>
      <c r="C67" s="410"/>
      <c r="D67" s="64" t="s">
        <v>116</v>
      </c>
      <c r="E67" s="63" t="s">
        <v>117</v>
      </c>
      <c r="F67" s="62" t="s">
        <v>79</v>
      </c>
      <c r="G67" s="223">
        <v>3171.75</v>
      </c>
      <c r="H67" s="238">
        <v>5</v>
      </c>
      <c r="I67" s="246">
        <v>90</v>
      </c>
      <c r="J67" s="66">
        <f t="shared" si="12"/>
        <v>301316.25</v>
      </c>
      <c r="K67" s="109">
        <f>G65*0.05</f>
        <v>172.21250000000001</v>
      </c>
      <c r="N67" s="184">
        <v>810051</v>
      </c>
      <c r="O67" s="429"/>
      <c r="P67" s="161" t="s">
        <v>116</v>
      </c>
      <c r="Q67" s="185" t="s">
        <v>117</v>
      </c>
      <c r="R67" s="169" t="s">
        <v>79</v>
      </c>
      <c r="S67" s="163">
        <v>3171.76</v>
      </c>
      <c r="T67" s="164">
        <v>46.088131644600438</v>
      </c>
      <c r="U67" s="236">
        <v>50.929235599089708</v>
      </c>
      <c r="V67" s="165">
        <f t="shared" si="13"/>
        <v>307715.80472884665</v>
      </c>
      <c r="Y67" s="61">
        <v>810051</v>
      </c>
      <c r="Z67" s="410"/>
      <c r="AA67" s="38" t="s">
        <v>116</v>
      </c>
      <c r="AB67" s="63" t="s">
        <v>117</v>
      </c>
      <c r="AC67" s="62" t="s">
        <v>79</v>
      </c>
      <c r="AD67" s="287">
        <f>AD66</f>
        <v>1827.89</v>
      </c>
      <c r="AE67" s="41"/>
      <c r="AF67" s="42">
        <v>90</v>
      </c>
      <c r="AG67" s="66">
        <f t="shared" si="14"/>
        <v>164510.1</v>
      </c>
    </row>
    <row r="68" spans="2:33" ht="26" x14ac:dyDescent="0.35">
      <c r="B68" s="61">
        <v>810051</v>
      </c>
      <c r="C68" s="410"/>
      <c r="D68" s="64" t="s">
        <v>118</v>
      </c>
      <c r="E68" s="63" t="s">
        <v>345</v>
      </c>
      <c r="F68" s="62" t="s">
        <v>79</v>
      </c>
      <c r="G68" s="40">
        <v>272.5</v>
      </c>
      <c r="H68" s="238">
        <v>5</v>
      </c>
      <c r="I68" s="42">
        <v>50</v>
      </c>
      <c r="J68" s="66">
        <f t="shared" si="12"/>
        <v>14987.5</v>
      </c>
      <c r="K68" s="248">
        <v>180</v>
      </c>
      <c r="N68" s="184">
        <v>810051</v>
      </c>
      <c r="O68" s="429"/>
      <c r="P68" s="161" t="s">
        <v>118</v>
      </c>
      <c r="Q68" s="63" t="s">
        <v>345</v>
      </c>
      <c r="R68" s="62" t="s">
        <v>79</v>
      </c>
      <c r="S68" s="40">
        <v>272.5</v>
      </c>
      <c r="T68" s="234">
        <v>66.92432597751781</v>
      </c>
      <c r="U68" s="234">
        <v>50.929235599089708</v>
      </c>
      <c r="V68" s="165">
        <f t="shared" si="13"/>
        <v>32115.095529625549</v>
      </c>
      <c r="Y68" s="61">
        <v>810051</v>
      </c>
      <c r="Z68" s="410"/>
      <c r="AA68" s="38" t="s">
        <v>118</v>
      </c>
      <c r="AB68" s="39" t="s">
        <v>119</v>
      </c>
      <c r="AC68" s="62" t="s">
        <v>68</v>
      </c>
      <c r="AD68" s="283">
        <v>189</v>
      </c>
      <c r="AE68" s="41">
        <v>89</v>
      </c>
      <c r="AF68" s="42">
        <v>25</v>
      </c>
      <c r="AG68" s="66">
        <f t="shared" si="14"/>
        <v>21546</v>
      </c>
    </row>
    <row r="69" spans="2:33" x14ac:dyDescent="0.35">
      <c r="B69" s="61">
        <v>810051</v>
      </c>
      <c r="C69" s="410"/>
      <c r="D69" s="38" t="s">
        <v>120</v>
      </c>
      <c r="E69" s="63" t="s">
        <v>356</v>
      </c>
      <c r="F69" s="62" t="s">
        <v>68</v>
      </c>
      <c r="G69" s="40">
        <v>666.76</v>
      </c>
      <c r="H69" s="238">
        <v>30</v>
      </c>
      <c r="I69" s="42">
        <v>10</v>
      </c>
      <c r="J69" s="66">
        <f t="shared" si="12"/>
        <v>26670.400000000001</v>
      </c>
      <c r="K69" s="248">
        <v>11.85</v>
      </c>
      <c r="N69" s="184">
        <v>810051</v>
      </c>
      <c r="O69" s="429"/>
      <c r="P69" s="161" t="s">
        <v>120</v>
      </c>
      <c r="Q69" s="162" t="s">
        <v>357</v>
      </c>
      <c r="R69" s="169" t="s">
        <v>68</v>
      </c>
      <c r="S69" s="163">
        <v>503.29</v>
      </c>
      <c r="T69" s="236">
        <v>201.17048061640435</v>
      </c>
      <c r="U69" s="236">
        <v>38.196926699317281</v>
      </c>
      <c r="V69" s="165">
        <f t="shared" si="13"/>
        <v>120471.22242792955</v>
      </c>
      <c r="Y69" s="61">
        <v>810051</v>
      </c>
      <c r="Z69" s="410"/>
      <c r="AA69" s="38" t="s">
        <v>120</v>
      </c>
      <c r="AB69" s="39" t="s">
        <v>121</v>
      </c>
      <c r="AC69" s="62" t="s">
        <v>68</v>
      </c>
      <c r="AD69" s="283">
        <v>212</v>
      </c>
      <c r="AE69" s="41">
        <v>150</v>
      </c>
      <c r="AF69" s="42">
        <v>30</v>
      </c>
      <c r="AG69" s="66">
        <f t="shared" si="14"/>
        <v>38160</v>
      </c>
    </row>
    <row r="70" spans="2:33" ht="26" x14ac:dyDescent="0.35">
      <c r="B70" s="61"/>
      <c r="C70" s="410"/>
      <c r="D70" s="38" t="s">
        <v>122</v>
      </c>
      <c r="E70" s="63" t="s">
        <v>346</v>
      </c>
      <c r="F70" s="62" t="s">
        <v>68</v>
      </c>
      <c r="G70" s="40">
        <v>296.3</v>
      </c>
      <c r="H70" s="224">
        <v>10</v>
      </c>
      <c r="I70" s="225">
        <v>10</v>
      </c>
      <c r="J70" s="66">
        <f t="shared" si="12"/>
        <v>5926</v>
      </c>
      <c r="K70" s="109" t="s">
        <v>381</v>
      </c>
      <c r="N70" s="184"/>
      <c r="O70" s="429"/>
      <c r="P70" s="161" t="s">
        <v>122</v>
      </c>
      <c r="Q70" s="39" t="s">
        <v>346</v>
      </c>
      <c r="R70" s="62" t="s">
        <v>68</v>
      </c>
      <c r="S70" s="40">
        <v>296.13</v>
      </c>
      <c r="T70" s="234">
        <v>38.145284454419802</v>
      </c>
      <c r="U70" s="234">
        <v>71.921245673546338</v>
      </c>
      <c r="V70" s="165">
        <f t="shared" si="13"/>
        <v>32594.001566794614</v>
      </c>
      <c r="Y70" s="61">
        <v>810051</v>
      </c>
      <c r="Z70" s="410"/>
      <c r="AA70" s="38" t="s">
        <v>122</v>
      </c>
      <c r="AB70" s="39" t="s">
        <v>123</v>
      </c>
      <c r="AC70" s="62" t="s">
        <v>79</v>
      </c>
      <c r="AD70" s="283">
        <v>60</v>
      </c>
      <c r="AE70" s="41">
        <v>0</v>
      </c>
      <c r="AF70" s="42">
        <v>70</v>
      </c>
      <c r="AG70" s="66">
        <f t="shared" si="14"/>
        <v>4200</v>
      </c>
    </row>
    <row r="71" spans="2:33" ht="39" x14ac:dyDescent="0.35">
      <c r="B71" s="61">
        <v>810051</v>
      </c>
      <c r="C71" s="410"/>
      <c r="D71" s="38" t="s">
        <v>125</v>
      </c>
      <c r="E71" s="63" t="s">
        <v>123</v>
      </c>
      <c r="F71" s="62" t="s">
        <v>79</v>
      </c>
      <c r="G71" s="223">
        <v>163.22999999999999</v>
      </c>
      <c r="H71" s="238">
        <v>35</v>
      </c>
      <c r="I71" s="42">
        <v>30</v>
      </c>
      <c r="J71" s="66">
        <f t="shared" si="12"/>
        <v>10609.949999999999</v>
      </c>
      <c r="K71" s="109">
        <f>SUM(K67:K70)</f>
        <v>364.0625</v>
      </c>
      <c r="N71" s="184">
        <v>810051</v>
      </c>
      <c r="O71" s="429"/>
      <c r="P71" s="161" t="s">
        <v>125</v>
      </c>
      <c r="Q71" s="162" t="s">
        <v>123</v>
      </c>
      <c r="R71" s="169" t="s">
        <v>79</v>
      </c>
      <c r="S71" s="191">
        <v>163.22999999999999</v>
      </c>
      <c r="T71" s="164">
        <v>12.083597761329022</v>
      </c>
      <c r="U71" s="236">
        <v>44.563081149203491</v>
      </c>
      <c r="V71" s="165">
        <f t="shared" si="13"/>
        <v>9246.4373985662223</v>
      </c>
      <c r="Y71" s="61">
        <v>810210</v>
      </c>
      <c r="Z71" s="410"/>
      <c r="AA71" s="53"/>
      <c r="AB71" s="55" t="s">
        <v>124</v>
      </c>
      <c r="AC71" s="56"/>
      <c r="AD71" s="57"/>
      <c r="AE71" s="58"/>
      <c r="AF71" s="59"/>
      <c r="AG71" s="60"/>
    </row>
    <row r="72" spans="2:33" x14ac:dyDescent="0.35">
      <c r="B72" s="61">
        <v>810210</v>
      </c>
      <c r="C72" s="410"/>
      <c r="D72" s="53"/>
      <c r="E72" s="55" t="s">
        <v>124</v>
      </c>
      <c r="F72" s="56"/>
      <c r="G72" s="57"/>
      <c r="H72" s="58"/>
      <c r="I72" s="59"/>
      <c r="J72" s="60"/>
      <c r="N72" s="184">
        <v>810210</v>
      </c>
      <c r="O72" s="429"/>
      <c r="P72" s="274"/>
      <c r="Q72" s="273" t="s">
        <v>124</v>
      </c>
      <c r="R72" s="272"/>
      <c r="S72" s="180"/>
      <c r="T72" s="181"/>
      <c r="U72" s="182"/>
      <c r="V72" s="183"/>
      <c r="Y72" s="61">
        <v>810210</v>
      </c>
      <c r="Z72" s="410"/>
      <c r="AA72" s="38" t="s">
        <v>125</v>
      </c>
      <c r="AB72" s="39" t="s">
        <v>126</v>
      </c>
      <c r="AC72" s="38" t="s">
        <v>79</v>
      </c>
      <c r="AD72" s="40">
        <v>0</v>
      </c>
      <c r="AE72" s="41"/>
      <c r="AF72" s="42"/>
      <c r="AG72" s="66">
        <f>AD72*AE72+AF72*AD72</f>
        <v>0</v>
      </c>
    </row>
    <row r="73" spans="2:33" x14ac:dyDescent="0.35">
      <c r="B73" s="61">
        <v>810210</v>
      </c>
      <c r="C73" s="410"/>
      <c r="D73" s="38" t="s">
        <v>125</v>
      </c>
      <c r="E73" s="63" t="s">
        <v>126</v>
      </c>
      <c r="F73" s="38" t="s">
        <v>79</v>
      </c>
      <c r="G73" s="40"/>
      <c r="H73" s="41"/>
      <c r="I73" s="42"/>
      <c r="J73" s="66">
        <f>G73*H73+I73*G73</f>
        <v>0</v>
      </c>
      <c r="N73" s="184">
        <v>810210</v>
      </c>
      <c r="O73" s="429"/>
      <c r="P73" s="161" t="s">
        <v>127</v>
      </c>
      <c r="Q73" s="162" t="s">
        <v>126</v>
      </c>
      <c r="R73" s="161" t="s">
        <v>79</v>
      </c>
      <c r="S73" s="229">
        <v>190</v>
      </c>
      <c r="T73" s="236">
        <v>231.63889581355977</v>
      </c>
      <c r="U73" s="236">
        <v>50.929235599089708</v>
      </c>
      <c r="V73" s="165">
        <f>S73*T73+U73*S73</f>
        <v>53687.944968403397</v>
      </c>
      <c r="Y73" s="61">
        <v>810210</v>
      </c>
      <c r="Z73" s="410"/>
      <c r="AA73" s="38" t="s">
        <v>127</v>
      </c>
      <c r="AB73" s="39" t="s">
        <v>128</v>
      </c>
      <c r="AC73" s="38" t="s">
        <v>103</v>
      </c>
      <c r="AD73" s="40">
        <v>0</v>
      </c>
      <c r="AE73" s="41"/>
      <c r="AF73" s="42"/>
      <c r="AG73" s="66">
        <f>AD73*AE73+AF73*AD73</f>
        <v>0</v>
      </c>
    </row>
    <row r="74" spans="2:33" x14ac:dyDescent="0.35">
      <c r="B74" s="61">
        <v>810210</v>
      </c>
      <c r="C74" s="410"/>
      <c r="D74" s="38" t="s">
        <v>127</v>
      </c>
      <c r="E74" s="63" t="s">
        <v>128</v>
      </c>
      <c r="F74" s="38" t="s">
        <v>103</v>
      </c>
      <c r="G74" s="40"/>
      <c r="H74" s="41"/>
      <c r="I74" s="42"/>
      <c r="J74" s="66">
        <f>G74*H74+I74*G74</f>
        <v>0</v>
      </c>
      <c r="N74" s="184">
        <v>810210</v>
      </c>
      <c r="O74" s="429"/>
      <c r="P74" s="161" t="s">
        <v>129</v>
      </c>
      <c r="Q74" s="162" t="s">
        <v>128</v>
      </c>
      <c r="R74" s="161" t="s">
        <v>103</v>
      </c>
      <c r="S74" s="235"/>
      <c r="T74" s="237">
        <v>133.02188568845236</v>
      </c>
      <c r="U74" s="237">
        <v>79.113370240900991</v>
      </c>
      <c r="V74" s="165">
        <f>S74*T74+U74*S74</f>
        <v>0</v>
      </c>
      <c r="Y74" s="61">
        <v>810210</v>
      </c>
      <c r="Z74" s="410"/>
      <c r="AA74" s="38" t="s">
        <v>129</v>
      </c>
      <c r="AB74" s="39" t="s">
        <v>130</v>
      </c>
      <c r="AC74" s="38" t="s">
        <v>103</v>
      </c>
      <c r="AD74" s="283">
        <v>3</v>
      </c>
      <c r="AE74" s="41">
        <v>850</v>
      </c>
      <c r="AF74" s="42">
        <v>110</v>
      </c>
      <c r="AG74" s="66">
        <f>AD74*AE74+AF74*AD74</f>
        <v>2880</v>
      </c>
    </row>
    <row r="75" spans="2:33" x14ac:dyDescent="0.35">
      <c r="B75" s="61">
        <v>810210</v>
      </c>
      <c r="C75" s="410"/>
      <c r="D75" s="38" t="s">
        <v>129</v>
      </c>
      <c r="E75" s="63" t="s">
        <v>130</v>
      </c>
      <c r="F75" s="38" t="s">
        <v>103</v>
      </c>
      <c r="G75" s="40">
        <v>2</v>
      </c>
      <c r="H75" s="238">
        <v>500</v>
      </c>
      <c r="I75" s="42"/>
      <c r="J75" s="66">
        <f>G75*H75+I75*G75</f>
        <v>1000</v>
      </c>
      <c r="N75" s="184">
        <v>810210</v>
      </c>
      <c r="O75" s="429"/>
      <c r="P75" s="161" t="s">
        <v>131</v>
      </c>
      <c r="Q75" s="162" t="s">
        <v>130</v>
      </c>
      <c r="R75" s="161" t="s">
        <v>103</v>
      </c>
      <c r="S75" s="163">
        <v>15</v>
      </c>
      <c r="T75" s="236">
        <v>51.336669483882424</v>
      </c>
      <c r="U75" s="164">
        <v>15.401000845164727</v>
      </c>
      <c r="V75" s="165">
        <f>S75*T75+U75*S75</f>
        <v>1001.0650549357072</v>
      </c>
      <c r="Y75" s="61">
        <v>810210</v>
      </c>
      <c r="Z75" s="67"/>
      <c r="AA75" s="38" t="s">
        <v>131</v>
      </c>
      <c r="AB75" s="39" t="s">
        <v>132</v>
      </c>
      <c r="AC75" s="38" t="s">
        <v>103</v>
      </c>
      <c r="AD75" s="283">
        <v>3</v>
      </c>
      <c r="AE75" s="41"/>
      <c r="AF75" s="42"/>
      <c r="AG75" s="66">
        <f>AD75*AE75+AF75*AD75</f>
        <v>0</v>
      </c>
    </row>
    <row r="76" spans="2:33" x14ac:dyDescent="0.35">
      <c r="B76" s="61">
        <v>810210</v>
      </c>
      <c r="C76" s="67"/>
      <c r="D76" s="38" t="s">
        <v>131</v>
      </c>
      <c r="E76" s="63" t="s">
        <v>132</v>
      </c>
      <c r="F76" s="38" t="s">
        <v>103</v>
      </c>
      <c r="G76" s="40">
        <v>6</v>
      </c>
      <c r="H76" s="238">
        <v>600</v>
      </c>
      <c r="I76" s="42"/>
      <c r="J76" s="66">
        <f>G76*H76+I76*G76</f>
        <v>3600</v>
      </c>
      <c r="N76" s="184">
        <v>810210</v>
      </c>
      <c r="O76" s="271"/>
      <c r="P76" s="161" t="s">
        <v>388</v>
      </c>
      <c r="Q76" s="162" t="s">
        <v>132</v>
      </c>
      <c r="R76" s="161" t="s">
        <v>103</v>
      </c>
      <c r="S76" s="163">
        <v>10</v>
      </c>
      <c r="T76" s="236">
        <v>2256.6744293956649</v>
      </c>
      <c r="U76" s="236">
        <v>1504.4496195971101</v>
      </c>
      <c r="V76" s="165">
        <f>S76*T76+U76*S76</f>
        <v>37611.240489927746</v>
      </c>
      <c r="Y76" s="68"/>
      <c r="Z76" s="68"/>
      <c r="AA76" s="47" t="s">
        <v>133</v>
      </c>
      <c r="AB76" s="48" t="s">
        <v>134</v>
      </c>
      <c r="AC76" s="47"/>
      <c r="AD76" s="49"/>
      <c r="AE76" s="50"/>
      <c r="AF76" s="51"/>
      <c r="AG76" s="52">
        <f>SUM(AG77:AG97)</f>
        <v>497198</v>
      </c>
    </row>
    <row r="77" spans="2:33" ht="39" x14ac:dyDescent="0.35">
      <c r="B77" s="68"/>
      <c r="C77" s="68"/>
      <c r="D77" s="47" t="s">
        <v>133</v>
      </c>
      <c r="E77" s="48" t="s">
        <v>134</v>
      </c>
      <c r="F77" s="47"/>
      <c r="G77" s="49"/>
      <c r="H77" s="50"/>
      <c r="I77" s="51"/>
      <c r="J77" s="52">
        <f>SUM(J78:J98)</f>
        <v>309268.02500000002</v>
      </c>
      <c r="N77" s="270"/>
      <c r="O77" s="270"/>
      <c r="P77" s="268" t="s">
        <v>133</v>
      </c>
      <c r="Q77" s="269" t="s">
        <v>134</v>
      </c>
      <c r="R77" s="268"/>
      <c r="S77" s="172"/>
      <c r="T77" s="173"/>
      <c r="U77" s="174"/>
      <c r="V77" s="175">
        <f>SUM(V78:V98)</f>
        <v>812870.77247597056</v>
      </c>
      <c r="Y77" s="61">
        <v>810213</v>
      </c>
      <c r="Z77" s="409" t="s">
        <v>134</v>
      </c>
      <c r="AA77" s="38" t="s">
        <v>135</v>
      </c>
      <c r="AB77" s="39" t="s">
        <v>136</v>
      </c>
      <c r="AC77" s="62" t="s">
        <v>79</v>
      </c>
      <c r="AD77" s="40">
        <v>121</v>
      </c>
      <c r="AE77" s="69">
        <v>115</v>
      </c>
      <c r="AF77" s="70">
        <v>80</v>
      </c>
      <c r="AG77" s="66">
        <f t="shared" ref="AG77:AG97" si="15">AD77*AE77+AF77*AD77</f>
        <v>23595</v>
      </c>
    </row>
    <row r="78" spans="2:33" ht="52" x14ac:dyDescent="0.35">
      <c r="B78" s="61">
        <v>810213</v>
      </c>
      <c r="C78" s="409" t="s">
        <v>134</v>
      </c>
      <c r="D78" s="38" t="s">
        <v>135</v>
      </c>
      <c r="E78" s="39" t="s">
        <v>136</v>
      </c>
      <c r="F78" s="62" t="s">
        <v>79</v>
      </c>
      <c r="G78" s="40">
        <v>272.51</v>
      </c>
      <c r="H78" s="69">
        <v>10</v>
      </c>
      <c r="I78" s="70">
        <f>I55</f>
        <v>55</v>
      </c>
      <c r="J78" s="66">
        <f t="shared" ref="J78:J98" si="16">G78*H78+I78*G78</f>
        <v>17713.149999999998</v>
      </c>
      <c r="K78" s="117" t="s">
        <v>375</v>
      </c>
      <c r="N78" s="184">
        <v>810213</v>
      </c>
      <c r="O78" s="445" t="s">
        <v>134</v>
      </c>
      <c r="P78" s="161" t="s">
        <v>135</v>
      </c>
      <c r="Q78" s="162" t="s">
        <v>136</v>
      </c>
      <c r="R78" s="169" t="s">
        <v>79</v>
      </c>
      <c r="S78" s="229">
        <v>258.55</v>
      </c>
      <c r="T78" s="237">
        <v>0</v>
      </c>
      <c r="U78" s="236">
        <v>55.938412346610839</v>
      </c>
      <c r="V78" s="165">
        <f t="shared" ref="V78:V98" si="17">S78*T78+U78*S78</f>
        <v>14462.876512216233</v>
      </c>
      <c r="W78" s="248" t="s">
        <v>373</v>
      </c>
      <c r="Y78" s="61">
        <v>810213</v>
      </c>
      <c r="Z78" s="410"/>
      <c r="AA78" s="38" t="s">
        <v>137</v>
      </c>
      <c r="AB78" s="39" t="s">
        <v>138</v>
      </c>
      <c r="AC78" s="62" t="s">
        <v>79</v>
      </c>
      <c r="AD78" s="283">
        <v>365</v>
      </c>
      <c r="AE78" s="69">
        <f>170+125</f>
        <v>295</v>
      </c>
      <c r="AF78" s="70">
        <f>70+90</f>
        <v>160</v>
      </c>
      <c r="AG78" s="66">
        <f t="shared" si="15"/>
        <v>166075</v>
      </c>
    </row>
    <row r="79" spans="2:33" ht="26" x14ac:dyDescent="0.35">
      <c r="B79" s="61">
        <v>810213</v>
      </c>
      <c r="C79" s="410"/>
      <c r="D79" s="38" t="s">
        <v>137</v>
      </c>
      <c r="E79" s="63" t="s">
        <v>138</v>
      </c>
      <c r="F79" s="62" t="s">
        <v>79</v>
      </c>
      <c r="G79" s="223">
        <v>0</v>
      </c>
      <c r="H79" s="115">
        <v>80</v>
      </c>
      <c r="I79" s="247">
        <f>(35*1.35)+20</f>
        <v>67.25</v>
      </c>
      <c r="J79" s="66">
        <f t="shared" si="16"/>
        <v>0</v>
      </c>
      <c r="K79" s="248" t="s">
        <v>380</v>
      </c>
      <c r="N79" s="184">
        <v>810213</v>
      </c>
      <c r="O79" s="429"/>
      <c r="P79" s="161" t="s">
        <v>137</v>
      </c>
      <c r="Q79" s="162" t="s">
        <v>138</v>
      </c>
      <c r="R79" s="169" t="s">
        <v>79</v>
      </c>
      <c r="S79" s="229">
        <v>400.18400000000003</v>
      </c>
      <c r="T79" s="236">
        <v>172.50104220359793</v>
      </c>
      <c r="U79" s="164">
        <v>63.658540458012737</v>
      </c>
      <c r="V79" s="165">
        <f t="shared" si="17"/>
        <v>94507.286427854007</v>
      </c>
      <c r="Y79" s="61">
        <v>810213</v>
      </c>
      <c r="Z79" s="410"/>
      <c r="AA79" s="38" t="s">
        <v>139</v>
      </c>
      <c r="AB79" s="39" t="s">
        <v>140</v>
      </c>
      <c r="AC79" s="62" t="s">
        <v>79</v>
      </c>
      <c r="AD79" s="40"/>
      <c r="AE79" s="69"/>
      <c r="AF79" s="70"/>
      <c r="AG79" s="66">
        <f t="shared" si="15"/>
        <v>0</v>
      </c>
    </row>
    <row r="80" spans="2:33" ht="26" x14ac:dyDescent="0.35">
      <c r="B80" s="61">
        <v>810213</v>
      </c>
      <c r="C80" s="410"/>
      <c r="D80" s="38" t="s">
        <v>139</v>
      </c>
      <c r="E80" s="63" t="s">
        <v>140</v>
      </c>
      <c r="F80" s="62" t="s">
        <v>79</v>
      </c>
      <c r="G80" s="223">
        <f>30.5+10.4</f>
        <v>40.9</v>
      </c>
      <c r="H80" s="115">
        <v>10</v>
      </c>
      <c r="I80" s="119">
        <f>35*1.35</f>
        <v>47.25</v>
      </c>
      <c r="J80" s="66">
        <f t="shared" si="16"/>
        <v>2341.5249999999996</v>
      </c>
      <c r="K80" s="117" t="s">
        <v>375</v>
      </c>
      <c r="N80" s="184">
        <v>810213</v>
      </c>
      <c r="O80" s="429"/>
      <c r="P80" s="161" t="s">
        <v>139</v>
      </c>
      <c r="Q80" s="162" t="s">
        <v>140</v>
      </c>
      <c r="R80" s="169" t="s">
        <v>79</v>
      </c>
      <c r="S80" s="229">
        <v>200.09200000000001</v>
      </c>
      <c r="T80" s="236">
        <v>235.83632128690343</v>
      </c>
      <c r="U80" s="236">
        <v>70.024394503814023</v>
      </c>
      <c r="V80" s="165">
        <f t="shared" si="17"/>
        <v>61200.282343996238</v>
      </c>
      <c r="Y80" s="61">
        <v>810213</v>
      </c>
      <c r="Z80" s="410"/>
      <c r="AA80" s="38" t="s">
        <v>141</v>
      </c>
      <c r="AB80" s="39" t="s">
        <v>142</v>
      </c>
      <c r="AC80" s="38" t="s">
        <v>103</v>
      </c>
      <c r="AD80" s="283">
        <v>33</v>
      </c>
      <c r="AE80" s="69">
        <v>70</v>
      </c>
      <c r="AF80" s="70">
        <v>30</v>
      </c>
      <c r="AG80" s="66">
        <f t="shared" si="15"/>
        <v>3300</v>
      </c>
    </row>
    <row r="81" spans="2:33" ht="26" x14ac:dyDescent="0.35">
      <c r="B81" s="61">
        <v>810213</v>
      </c>
      <c r="C81" s="410"/>
      <c r="D81" s="38" t="s">
        <v>141</v>
      </c>
      <c r="E81" s="63" t="s">
        <v>142</v>
      </c>
      <c r="F81" s="38" t="s">
        <v>103</v>
      </c>
      <c r="G81" s="40">
        <f>124-61</f>
        <v>63</v>
      </c>
      <c r="H81" s="69">
        <v>180</v>
      </c>
      <c r="I81" s="70"/>
      <c r="J81" s="66">
        <f t="shared" si="16"/>
        <v>11340</v>
      </c>
      <c r="K81" s="109" t="s">
        <v>285</v>
      </c>
      <c r="N81" s="184">
        <v>810213</v>
      </c>
      <c r="O81" s="429"/>
      <c r="P81" s="161" t="s">
        <v>141</v>
      </c>
      <c r="Q81" s="162" t="s">
        <v>142</v>
      </c>
      <c r="R81" s="161" t="s">
        <v>103</v>
      </c>
      <c r="S81" s="229">
        <v>179</v>
      </c>
      <c r="T81" s="236">
        <v>190.98463349658641</v>
      </c>
      <c r="U81" s="236">
        <v>63.661544498862135</v>
      </c>
      <c r="V81" s="165">
        <f t="shared" si="17"/>
        <v>45581.665861185291</v>
      </c>
      <c r="W81" s="186"/>
      <c r="Y81" s="61">
        <v>810213</v>
      </c>
      <c r="Z81" s="410"/>
      <c r="AA81" s="38" t="s">
        <v>143</v>
      </c>
      <c r="AB81" s="39" t="s">
        <v>144</v>
      </c>
      <c r="AC81" s="62" t="s">
        <v>79</v>
      </c>
      <c r="AD81" s="40">
        <v>121</v>
      </c>
      <c r="AE81" s="69">
        <v>0</v>
      </c>
      <c r="AF81" s="70">
        <v>90</v>
      </c>
      <c r="AG81" s="66">
        <f t="shared" si="15"/>
        <v>10890</v>
      </c>
    </row>
    <row r="82" spans="2:33" ht="39" x14ac:dyDescent="0.35">
      <c r="B82" s="61">
        <v>810213</v>
      </c>
      <c r="C82" s="410"/>
      <c r="D82" s="38" t="s">
        <v>143</v>
      </c>
      <c r="E82" s="63" t="s">
        <v>144</v>
      </c>
      <c r="F82" s="62" t="s">
        <v>79</v>
      </c>
      <c r="G82" s="40">
        <f>272.51</f>
        <v>272.51</v>
      </c>
      <c r="H82" s="69">
        <v>30</v>
      </c>
      <c r="I82" s="70">
        <v>55</v>
      </c>
      <c r="J82" s="66">
        <f t="shared" si="16"/>
        <v>23163.35</v>
      </c>
      <c r="N82" s="184">
        <v>810213</v>
      </c>
      <c r="O82" s="429"/>
      <c r="P82" s="161" t="s">
        <v>143</v>
      </c>
      <c r="Q82" s="162" t="s">
        <v>303</v>
      </c>
      <c r="R82" s="169" t="s">
        <v>79</v>
      </c>
      <c r="S82" s="163">
        <v>272.51</v>
      </c>
      <c r="T82" s="164">
        <v>127.18020702725103</v>
      </c>
      <c r="U82" s="236">
        <v>50.929235599089708</v>
      </c>
      <c r="V82" s="165">
        <f t="shared" si="17"/>
        <v>48536.604210104109</v>
      </c>
      <c r="Y82" s="61">
        <v>810213</v>
      </c>
      <c r="Z82" s="410"/>
      <c r="AA82" s="38" t="s">
        <v>145</v>
      </c>
      <c r="AB82" s="39" t="s">
        <v>121</v>
      </c>
      <c r="AC82" s="62" t="s">
        <v>68</v>
      </c>
      <c r="AD82" s="283">
        <v>210</v>
      </c>
      <c r="AE82" s="69">
        <v>150</v>
      </c>
      <c r="AF82" s="70">
        <v>30</v>
      </c>
      <c r="AG82" s="66">
        <f t="shared" si="15"/>
        <v>37800</v>
      </c>
    </row>
    <row r="83" spans="2:33" x14ac:dyDescent="0.35">
      <c r="B83" s="61">
        <v>810213</v>
      </c>
      <c r="C83" s="410"/>
      <c r="D83" s="113" t="s">
        <v>145</v>
      </c>
      <c r="E83" s="39" t="s">
        <v>121</v>
      </c>
      <c r="F83" s="62" t="s">
        <v>68</v>
      </c>
      <c r="G83" s="239">
        <v>30</v>
      </c>
      <c r="H83" s="227">
        <v>65</v>
      </c>
      <c r="I83" s="240">
        <v>30</v>
      </c>
      <c r="J83" s="66">
        <f t="shared" si="16"/>
        <v>2850</v>
      </c>
      <c r="N83" s="184">
        <v>810213</v>
      </c>
      <c r="O83" s="429"/>
      <c r="P83" s="161" t="s">
        <v>145</v>
      </c>
      <c r="Q83" s="162" t="s">
        <v>121</v>
      </c>
      <c r="R83" s="169" t="s">
        <v>68</v>
      </c>
      <c r="S83" s="241">
        <v>164.69</v>
      </c>
      <c r="T83" s="234">
        <v>201.17048061640435</v>
      </c>
      <c r="U83" s="234">
        <v>38.196926699317281</v>
      </c>
      <c r="V83" s="165">
        <f t="shared" si="17"/>
        <v>39421.418310826193</v>
      </c>
      <c r="Y83" s="61">
        <v>810213</v>
      </c>
      <c r="Z83" s="410"/>
      <c r="AA83" s="38" t="s">
        <v>146</v>
      </c>
      <c r="AB83" s="39" t="s">
        <v>147</v>
      </c>
      <c r="AC83" s="62" t="s">
        <v>103</v>
      </c>
      <c r="AD83" s="283">
        <v>33</v>
      </c>
      <c r="AE83" s="69">
        <v>450</v>
      </c>
      <c r="AF83" s="71">
        <v>30</v>
      </c>
      <c r="AG83" s="66">
        <f t="shared" si="15"/>
        <v>15840</v>
      </c>
    </row>
    <row r="84" spans="2:33" ht="26" x14ac:dyDescent="0.35">
      <c r="B84" s="61">
        <v>810213</v>
      </c>
      <c r="C84" s="410"/>
      <c r="D84" s="38" t="s">
        <v>146</v>
      </c>
      <c r="E84" s="63" t="s">
        <v>147</v>
      </c>
      <c r="F84" s="62" t="s">
        <v>103</v>
      </c>
      <c r="G84" s="223">
        <v>63</v>
      </c>
      <c r="H84" s="252">
        <v>250</v>
      </c>
      <c r="I84" s="71">
        <v>15</v>
      </c>
      <c r="J84" s="66">
        <f t="shared" si="16"/>
        <v>16695</v>
      </c>
      <c r="N84" s="184">
        <v>810213</v>
      </c>
      <c r="O84" s="429"/>
      <c r="P84" s="161" t="s">
        <v>146</v>
      </c>
      <c r="Q84" s="162" t="s">
        <v>147</v>
      </c>
      <c r="R84" s="169" t="s">
        <v>103</v>
      </c>
      <c r="S84" s="163">
        <v>63</v>
      </c>
      <c r="T84" s="164">
        <v>1247.7662721776978</v>
      </c>
      <c r="U84" s="236">
        <v>0</v>
      </c>
      <c r="V84" s="165">
        <f t="shared" si="17"/>
        <v>78609.27514719496</v>
      </c>
      <c r="W84" s="186"/>
      <c r="Y84" s="61">
        <v>810213</v>
      </c>
      <c r="Z84" s="410"/>
      <c r="AA84" s="38" t="s">
        <v>148</v>
      </c>
      <c r="AB84" s="39" t="s">
        <v>149</v>
      </c>
      <c r="AC84" s="62" t="s">
        <v>103</v>
      </c>
      <c r="AD84" s="283">
        <v>33</v>
      </c>
      <c r="AE84" s="69">
        <f>650+460+200</f>
        <v>1310</v>
      </c>
      <c r="AF84" s="70">
        <v>80</v>
      </c>
      <c r="AG84" s="66">
        <f t="shared" si="15"/>
        <v>45870</v>
      </c>
    </row>
    <row r="85" spans="2:33" ht="26" x14ac:dyDescent="0.35">
      <c r="B85" s="61">
        <v>810213</v>
      </c>
      <c r="C85" s="410"/>
      <c r="D85" s="38" t="s">
        <v>148</v>
      </c>
      <c r="E85" s="63" t="s">
        <v>149</v>
      </c>
      <c r="F85" s="62" t="s">
        <v>103</v>
      </c>
      <c r="G85" s="223">
        <v>63</v>
      </c>
      <c r="H85" s="252">
        <v>800</v>
      </c>
      <c r="I85" s="70">
        <v>25</v>
      </c>
      <c r="J85" s="66">
        <f t="shared" si="16"/>
        <v>51975</v>
      </c>
      <c r="K85" s="109" t="s">
        <v>294</v>
      </c>
      <c r="N85" s="184">
        <v>810213</v>
      </c>
      <c r="O85" s="429"/>
      <c r="P85" s="161" t="s">
        <v>148</v>
      </c>
      <c r="Q85" s="292" t="s">
        <v>304</v>
      </c>
      <c r="R85" s="169" t="s">
        <v>103</v>
      </c>
      <c r="S85" s="163">
        <v>63</v>
      </c>
      <c r="T85" s="236">
        <v>846.69854183486632</v>
      </c>
      <c r="U85" s="164">
        <v>0</v>
      </c>
      <c r="V85" s="165">
        <f t="shared" si="17"/>
        <v>53342.008135596581</v>
      </c>
      <c r="Y85" s="61">
        <v>810213</v>
      </c>
      <c r="Z85" s="410"/>
      <c r="AA85" s="38" t="s">
        <v>150</v>
      </c>
      <c r="AB85" s="39" t="s">
        <v>151</v>
      </c>
      <c r="AC85" s="62" t="s">
        <v>103</v>
      </c>
      <c r="AD85" s="283">
        <v>33</v>
      </c>
      <c r="AE85" s="69">
        <v>70</v>
      </c>
      <c r="AF85" s="70">
        <v>30</v>
      </c>
      <c r="AG85" s="66">
        <f t="shared" si="15"/>
        <v>3300</v>
      </c>
    </row>
    <row r="86" spans="2:33" x14ac:dyDescent="0.35">
      <c r="B86" s="61">
        <v>810213</v>
      </c>
      <c r="C86" s="410"/>
      <c r="D86" s="38" t="s">
        <v>150</v>
      </c>
      <c r="E86" s="63" t="s">
        <v>151</v>
      </c>
      <c r="F86" s="62" t="s">
        <v>103</v>
      </c>
      <c r="G86" s="223">
        <v>63</v>
      </c>
      <c r="H86" s="252">
        <v>140</v>
      </c>
      <c r="I86" s="70">
        <v>30</v>
      </c>
      <c r="J86" s="66">
        <f t="shared" si="16"/>
        <v>10710</v>
      </c>
      <c r="N86" s="184">
        <v>810213</v>
      </c>
      <c r="O86" s="429"/>
      <c r="P86" s="161" t="s">
        <v>150</v>
      </c>
      <c r="Q86" s="162" t="s">
        <v>151</v>
      </c>
      <c r="R86" s="169" t="s">
        <v>103</v>
      </c>
      <c r="S86" s="163">
        <v>63</v>
      </c>
      <c r="T86" s="236">
        <v>108.22462564806563</v>
      </c>
      <c r="U86" s="236">
        <v>31.830772249431067</v>
      </c>
      <c r="V86" s="165">
        <f t="shared" si="17"/>
        <v>8823.4900675422923</v>
      </c>
      <c r="Y86" s="61">
        <v>810213</v>
      </c>
      <c r="Z86" s="410"/>
      <c r="AA86" s="38" t="s">
        <v>152</v>
      </c>
      <c r="AB86" s="39" t="s">
        <v>153</v>
      </c>
      <c r="AC86" s="62" t="s">
        <v>79</v>
      </c>
      <c r="AD86" s="283">
        <v>3</v>
      </c>
      <c r="AE86" s="69">
        <v>700</v>
      </c>
      <c r="AF86" s="70">
        <v>60</v>
      </c>
      <c r="AG86" s="66">
        <f t="shared" si="15"/>
        <v>2280</v>
      </c>
    </row>
    <row r="87" spans="2:33" ht="26" x14ac:dyDescent="0.35">
      <c r="B87" s="61">
        <v>810213</v>
      </c>
      <c r="C87" s="410"/>
      <c r="D87" s="38" t="s">
        <v>152</v>
      </c>
      <c r="E87" s="63" t="s">
        <v>153</v>
      </c>
      <c r="F87" s="62" t="s">
        <v>79</v>
      </c>
      <c r="G87" s="40">
        <f>6*1.3*2.5</f>
        <v>19.5</v>
      </c>
      <c r="H87" s="252">
        <v>550</v>
      </c>
      <c r="I87" s="70">
        <v>100</v>
      </c>
      <c r="J87" s="66">
        <f t="shared" si="16"/>
        <v>12675</v>
      </c>
      <c r="K87" s="257"/>
      <c r="N87" s="184">
        <v>810213</v>
      </c>
      <c r="O87" s="429"/>
      <c r="P87" s="161" t="s">
        <v>152</v>
      </c>
      <c r="Q87" s="162" t="s">
        <v>153</v>
      </c>
      <c r="R87" s="169" t="s">
        <v>79</v>
      </c>
      <c r="S87" s="163">
        <v>18</v>
      </c>
      <c r="T87" s="164">
        <v>528.27622856045775</v>
      </c>
      <c r="U87" s="164">
        <v>0</v>
      </c>
      <c r="V87" s="165">
        <f t="shared" si="17"/>
        <v>9508.9721140882393</v>
      </c>
      <c r="Y87" s="61">
        <v>810213</v>
      </c>
      <c r="Z87" s="410"/>
      <c r="AA87" s="38" t="s">
        <v>154</v>
      </c>
      <c r="AB87" s="39" t="s">
        <v>155</v>
      </c>
      <c r="AC87" s="38" t="s">
        <v>103</v>
      </c>
      <c r="AD87" s="40">
        <v>2</v>
      </c>
      <c r="AE87" s="69">
        <v>2900</v>
      </c>
      <c r="AF87" s="70">
        <v>300</v>
      </c>
      <c r="AG87" s="66">
        <f t="shared" si="15"/>
        <v>6400</v>
      </c>
    </row>
    <row r="88" spans="2:33" ht="26" x14ac:dyDescent="0.35">
      <c r="B88" s="61">
        <v>810213</v>
      </c>
      <c r="C88" s="410"/>
      <c r="D88" s="38" t="s">
        <v>154</v>
      </c>
      <c r="E88" s="63" t="s">
        <v>155</v>
      </c>
      <c r="F88" s="38" t="s">
        <v>103</v>
      </c>
      <c r="G88" s="40">
        <v>4</v>
      </c>
      <c r="H88" s="69">
        <v>2100</v>
      </c>
      <c r="I88" s="253">
        <v>300</v>
      </c>
      <c r="J88" s="66">
        <f t="shared" si="16"/>
        <v>9600</v>
      </c>
      <c r="N88" s="184">
        <v>810213</v>
      </c>
      <c r="O88" s="429"/>
      <c r="P88" s="161" t="s">
        <v>154</v>
      </c>
      <c r="Q88" s="162" t="s">
        <v>155</v>
      </c>
      <c r="R88" s="161" t="s">
        <v>103</v>
      </c>
      <c r="S88" s="163">
        <v>2</v>
      </c>
      <c r="T88" s="236">
        <v>2147.0492497686241</v>
      </c>
      <c r="U88" s="164">
        <v>0</v>
      </c>
      <c r="V88" s="165">
        <f t="shared" si="17"/>
        <v>4294.0984995372482</v>
      </c>
      <c r="Y88" s="61">
        <v>810213</v>
      </c>
      <c r="Z88" s="410"/>
      <c r="AA88" s="38" t="s">
        <v>156</v>
      </c>
      <c r="AB88" s="39" t="s">
        <v>157</v>
      </c>
      <c r="AC88" s="38" t="s">
        <v>46</v>
      </c>
      <c r="AD88" s="40">
        <v>1</v>
      </c>
      <c r="AE88" s="69">
        <v>4900</v>
      </c>
      <c r="AF88" s="70">
        <v>1680</v>
      </c>
      <c r="AG88" s="66">
        <f t="shared" si="15"/>
        <v>6580</v>
      </c>
    </row>
    <row r="89" spans="2:33" x14ac:dyDescent="0.35">
      <c r="B89" s="61">
        <v>810213</v>
      </c>
      <c r="C89" s="410"/>
      <c r="D89" s="64" t="s">
        <v>156</v>
      </c>
      <c r="E89" s="63" t="s">
        <v>157</v>
      </c>
      <c r="F89" s="38" t="s">
        <v>46</v>
      </c>
      <c r="G89" s="40">
        <v>2</v>
      </c>
      <c r="H89" s="252">
        <v>9000</v>
      </c>
      <c r="I89" s="70"/>
      <c r="J89" s="66">
        <f t="shared" si="16"/>
        <v>18000</v>
      </c>
      <c r="N89" s="184">
        <v>810213</v>
      </c>
      <c r="O89" s="429"/>
      <c r="P89" s="161" t="s">
        <v>156</v>
      </c>
      <c r="Q89" s="162" t="s">
        <v>157</v>
      </c>
      <c r="R89" s="161" t="s">
        <v>46</v>
      </c>
      <c r="S89" s="163">
        <v>1</v>
      </c>
      <c r="T89" s="236">
        <v>5495.2645211417794</v>
      </c>
      <c r="U89" s="236">
        <v>1317.641183419649</v>
      </c>
      <c r="V89" s="165">
        <f t="shared" si="17"/>
        <v>6812.9057045614281</v>
      </c>
      <c r="Y89" s="61">
        <v>810213</v>
      </c>
      <c r="Z89" s="410"/>
      <c r="AA89" s="38" t="s">
        <v>158</v>
      </c>
      <c r="AB89" s="39" t="s">
        <v>159</v>
      </c>
      <c r="AC89" s="38" t="s">
        <v>103</v>
      </c>
      <c r="AD89" s="283">
        <v>33</v>
      </c>
      <c r="AE89" s="69">
        <v>3600</v>
      </c>
      <c r="AF89" s="70">
        <v>100</v>
      </c>
      <c r="AG89" s="66">
        <f t="shared" si="15"/>
        <v>122100</v>
      </c>
    </row>
    <row r="90" spans="2:33" x14ac:dyDescent="0.35">
      <c r="B90" s="61">
        <v>810213</v>
      </c>
      <c r="C90" s="410"/>
      <c r="D90" s="64" t="s">
        <v>158</v>
      </c>
      <c r="E90" s="63" t="s">
        <v>159</v>
      </c>
      <c r="F90" s="38" t="s">
        <v>103</v>
      </c>
      <c r="G90" s="40">
        <v>63</v>
      </c>
      <c r="H90" s="252">
        <v>700</v>
      </c>
      <c r="I90" s="253">
        <v>200</v>
      </c>
      <c r="J90" s="66">
        <f t="shared" si="16"/>
        <v>56700</v>
      </c>
      <c r="N90" s="184">
        <v>810213</v>
      </c>
      <c r="O90" s="429"/>
      <c r="P90" s="161" t="s">
        <v>158</v>
      </c>
      <c r="Q90" s="162" t="s">
        <v>159</v>
      </c>
      <c r="R90" s="161" t="s">
        <v>103</v>
      </c>
      <c r="S90" s="163">
        <v>75.599999999999994</v>
      </c>
      <c r="T90" s="164">
        <v>50.929235599089708</v>
      </c>
      <c r="U90" s="164">
        <v>12.732308899772427</v>
      </c>
      <c r="V90" s="165">
        <f t="shared" si="17"/>
        <v>4812.8127641139772</v>
      </c>
      <c r="Y90" s="61">
        <v>810213</v>
      </c>
      <c r="Z90" s="410"/>
      <c r="AA90" s="38" t="s">
        <v>160</v>
      </c>
      <c r="AB90" s="39" t="s">
        <v>161</v>
      </c>
      <c r="AC90" s="38" t="s">
        <v>46</v>
      </c>
      <c r="AD90" s="40">
        <v>1</v>
      </c>
      <c r="AE90" s="69"/>
      <c r="AF90" s="70">
        <v>350</v>
      </c>
      <c r="AG90" s="66">
        <f t="shared" si="15"/>
        <v>350</v>
      </c>
    </row>
    <row r="91" spans="2:33" x14ac:dyDescent="0.35">
      <c r="B91" s="61">
        <v>810213</v>
      </c>
      <c r="C91" s="410"/>
      <c r="D91" s="64" t="s">
        <v>160</v>
      </c>
      <c r="E91" s="63" t="s">
        <v>161</v>
      </c>
      <c r="F91" s="38" t="s">
        <v>46</v>
      </c>
      <c r="G91" s="223">
        <v>63</v>
      </c>
      <c r="H91" s="252">
        <v>680</v>
      </c>
      <c r="I91" s="70">
        <v>30</v>
      </c>
      <c r="J91" s="66">
        <f t="shared" si="16"/>
        <v>44730</v>
      </c>
      <c r="N91" s="184">
        <v>810213</v>
      </c>
      <c r="O91" s="429"/>
      <c r="P91" s="161" t="s">
        <v>160</v>
      </c>
      <c r="Q91" s="162" t="s">
        <v>161</v>
      </c>
      <c r="R91" s="161" t="s">
        <v>46</v>
      </c>
      <c r="S91" s="163">
        <v>1</v>
      </c>
      <c r="T91" s="236">
        <v>46323.322854597041</v>
      </c>
      <c r="U91" s="236">
        <v>6617.6175506567197</v>
      </c>
      <c r="V91" s="165">
        <f t="shared" si="17"/>
        <v>52940.940405253757</v>
      </c>
      <c r="W91" s="168"/>
      <c r="Y91" s="61">
        <v>810213</v>
      </c>
      <c r="Z91" s="410"/>
      <c r="AA91" s="38" t="s">
        <v>162</v>
      </c>
      <c r="AB91" s="39" t="s">
        <v>163</v>
      </c>
      <c r="AC91" s="38" t="s">
        <v>103</v>
      </c>
      <c r="AD91" s="40">
        <v>9</v>
      </c>
      <c r="AE91" s="69">
        <v>360</v>
      </c>
      <c r="AF91" s="70">
        <v>110</v>
      </c>
      <c r="AG91" s="66">
        <f t="shared" si="15"/>
        <v>4230</v>
      </c>
    </row>
    <row r="92" spans="2:33" x14ac:dyDescent="0.35">
      <c r="B92" s="61">
        <v>810213</v>
      </c>
      <c r="C92" s="410"/>
      <c r="D92" s="64" t="s">
        <v>162</v>
      </c>
      <c r="E92" s="39" t="s">
        <v>163</v>
      </c>
      <c r="F92" s="38" t="s">
        <v>103</v>
      </c>
      <c r="G92" s="239"/>
      <c r="H92" s="227"/>
      <c r="I92" s="240"/>
      <c r="J92" s="66">
        <f t="shared" si="16"/>
        <v>0</v>
      </c>
      <c r="K92" s="109" t="s">
        <v>379</v>
      </c>
      <c r="N92" s="184">
        <v>810213</v>
      </c>
      <c r="O92" s="429"/>
      <c r="P92" s="161" t="s">
        <v>162</v>
      </c>
      <c r="Q92" s="162" t="s">
        <v>163</v>
      </c>
      <c r="R92" s="161" t="s">
        <v>103</v>
      </c>
      <c r="S92" s="163">
        <v>63</v>
      </c>
      <c r="T92" s="236">
        <v>305.69548795487066</v>
      </c>
      <c r="U92" s="164">
        <v>76.617678646351109</v>
      </c>
      <c r="V92" s="165">
        <f t="shared" si="17"/>
        <v>24085.729495876971</v>
      </c>
      <c r="W92" s="186"/>
      <c r="Y92" s="61">
        <v>810213</v>
      </c>
      <c r="Z92" s="410"/>
      <c r="AA92" s="38" t="s">
        <v>164</v>
      </c>
      <c r="AB92" s="39" t="s">
        <v>126</v>
      </c>
      <c r="AC92" s="38" t="s">
        <v>103</v>
      </c>
      <c r="AD92" s="40"/>
      <c r="AE92" s="69"/>
      <c r="AF92" s="70"/>
      <c r="AG92" s="66">
        <f t="shared" si="15"/>
        <v>0</v>
      </c>
    </row>
    <row r="93" spans="2:33" x14ac:dyDescent="0.35">
      <c r="B93" s="61">
        <v>810213</v>
      </c>
      <c r="C93" s="410"/>
      <c r="D93" s="64" t="s">
        <v>164</v>
      </c>
      <c r="E93" s="39" t="s">
        <v>126</v>
      </c>
      <c r="F93" s="38" t="s">
        <v>103</v>
      </c>
      <c r="G93" s="239"/>
      <c r="H93" s="227"/>
      <c r="I93" s="240"/>
      <c r="J93" s="66">
        <f t="shared" si="16"/>
        <v>0</v>
      </c>
      <c r="K93" s="109" t="s">
        <v>379</v>
      </c>
      <c r="N93" s="184">
        <v>810213</v>
      </c>
      <c r="O93" s="429"/>
      <c r="P93" s="161" t="s">
        <v>164</v>
      </c>
      <c r="Q93" s="162" t="s">
        <v>126</v>
      </c>
      <c r="R93" s="161" t="s">
        <v>103</v>
      </c>
      <c r="S93" s="163">
        <v>126</v>
      </c>
      <c r="T93" s="236">
        <v>255.89758207016905</v>
      </c>
      <c r="U93" s="164">
        <v>17.825232459681398</v>
      </c>
      <c r="V93" s="165">
        <f t="shared" si="17"/>
        <v>34489.074630761155</v>
      </c>
      <c r="W93" s="168"/>
      <c r="Y93" s="61">
        <v>810213</v>
      </c>
      <c r="Z93" s="410"/>
      <c r="AA93" s="38" t="s">
        <v>165</v>
      </c>
      <c r="AB93" s="39" t="s">
        <v>166</v>
      </c>
      <c r="AC93" s="38" t="s">
        <v>103</v>
      </c>
      <c r="AD93" s="40"/>
      <c r="AE93" s="69"/>
      <c r="AF93" s="70"/>
      <c r="AG93" s="66">
        <f t="shared" si="15"/>
        <v>0</v>
      </c>
    </row>
    <row r="94" spans="2:33" x14ac:dyDescent="0.35">
      <c r="B94" s="61">
        <v>810213</v>
      </c>
      <c r="C94" s="410"/>
      <c r="D94" s="64" t="s">
        <v>165</v>
      </c>
      <c r="E94" s="39" t="s">
        <v>166</v>
      </c>
      <c r="F94" s="38" t="s">
        <v>103</v>
      </c>
      <c r="G94" s="239"/>
      <c r="H94" s="227"/>
      <c r="I94" s="240"/>
      <c r="J94" s="66">
        <f t="shared" si="16"/>
        <v>0</v>
      </c>
      <c r="K94" s="109" t="s">
        <v>378</v>
      </c>
      <c r="N94" s="184">
        <v>810213</v>
      </c>
      <c r="O94" s="429"/>
      <c r="P94" s="161" t="s">
        <v>165</v>
      </c>
      <c r="Q94" s="162" t="s">
        <v>166</v>
      </c>
      <c r="R94" s="161" t="s">
        <v>103</v>
      </c>
      <c r="S94" s="163">
        <v>63</v>
      </c>
      <c r="T94" s="236">
        <v>127.32308899772427</v>
      </c>
      <c r="U94" s="164">
        <v>31.830772249431067</v>
      </c>
      <c r="V94" s="165">
        <f t="shared" si="17"/>
        <v>10026.693258570787</v>
      </c>
      <c r="Y94" s="61">
        <v>810213</v>
      </c>
      <c r="Z94" s="410"/>
      <c r="AA94" s="38" t="s">
        <v>167</v>
      </c>
      <c r="AB94" s="39" t="s">
        <v>168</v>
      </c>
      <c r="AC94" s="38" t="s">
        <v>103</v>
      </c>
      <c r="AD94" s="40">
        <v>2</v>
      </c>
      <c r="AE94" s="69">
        <v>650</v>
      </c>
      <c r="AF94" s="70">
        <v>60</v>
      </c>
      <c r="AG94" s="66">
        <f t="shared" si="15"/>
        <v>1420</v>
      </c>
    </row>
    <row r="95" spans="2:33" x14ac:dyDescent="0.35">
      <c r="B95" s="61">
        <v>810213</v>
      </c>
      <c r="C95" s="410"/>
      <c r="D95" s="64" t="s">
        <v>167</v>
      </c>
      <c r="E95" s="39" t="s">
        <v>168</v>
      </c>
      <c r="F95" s="38" t="s">
        <v>103</v>
      </c>
      <c r="G95" s="40">
        <v>4</v>
      </c>
      <c r="H95" s="69">
        <v>550</v>
      </c>
      <c r="I95" s="70">
        <v>50</v>
      </c>
      <c r="J95" s="66">
        <f t="shared" si="16"/>
        <v>2400</v>
      </c>
      <c r="N95" s="184">
        <v>810213</v>
      </c>
      <c r="O95" s="429"/>
      <c r="P95" s="161" t="s">
        <v>167</v>
      </c>
      <c r="Q95" s="162" t="s">
        <v>168</v>
      </c>
      <c r="R95" s="161" t="s">
        <v>103</v>
      </c>
      <c r="S95" s="163">
        <v>3</v>
      </c>
      <c r="T95" s="236">
        <v>838.54986413901202</v>
      </c>
      <c r="U95" s="164">
        <v>76.617678646351109</v>
      </c>
      <c r="V95" s="165">
        <f t="shared" si="17"/>
        <v>2745.5026283560892</v>
      </c>
      <c r="Y95" s="61">
        <v>810213</v>
      </c>
      <c r="Z95" s="410"/>
      <c r="AA95" s="38" t="s">
        <v>169</v>
      </c>
      <c r="AB95" s="39" t="s">
        <v>170</v>
      </c>
      <c r="AC95" s="38" t="s">
        <v>103</v>
      </c>
      <c r="AD95" s="283">
        <v>2</v>
      </c>
      <c r="AE95" s="69">
        <v>589</v>
      </c>
      <c r="AF95" s="70">
        <v>60</v>
      </c>
      <c r="AG95" s="66">
        <f t="shared" si="15"/>
        <v>1298</v>
      </c>
    </row>
    <row r="96" spans="2:33" x14ac:dyDescent="0.35">
      <c r="B96" s="61">
        <v>810213</v>
      </c>
      <c r="C96" s="410"/>
      <c r="D96" s="64" t="s">
        <v>169</v>
      </c>
      <c r="E96" s="39" t="s">
        <v>170</v>
      </c>
      <c r="F96" s="38" t="s">
        <v>103</v>
      </c>
      <c r="G96" s="239">
        <v>2</v>
      </c>
      <c r="H96" s="227">
        <v>450</v>
      </c>
      <c r="I96" s="240"/>
      <c r="J96" s="66">
        <f t="shared" si="16"/>
        <v>900</v>
      </c>
      <c r="N96" s="184">
        <v>810213</v>
      </c>
      <c r="O96" s="429"/>
      <c r="P96" s="161" t="s">
        <v>169</v>
      </c>
      <c r="Q96" s="162" t="s">
        <v>170</v>
      </c>
      <c r="R96" s="161" t="s">
        <v>103</v>
      </c>
      <c r="S96" s="163">
        <v>60</v>
      </c>
      <c r="T96" s="236">
        <v>762.1560107403775</v>
      </c>
      <c r="U96" s="164">
        <v>76.617678646351109</v>
      </c>
      <c r="V96" s="165">
        <f t="shared" si="17"/>
        <v>50326.421363203714</v>
      </c>
      <c r="Y96" s="61">
        <v>810213</v>
      </c>
      <c r="Z96" s="410"/>
      <c r="AA96" s="38" t="s">
        <v>171</v>
      </c>
      <c r="AB96" s="39" t="s">
        <v>172</v>
      </c>
      <c r="AC96" s="38" t="s">
        <v>79</v>
      </c>
      <c r="AD96" s="40"/>
      <c r="AE96" s="69"/>
      <c r="AF96" s="70"/>
      <c r="AG96" s="66">
        <f t="shared" si="15"/>
        <v>0</v>
      </c>
    </row>
    <row r="97" spans="2:33" ht="26" x14ac:dyDescent="0.35">
      <c r="B97" s="61">
        <v>810213</v>
      </c>
      <c r="C97" s="410"/>
      <c r="D97" s="64" t="s">
        <v>171</v>
      </c>
      <c r="E97" s="39" t="s">
        <v>172</v>
      </c>
      <c r="F97" s="38" t="s">
        <v>79</v>
      </c>
      <c r="G97" s="239">
        <f>35.2+10.8</f>
        <v>46</v>
      </c>
      <c r="H97" s="227">
        <v>100</v>
      </c>
      <c r="I97" s="240"/>
      <c r="J97" s="66">
        <f t="shared" si="16"/>
        <v>4600</v>
      </c>
      <c r="N97" s="184">
        <v>810213</v>
      </c>
      <c r="O97" s="429"/>
      <c r="P97" s="161" t="s">
        <v>171</v>
      </c>
      <c r="Q97" s="162" t="s">
        <v>172</v>
      </c>
      <c r="R97" s="161" t="s">
        <v>79</v>
      </c>
      <c r="S97" s="163">
        <v>77.98</v>
      </c>
      <c r="T97" s="236">
        <v>1270.2769943124954</v>
      </c>
      <c r="U97" s="236">
        <v>423.90949250902315</v>
      </c>
      <c r="V97" s="165">
        <f t="shared" si="17"/>
        <v>132112.66224234202</v>
      </c>
      <c r="Y97" s="61">
        <v>810213</v>
      </c>
      <c r="Z97" s="411"/>
      <c r="AA97" s="38" t="s">
        <v>173</v>
      </c>
      <c r="AB97" s="39" t="s">
        <v>400</v>
      </c>
      <c r="AC97" s="38" t="s">
        <v>103</v>
      </c>
      <c r="AD97" s="283">
        <v>33</v>
      </c>
      <c r="AE97" s="69">
        <v>1310</v>
      </c>
      <c r="AF97" s="70">
        <v>80</v>
      </c>
      <c r="AG97" s="66">
        <f t="shared" si="15"/>
        <v>45870</v>
      </c>
    </row>
    <row r="98" spans="2:33" ht="42.75" customHeight="1" x14ac:dyDescent="0.35">
      <c r="B98" s="61">
        <v>810213</v>
      </c>
      <c r="C98" s="411"/>
      <c r="D98" s="64" t="s">
        <v>173</v>
      </c>
      <c r="E98" s="63" t="s">
        <v>400</v>
      </c>
      <c r="F98" s="38" t="s">
        <v>103</v>
      </c>
      <c r="G98" s="40">
        <v>61</v>
      </c>
      <c r="H98" s="69">
        <v>350</v>
      </c>
      <c r="I98" s="70">
        <v>25</v>
      </c>
      <c r="J98" s="66">
        <f t="shared" si="16"/>
        <v>22875</v>
      </c>
      <c r="N98" s="184">
        <v>810213</v>
      </c>
      <c r="O98" s="432"/>
      <c r="P98" s="161" t="s">
        <v>173</v>
      </c>
      <c r="Q98" s="292" t="s">
        <v>400</v>
      </c>
      <c r="R98" s="161" t="s">
        <v>103</v>
      </c>
      <c r="S98" s="163">
        <v>63</v>
      </c>
      <c r="T98" s="234">
        <v>575.08019607602125</v>
      </c>
      <c r="U98" s="234">
        <v>0</v>
      </c>
      <c r="V98" s="165">
        <f t="shared" si="17"/>
        <v>36230.052352789338</v>
      </c>
      <c r="Y98" s="72"/>
      <c r="Z98" s="72"/>
      <c r="AA98" s="47" t="s">
        <v>175</v>
      </c>
      <c r="AB98" s="48" t="s">
        <v>176</v>
      </c>
      <c r="AC98" s="47"/>
      <c r="AD98" s="49"/>
      <c r="AE98" s="50"/>
      <c r="AF98" s="51"/>
      <c r="AG98" s="52">
        <f>SUM(AG99:AG110)</f>
        <v>190455.6</v>
      </c>
    </row>
    <row r="99" spans="2:33" x14ac:dyDescent="0.35">
      <c r="B99" s="72"/>
      <c r="C99" s="72"/>
      <c r="D99" s="47" t="s">
        <v>175</v>
      </c>
      <c r="E99" s="48" t="s">
        <v>176</v>
      </c>
      <c r="F99" s="47"/>
      <c r="G99" s="49"/>
      <c r="H99" s="50"/>
      <c r="I99" s="51"/>
      <c r="J99" s="52">
        <f>SUM(J100:J111)</f>
        <v>350621.58500000002</v>
      </c>
      <c r="N99" s="268"/>
      <c r="O99" s="268"/>
      <c r="P99" s="268" t="s">
        <v>175</v>
      </c>
      <c r="Q99" s="269" t="s">
        <v>176</v>
      </c>
      <c r="R99" s="268"/>
      <c r="S99" s="172"/>
      <c r="T99" s="173"/>
      <c r="U99" s="174"/>
      <c r="V99" s="175">
        <f>SUM(V100:V111)</f>
        <v>223568.27387197004</v>
      </c>
      <c r="Y99" s="61">
        <v>810260</v>
      </c>
      <c r="Z99" s="421" t="s">
        <v>176</v>
      </c>
      <c r="AA99" s="38" t="s">
        <v>177</v>
      </c>
      <c r="AB99" s="39" t="s">
        <v>178</v>
      </c>
      <c r="AC99" s="38" t="s">
        <v>79</v>
      </c>
      <c r="AD99" s="283">
        <v>126</v>
      </c>
      <c r="AE99" s="41">
        <v>35</v>
      </c>
      <c r="AF99" s="42">
        <v>65</v>
      </c>
      <c r="AG99" s="66">
        <f t="shared" ref="AG99:AG110" si="18">AD99*AE99+AF99*AD99</f>
        <v>12600</v>
      </c>
    </row>
    <row r="100" spans="2:33" ht="26" x14ac:dyDescent="0.35">
      <c r="B100" s="61">
        <v>810260</v>
      </c>
      <c r="C100" s="421" t="s">
        <v>176</v>
      </c>
      <c r="D100" s="38" t="s">
        <v>177</v>
      </c>
      <c r="E100" s="39" t="s">
        <v>178</v>
      </c>
      <c r="F100" s="38" t="s">
        <v>79</v>
      </c>
      <c r="G100" s="110">
        <v>118.5</v>
      </c>
      <c r="H100" s="238">
        <v>70</v>
      </c>
      <c r="I100" s="42"/>
      <c r="J100" s="66">
        <f t="shared" ref="J100:J111" si="19">G100*H100+I100*G100</f>
        <v>8295</v>
      </c>
      <c r="N100" s="184">
        <v>810260</v>
      </c>
      <c r="O100" s="446" t="s">
        <v>176</v>
      </c>
      <c r="P100" s="161" t="s">
        <v>177</v>
      </c>
      <c r="Q100" s="162" t="s">
        <v>178</v>
      </c>
      <c r="R100" s="161" t="s">
        <v>79</v>
      </c>
      <c r="S100" s="229">
        <v>60</v>
      </c>
      <c r="T100" s="164">
        <v>0</v>
      </c>
      <c r="U100" s="164">
        <v>19.09846334965864</v>
      </c>
      <c r="V100" s="165">
        <f t="shared" ref="V100:V111" si="20">S100*T100+U100*S100</f>
        <v>1145.9078009795185</v>
      </c>
      <c r="Y100" s="61">
        <v>810260</v>
      </c>
      <c r="Z100" s="422"/>
      <c r="AA100" s="38" t="s">
        <v>179</v>
      </c>
      <c r="AB100" s="39" t="s">
        <v>180</v>
      </c>
      <c r="AC100" s="38" t="s">
        <v>79</v>
      </c>
      <c r="AD100" s="40">
        <v>45</v>
      </c>
      <c r="AE100" s="41">
        <v>230</v>
      </c>
      <c r="AF100" s="42">
        <v>170</v>
      </c>
      <c r="AG100" s="66">
        <f t="shared" si="18"/>
        <v>18000</v>
      </c>
    </row>
    <row r="101" spans="2:33" ht="26" x14ac:dyDescent="0.35">
      <c r="B101" s="61">
        <v>810260</v>
      </c>
      <c r="C101" s="422"/>
      <c r="D101" s="38" t="s">
        <v>179</v>
      </c>
      <c r="E101" s="63" t="s">
        <v>180</v>
      </c>
      <c r="F101" s="38" t="s">
        <v>79</v>
      </c>
      <c r="G101" s="223">
        <v>28.164999999999999</v>
      </c>
      <c r="H101" s="238">
        <v>10</v>
      </c>
      <c r="I101" s="42">
        <v>45</v>
      </c>
      <c r="J101" s="66">
        <f t="shared" si="19"/>
        <v>1549.0749999999998</v>
      </c>
      <c r="K101" s="117" t="s">
        <v>375</v>
      </c>
      <c r="N101" s="184">
        <v>810260</v>
      </c>
      <c r="O101" s="429"/>
      <c r="P101" s="161" t="s">
        <v>179</v>
      </c>
      <c r="Q101" s="162" t="s">
        <v>180</v>
      </c>
      <c r="R101" s="161" t="s">
        <v>79</v>
      </c>
      <c r="S101" s="163">
        <v>41.2</v>
      </c>
      <c r="T101" s="164">
        <v>65.712780153287881</v>
      </c>
      <c r="U101" s="164">
        <v>63.658540458012737</v>
      </c>
      <c r="V101" s="165">
        <f t="shared" si="20"/>
        <v>5330.0984091855862</v>
      </c>
      <c r="Y101" s="61">
        <v>810260</v>
      </c>
      <c r="Z101" s="422"/>
      <c r="AA101" s="38" t="s">
        <v>181</v>
      </c>
      <c r="AB101" s="39" t="s">
        <v>182</v>
      </c>
      <c r="AC101" s="38" t="s">
        <v>79</v>
      </c>
      <c r="AD101" s="40">
        <v>45</v>
      </c>
      <c r="AE101" s="41">
        <v>280</v>
      </c>
      <c r="AF101" s="42">
        <v>210</v>
      </c>
      <c r="AG101" s="66">
        <f t="shared" si="18"/>
        <v>22050</v>
      </c>
    </row>
    <row r="102" spans="2:33" ht="26" x14ac:dyDescent="0.35">
      <c r="B102" s="61">
        <v>810260</v>
      </c>
      <c r="C102" s="422"/>
      <c r="D102" s="38" t="s">
        <v>181</v>
      </c>
      <c r="E102" s="63" t="s">
        <v>182</v>
      </c>
      <c r="F102" s="38" t="s">
        <v>79</v>
      </c>
      <c r="G102" s="223">
        <f>G101*2</f>
        <v>56.33</v>
      </c>
      <c r="H102" s="254">
        <v>10</v>
      </c>
      <c r="I102" s="105">
        <v>67</v>
      </c>
      <c r="J102" s="66">
        <f t="shared" si="19"/>
        <v>4337.41</v>
      </c>
      <c r="K102" s="117" t="s">
        <v>375</v>
      </c>
      <c r="N102" s="184">
        <v>810260</v>
      </c>
      <c r="O102" s="429"/>
      <c r="P102" s="161" t="s">
        <v>181</v>
      </c>
      <c r="Q102" s="162" t="s">
        <v>182</v>
      </c>
      <c r="R102" s="161" t="s">
        <v>79</v>
      </c>
      <c r="S102" s="167">
        <v>61.8</v>
      </c>
      <c r="T102" s="236">
        <v>97.380419694940628</v>
      </c>
      <c r="U102" s="164">
        <v>63.658540458012737</v>
      </c>
      <c r="V102" s="165">
        <f t="shared" si="20"/>
        <v>9952.2077374525179</v>
      </c>
      <c r="Y102" s="61">
        <v>810260</v>
      </c>
      <c r="Z102" s="422"/>
      <c r="AA102" s="38" t="s">
        <v>183</v>
      </c>
      <c r="AB102" s="39" t="s">
        <v>184</v>
      </c>
      <c r="AC102" s="38" t="s">
        <v>68</v>
      </c>
      <c r="AD102" s="40">
        <v>44</v>
      </c>
      <c r="AE102" s="41">
        <v>190</v>
      </c>
      <c r="AF102" s="42">
        <v>60</v>
      </c>
      <c r="AG102" s="66">
        <f t="shared" si="18"/>
        <v>11000</v>
      </c>
    </row>
    <row r="103" spans="2:33" x14ac:dyDescent="0.35">
      <c r="B103" s="61">
        <v>810260</v>
      </c>
      <c r="C103" s="422"/>
      <c r="D103" s="38" t="s">
        <v>183</v>
      </c>
      <c r="E103" s="63" t="s">
        <v>184</v>
      </c>
      <c r="F103" s="38" t="s">
        <v>68</v>
      </c>
      <c r="G103" s="103">
        <f>24.49+48.28+48.28</f>
        <v>121.05</v>
      </c>
      <c r="H103" s="104">
        <v>68</v>
      </c>
      <c r="I103" s="105">
        <v>10</v>
      </c>
      <c r="J103" s="66">
        <f t="shared" si="19"/>
        <v>9441.9</v>
      </c>
      <c r="N103" s="184">
        <v>810260</v>
      </c>
      <c r="O103" s="429"/>
      <c r="P103" s="161" t="s">
        <v>183</v>
      </c>
      <c r="Q103" s="162" t="s">
        <v>184</v>
      </c>
      <c r="R103" s="161" t="s">
        <v>68</v>
      </c>
      <c r="S103" s="167">
        <v>143.6</v>
      </c>
      <c r="T103" s="236">
        <v>230.48768288387197</v>
      </c>
      <c r="U103" s="164">
        <v>50.929235599089708</v>
      </c>
      <c r="V103" s="165">
        <f t="shared" si="20"/>
        <v>40411.469494153294</v>
      </c>
      <c r="W103" s="186"/>
      <c r="Y103" s="61">
        <v>810260</v>
      </c>
      <c r="Z103" s="422"/>
      <c r="AA103" s="38" t="s">
        <v>185</v>
      </c>
      <c r="AB103" s="39" t="s">
        <v>186</v>
      </c>
      <c r="AC103" s="38" t="s">
        <v>68</v>
      </c>
      <c r="AD103" s="40">
        <v>26</v>
      </c>
      <c r="AE103" s="41">
        <v>1320</v>
      </c>
      <c r="AF103" s="42">
        <v>310</v>
      </c>
      <c r="AG103" s="66">
        <f t="shared" si="18"/>
        <v>42380</v>
      </c>
    </row>
    <row r="104" spans="2:33" x14ac:dyDescent="0.35">
      <c r="B104" s="61">
        <v>810260</v>
      </c>
      <c r="C104" s="422"/>
      <c r="D104" s="38" t="s">
        <v>185</v>
      </c>
      <c r="E104" s="63" t="s">
        <v>186</v>
      </c>
      <c r="F104" s="38" t="s">
        <v>228</v>
      </c>
      <c r="G104" s="228">
        <v>62.16</v>
      </c>
      <c r="H104" s="254">
        <v>380</v>
      </c>
      <c r="I104" s="105"/>
      <c r="J104" s="66">
        <f t="shared" si="19"/>
        <v>23620.799999999999</v>
      </c>
      <c r="N104" s="184">
        <v>810260</v>
      </c>
      <c r="O104" s="429"/>
      <c r="P104" s="161" t="s">
        <v>185</v>
      </c>
      <c r="Q104" s="162" t="s">
        <v>186</v>
      </c>
      <c r="R104" s="161" t="s">
        <v>68</v>
      </c>
      <c r="S104" s="167">
        <v>1.27</v>
      </c>
      <c r="T104" s="236">
        <v>1328.0806581327504</v>
      </c>
      <c r="U104" s="164">
        <v>386.21829311920487</v>
      </c>
      <c r="V104" s="165">
        <f t="shared" si="20"/>
        <v>2177.1596680899834</v>
      </c>
      <c r="Y104" s="61">
        <v>810260</v>
      </c>
      <c r="Z104" s="422"/>
      <c r="AA104" s="38" t="s">
        <v>187</v>
      </c>
      <c r="AB104" s="39" t="s">
        <v>121</v>
      </c>
      <c r="AC104" s="38" t="s">
        <v>68</v>
      </c>
      <c r="AD104" s="283">
        <v>21</v>
      </c>
      <c r="AE104" s="41">
        <v>180</v>
      </c>
      <c r="AF104" s="42">
        <v>60</v>
      </c>
      <c r="AG104" s="66">
        <f t="shared" si="18"/>
        <v>5040</v>
      </c>
    </row>
    <row r="105" spans="2:33" x14ac:dyDescent="0.35">
      <c r="B105" s="61">
        <v>810260</v>
      </c>
      <c r="C105" s="422"/>
      <c r="D105" s="64" t="s">
        <v>187</v>
      </c>
      <c r="E105" s="63" t="s">
        <v>121</v>
      </c>
      <c r="F105" s="38" t="s">
        <v>68</v>
      </c>
      <c r="G105" s="40">
        <v>36.76</v>
      </c>
      <c r="H105" s="41">
        <v>35</v>
      </c>
      <c r="I105" s="42"/>
      <c r="J105" s="66">
        <f t="shared" si="19"/>
        <v>1286.5999999999999</v>
      </c>
      <c r="K105" s="109" t="s">
        <v>254</v>
      </c>
      <c r="N105" s="184">
        <v>810260</v>
      </c>
      <c r="O105" s="429"/>
      <c r="P105" s="161" t="s">
        <v>187</v>
      </c>
      <c r="Q105" s="162" t="s">
        <v>121</v>
      </c>
      <c r="R105" s="161" t="s">
        <v>68</v>
      </c>
      <c r="S105" s="163">
        <v>36.76</v>
      </c>
      <c r="T105" s="164">
        <v>201.17048061640435</v>
      </c>
      <c r="U105" s="164">
        <v>38.196926699317281</v>
      </c>
      <c r="V105" s="165">
        <f t="shared" si="20"/>
        <v>8799.1458929259261</v>
      </c>
      <c r="Y105" s="61">
        <v>810260</v>
      </c>
      <c r="Z105" s="422"/>
      <c r="AA105" s="38" t="s">
        <v>188</v>
      </c>
      <c r="AB105" s="39" t="s">
        <v>189</v>
      </c>
      <c r="AC105" s="38" t="s">
        <v>79</v>
      </c>
      <c r="AD105" s="283">
        <v>16</v>
      </c>
      <c r="AE105" s="41">
        <v>1280</v>
      </c>
      <c r="AF105" s="42">
        <v>920</v>
      </c>
      <c r="AG105" s="66">
        <f t="shared" si="18"/>
        <v>35200</v>
      </c>
    </row>
    <row r="106" spans="2:33" x14ac:dyDescent="0.35">
      <c r="B106" s="61">
        <v>810260</v>
      </c>
      <c r="C106" s="422"/>
      <c r="D106" s="38" t="s">
        <v>188</v>
      </c>
      <c r="E106" s="63" t="s">
        <v>347</v>
      </c>
      <c r="F106" s="38" t="s">
        <v>79</v>
      </c>
      <c r="G106" s="40">
        <v>67.73</v>
      </c>
      <c r="H106" s="238">
        <f>2800*1.25</f>
        <v>3500</v>
      </c>
      <c r="I106" s="42">
        <v>80</v>
      </c>
      <c r="J106" s="66">
        <f t="shared" si="19"/>
        <v>242473.4</v>
      </c>
      <c r="N106" s="184">
        <v>810260</v>
      </c>
      <c r="O106" s="429"/>
      <c r="P106" s="161" t="s">
        <v>188</v>
      </c>
      <c r="Q106" s="63" t="s">
        <v>347</v>
      </c>
      <c r="R106" s="161" t="s">
        <v>79</v>
      </c>
      <c r="S106" s="163">
        <v>67.73</v>
      </c>
      <c r="T106" s="164">
        <v>267.37848689522093</v>
      </c>
      <c r="U106" s="164">
        <v>19.09846334965864</v>
      </c>
      <c r="V106" s="165">
        <f t="shared" si="20"/>
        <v>19403.083840085692</v>
      </c>
      <c r="Y106" s="61">
        <v>810260</v>
      </c>
      <c r="Z106" s="422"/>
      <c r="AA106" s="38" t="s">
        <v>190</v>
      </c>
      <c r="AB106" s="39" t="s">
        <v>191</v>
      </c>
      <c r="AC106" s="38" t="s">
        <v>79</v>
      </c>
      <c r="AD106" s="40">
        <v>8.08</v>
      </c>
      <c r="AE106" s="41">
        <v>1210</v>
      </c>
      <c r="AF106" s="42">
        <v>360</v>
      </c>
      <c r="AG106" s="66">
        <f t="shared" si="18"/>
        <v>12685.599999999999</v>
      </c>
    </row>
    <row r="107" spans="2:33" x14ac:dyDescent="0.35">
      <c r="B107" s="61">
        <v>810260</v>
      </c>
      <c r="C107" s="422"/>
      <c r="D107" s="38" t="s">
        <v>190</v>
      </c>
      <c r="E107" s="63" t="s">
        <v>191</v>
      </c>
      <c r="F107" s="38" t="s">
        <v>79</v>
      </c>
      <c r="G107" s="40">
        <f>26.23-11.85</f>
        <v>14.38</v>
      </c>
      <c r="H107" s="41">
        <v>680</v>
      </c>
      <c r="I107" s="42"/>
      <c r="J107" s="66">
        <f t="shared" si="19"/>
        <v>9778.4</v>
      </c>
      <c r="N107" s="184">
        <v>810260</v>
      </c>
      <c r="O107" s="429"/>
      <c r="P107" s="161" t="s">
        <v>190</v>
      </c>
      <c r="Q107" s="162" t="s">
        <v>191</v>
      </c>
      <c r="R107" s="161" t="s">
        <v>79</v>
      </c>
      <c r="S107" s="163">
        <v>150</v>
      </c>
      <c r="T107" s="164">
        <v>572.95390048975923</v>
      </c>
      <c r="U107" s="164">
        <v>152.78770679726912</v>
      </c>
      <c r="V107" s="165">
        <f t="shared" si="20"/>
        <v>108861.24109305425</v>
      </c>
      <c r="Y107" s="61">
        <v>810260</v>
      </c>
      <c r="Z107" s="422"/>
      <c r="AA107" s="38" t="s">
        <v>192</v>
      </c>
      <c r="AB107" s="39" t="s">
        <v>193</v>
      </c>
      <c r="AC107" s="38" t="s">
        <v>68</v>
      </c>
      <c r="AD107" s="40">
        <v>0</v>
      </c>
      <c r="AE107" s="41"/>
      <c r="AF107" s="42"/>
      <c r="AG107" s="66">
        <f t="shared" si="18"/>
        <v>0</v>
      </c>
    </row>
    <row r="108" spans="2:33" x14ac:dyDescent="0.35">
      <c r="B108" s="61">
        <v>810260</v>
      </c>
      <c r="C108" s="422"/>
      <c r="D108" s="38" t="s">
        <v>192</v>
      </c>
      <c r="E108" s="63" t="s">
        <v>193</v>
      </c>
      <c r="F108" s="38" t="s">
        <v>68</v>
      </c>
      <c r="G108" s="40">
        <v>10.14</v>
      </c>
      <c r="H108" s="41">
        <v>250</v>
      </c>
      <c r="I108" s="42"/>
      <c r="J108" s="66">
        <f t="shared" si="19"/>
        <v>2535</v>
      </c>
      <c r="N108" s="184">
        <v>810260</v>
      </c>
      <c r="O108" s="429"/>
      <c r="P108" s="161" t="s">
        <v>192</v>
      </c>
      <c r="Q108" s="162" t="s">
        <v>193</v>
      </c>
      <c r="R108" s="161" t="s">
        <v>68</v>
      </c>
      <c r="S108" s="163">
        <v>136</v>
      </c>
      <c r="T108" s="164">
        <v>64.922043079939598</v>
      </c>
      <c r="U108" s="164">
        <v>17.825232459681398</v>
      </c>
      <c r="V108" s="165">
        <f t="shared" si="20"/>
        <v>11253.629473388455</v>
      </c>
      <c r="Y108" s="61">
        <v>810260</v>
      </c>
      <c r="Z108" s="422"/>
      <c r="AA108" s="38" t="s">
        <v>194</v>
      </c>
      <c r="AB108" s="39" t="s">
        <v>195</v>
      </c>
      <c r="AC108" s="38" t="s">
        <v>46</v>
      </c>
      <c r="AD108" s="40">
        <v>1</v>
      </c>
      <c r="AE108" s="41">
        <v>10000</v>
      </c>
      <c r="AF108" s="42">
        <v>4200</v>
      </c>
      <c r="AG108" s="66">
        <f t="shared" si="18"/>
        <v>14200</v>
      </c>
    </row>
    <row r="109" spans="2:33" x14ac:dyDescent="0.35">
      <c r="B109" s="61">
        <v>810260</v>
      </c>
      <c r="C109" s="422"/>
      <c r="D109" s="38" t="s">
        <v>194</v>
      </c>
      <c r="E109" s="63" t="s">
        <v>195</v>
      </c>
      <c r="F109" s="64" t="s">
        <v>228</v>
      </c>
      <c r="G109" s="40">
        <f>62.16+G101</f>
        <v>90.324999999999989</v>
      </c>
      <c r="H109" s="41">
        <v>320</v>
      </c>
      <c r="I109" s="42"/>
      <c r="J109" s="66">
        <f t="shared" si="19"/>
        <v>28903.999999999996</v>
      </c>
      <c r="N109" s="184">
        <v>810260</v>
      </c>
      <c r="O109" s="429"/>
      <c r="P109" s="161" t="s">
        <v>194</v>
      </c>
      <c r="Q109" s="162" t="s">
        <v>195</v>
      </c>
      <c r="R109" s="161" t="s">
        <v>46</v>
      </c>
      <c r="S109" s="163">
        <v>1</v>
      </c>
      <c r="T109" s="236">
        <v>6445.7313805097911</v>
      </c>
      <c r="U109" s="236">
        <v>2387.3079187073299</v>
      </c>
      <c r="V109" s="165">
        <f t="shared" si="20"/>
        <v>8833.0392992171219</v>
      </c>
      <c r="Y109" s="61">
        <v>810260</v>
      </c>
      <c r="Z109" s="422"/>
      <c r="AA109" s="38" t="s">
        <v>196</v>
      </c>
      <c r="AB109" s="39" t="s">
        <v>197</v>
      </c>
      <c r="AC109" s="38" t="s">
        <v>103</v>
      </c>
      <c r="AD109" s="40">
        <v>1</v>
      </c>
      <c r="AE109" s="41">
        <v>5500</v>
      </c>
      <c r="AF109" s="42">
        <v>1800</v>
      </c>
      <c r="AG109" s="66">
        <f t="shared" si="18"/>
        <v>7300</v>
      </c>
    </row>
    <row r="110" spans="2:33" x14ac:dyDescent="0.35">
      <c r="B110" s="61">
        <v>810260</v>
      </c>
      <c r="C110" s="422"/>
      <c r="D110" s="38" t="s">
        <v>196</v>
      </c>
      <c r="E110" s="63" t="s">
        <v>197</v>
      </c>
      <c r="F110" s="38" t="s">
        <v>103</v>
      </c>
      <c r="G110" s="40">
        <v>1</v>
      </c>
      <c r="H110" s="224">
        <v>3200</v>
      </c>
      <c r="I110" s="225"/>
      <c r="J110" s="66">
        <f t="shared" si="19"/>
        <v>3200</v>
      </c>
      <c r="N110" s="184">
        <v>810260</v>
      </c>
      <c r="O110" s="429"/>
      <c r="P110" s="161" t="s">
        <v>196</v>
      </c>
      <c r="Q110" s="162" t="s">
        <v>197</v>
      </c>
      <c r="R110" s="161" t="s">
        <v>103</v>
      </c>
      <c r="S110" s="163">
        <v>1</v>
      </c>
      <c r="T110" s="236">
        <v>2707.6528106256042</v>
      </c>
      <c r="U110" s="236">
        <v>1160.4226331252589</v>
      </c>
      <c r="V110" s="165">
        <f t="shared" si="20"/>
        <v>3868.0754437508631</v>
      </c>
      <c r="Y110" s="61">
        <v>810260</v>
      </c>
      <c r="Z110" s="423"/>
      <c r="AA110" s="38" t="s">
        <v>198</v>
      </c>
      <c r="AB110" s="39" t="s">
        <v>199</v>
      </c>
      <c r="AC110" s="38" t="s">
        <v>46</v>
      </c>
      <c r="AD110" s="40">
        <v>1</v>
      </c>
      <c r="AE110" s="41">
        <v>6500</v>
      </c>
      <c r="AF110" s="42">
        <v>3500</v>
      </c>
      <c r="AG110" s="66">
        <f t="shared" si="18"/>
        <v>10000</v>
      </c>
    </row>
    <row r="111" spans="2:33" x14ac:dyDescent="0.35">
      <c r="B111" s="61">
        <v>810260</v>
      </c>
      <c r="C111" s="423"/>
      <c r="D111" s="38" t="s">
        <v>198</v>
      </c>
      <c r="E111" s="39" t="s">
        <v>199</v>
      </c>
      <c r="F111" s="38" t="s">
        <v>46</v>
      </c>
      <c r="G111" s="40">
        <v>4</v>
      </c>
      <c r="H111" s="238">
        <v>3800</v>
      </c>
      <c r="I111" s="42"/>
      <c r="J111" s="66">
        <f t="shared" si="19"/>
        <v>15200</v>
      </c>
      <c r="N111" s="184">
        <v>810260</v>
      </c>
      <c r="O111" s="432"/>
      <c r="P111" s="161" t="s">
        <v>198</v>
      </c>
      <c r="Q111" s="162" t="s">
        <v>199</v>
      </c>
      <c r="R111" s="161" t="s">
        <v>46</v>
      </c>
      <c r="S111" s="163">
        <v>1</v>
      </c>
      <c r="T111" s="236">
        <v>2578.2925522039163</v>
      </c>
      <c r="U111" s="164">
        <v>954.92316748293194</v>
      </c>
      <c r="V111" s="165">
        <f t="shared" si="20"/>
        <v>3533.2157196868484</v>
      </c>
      <c r="Y111" s="72"/>
      <c r="Z111" s="72"/>
      <c r="AA111" s="47" t="s">
        <v>200</v>
      </c>
      <c r="AB111" s="48" t="s">
        <v>32</v>
      </c>
      <c r="AC111" s="47"/>
      <c r="AD111" s="49"/>
      <c r="AE111" s="50"/>
      <c r="AF111" s="51"/>
      <c r="AG111" s="52">
        <f>SUM(AG112:AG119)</f>
        <v>1025999.5</v>
      </c>
    </row>
    <row r="112" spans="2:33" x14ac:dyDescent="0.35">
      <c r="B112" s="72"/>
      <c r="C112" s="72"/>
      <c r="D112" s="47" t="s">
        <v>200</v>
      </c>
      <c r="E112" s="48" t="s">
        <v>32</v>
      </c>
      <c r="F112" s="47"/>
      <c r="G112" s="49"/>
      <c r="H112" s="50"/>
      <c r="I112" s="51"/>
      <c r="J112" s="52">
        <f>SUM(J113:J145)</f>
        <v>523282.90649999998</v>
      </c>
      <c r="N112" s="268"/>
      <c r="O112" s="268"/>
      <c r="P112" s="268" t="s">
        <v>200</v>
      </c>
      <c r="Q112" s="269" t="s">
        <v>32</v>
      </c>
      <c r="R112" s="268"/>
      <c r="S112" s="172"/>
      <c r="T112" s="173"/>
      <c r="U112" s="174"/>
      <c r="V112" s="175">
        <f>SUM(V113:V149)</f>
        <v>686270.14647484117</v>
      </c>
      <c r="Y112" s="61">
        <v>810213</v>
      </c>
      <c r="Z112" s="409" t="s">
        <v>32</v>
      </c>
      <c r="AA112" s="38" t="s">
        <v>201</v>
      </c>
      <c r="AB112" s="39" t="s">
        <v>391</v>
      </c>
      <c r="AC112" s="62" t="s">
        <v>79</v>
      </c>
      <c r="AD112" s="40">
        <v>99</v>
      </c>
      <c r="AE112" s="69">
        <v>35</v>
      </c>
      <c r="AF112" s="69">
        <v>15</v>
      </c>
      <c r="AG112" s="43">
        <f t="shared" ref="AG112:AG119" si="21">AD112*AE112+AF112*AD112</f>
        <v>4950</v>
      </c>
    </row>
    <row r="113" spans="2:33" ht="26" x14ac:dyDescent="0.35">
      <c r="B113" s="61">
        <v>810213</v>
      </c>
      <c r="C113" s="409" t="s">
        <v>32</v>
      </c>
      <c r="D113" s="38" t="s">
        <v>305</v>
      </c>
      <c r="E113" s="39" t="s">
        <v>226</v>
      </c>
      <c r="F113" s="62" t="s">
        <v>46</v>
      </c>
      <c r="G113" s="40">
        <v>1</v>
      </c>
      <c r="H113" s="252">
        <v>6500</v>
      </c>
      <c r="I113" s="70"/>
      <c r="J113" s="43">
        <f t="shared" ref="J113:J118" si="22">G113*H113+I113*G113</f>
        <v>6500</v>
      </c>
      <c r="N113" s="184">
        <v>810213</v>
      </c>
      <c r="O113" s="445" t="s">
        <v>32</v>
      </c>
      <c r="P113" s="161" t="s">
        <v>305</v>
      </c>
      <c r="Q113" s="162" t="s">
        <v>306</v>
      </c>
      <c r="R113" s="190" t="s">
        <v>103</v>
      </c>
      <c r="S113" s="163">
        <v>9</v>
      </c>
      <c r="T113" s="164">
        <v>0</v>
      </c>
      <c r="U113" s="236">
        <v>114.59078009795184</v>
      </c>
      <c r="V113" s="165">
        <f t="shared" ref="V113:V144" si="23">S113*T113+U113*S113</f>
        <v>1031.3170208815666</v>
      </c>
      <c r="Y113" s="61">
        <v>810041</v>
      </c>
      <c r="Z113" s="410"/>
      <c r="AA113" s="38" t="s">
        <v>202</v>
      </c>
      <c r="AB113" s="63" t="s">
        <v>392</v>
      </c>
      <c r="AC113" s="65" t="s">
        <v>103</v>
      </c>
      <c r="AD113" s="40">
        <v>236</v>
      </c>
      <c r="AE113" s="41">
        <v>109</v>
      </c>
      <c r="AF113" s="42">
        <v>70</v>
      </c>
      <c r="AG113" s="43">
        <f t="shared" si="21"/>
        <v>42244</v>
      </c>
    </row>
    <row r="114" spans="2:33" x14ac:dyDescent="0.35">
      <c r="B114" s="61">
        <v>810213</v>
      </c>
      <c r="C114" s="410"/>
      <c r="D114" s="38" t="s">
        <v>307</v>
      </c>
      <c r="E114" s="63" t="s">
        <v>227</v>
      </c>
      <c r="F114" s="65" t="s">
        <v>228</v>
      </c>
      <c r="G114" s="44">
        <v>40</v>
      </c>
      <c r="H114" s="252">
        <v>80</v>
      </c>
      <c r="I114" s="70">
        <v>50</v>
      </c>
      <c r="J114" s="43">
        <f t="shared" si="22"/>
        <v>5200</v>
      </c>
      <c r="N114" s="184">
        <v>810213</v>
      </c>
      <c r="O114" s="429"/>
      <c r="P114" s="161" t="s">
        <v>307</v>
      </c>
      <c r="Q114" s="185" t="s">
        <v>308</v>
      </c>
      <c r="R114" s="161" t="s">
        <v>79</v>
      </c>
      <c r="S114" s="194"/>
      <c r="T114" s="164">
        <v>0</v>
      </c>
      <c r="U114" s="237">
        <v>0</v>
      </c>
      <c r="V114" s="165">
        <f t="shared" si="23"/>
        <v>0</v>
      </c>
      <c r="W114" s="243" t="s">
        <v>372</v>
      </c>
      <c r="Y114" s="61">
        <v>810041</v>
      </c>
      <c r="Z114" s="410"/>
      <c r="AA114" s="38" t="s">
        <v>203</v>
      </c>
      <c r="AB114" s="288" t="s">
        <v>393</v>
      </c>
      <c r="AC114" s="62" t="s">
        <v>394</v>
      </c>
      <c r="AD114" s="40">
        <v>6</v>
      </c>
      <c r="AE114" s="69">
        <v>690</v>
      </c>
      <c r="AF114" s="70">
        <v>110</v>
      </c>
      <c r="AG114" s="43">
        <f t="shared" si="21"/>
        <v>4800</v>
      </c>
    </row>
    <row r="115" spans="2:33" x14ac:dyDescent="0.35">
      <c r="B115" s="61">
        <v>810041</v>
      </c>
      <c r="C115" s="410"/>
      <c r="D115" s="38" t="s">
        <v>309</v>
      </c>
      <c r="E115" s="63" t="s">
        <v>229</v>
      </c>
      <c r="F115" s="62" t="s">
        <v>228</v>
      </c>
      <c r="G115" s="40">
        <v>162.94999999999999</v>
      </c>
      <c r="H115" s="238">
        <v>90</v>
      </c>
      <c r="I115" s="42">
        <v>50</v>
      </c>
      <c r="J115" s="43">
        <f t="shared" si="22"/>
        <v>22812.999999999996</v>
      </c>
      <c r="N115" s="184">
        <v>810041</v>
      </c>
      <c r="O115" s="429"/>
      <c r="P115" s="161" t="s">
        <v>309</v>
      </c>
      <c r="Q115" s="185" t="s">
        <v>310</v>
      </c>
      <c r="R115" s="161" t="s">
        <v>79</v>
      </c>
      <c r="S115" s="163">
        <v>50</v>
      </c>
      <c r="T115" s="164">
        <v>0</v>
      </c>
      <c r="U115" s="236">
        <v>190.98463349658641</v>
      </c>
      <c r="V115" s="165">
        <f t="shared" si="23"/>
        <v>9549.2316748293197</v>
      </c>
      <c r="Y115" s="61">
        <v>810213</v>
      </c>
      <c r="Z115" s="410"/>
      <c r="AA115" s="38" t="s">
        <v>204</v>
      </c>
      <c r="AB115" s="63" t="s">
        <v>395</v>
      </c>
      <c r="AC115" s="38" t="s">
        <v>71</v>
      </c>
      <c r="AD115" s="40">
        <v>1</v>
      </c>
      <c r="AE115" s="41">
        <v>45000</v>
      </c>
      <c r="AF115" s="42">
        <v>15000</v>
      </c>
      <c r="AG115" s="43">
        <f t="shared" si="21"/>
        <v>60000</v>
      </c>
    </row>
    <row r="116" spans="2:33" x14ac:dyDescent="0.35">
      <c r="B116" s="61">
        <v>810080</v>
      </c>
      <c r="C116" s="410"/>
      <c r="D116" s="38" t="s">
        <v>311</v>
      </c>
      <c r="E116" s="39" t="s">
        <v>230</v>
      </c>
      <c r="F116" s="38" t="s">
        <v>228</v>
      </c>
      <c r="G116" s="40">
        <f>G114*4</f>
        <v>160</v>
      </c>
      <c r="H116" s="41">
        <v>30</v>
      </c>
      <c r="I116" s="42">
        <v>20</v>
      </c>
      <c r="J116" s="43">
        <f t="shared" si="22"/>
        <v>8000</v>
      </c>
      <c r="N116" s="184">
        <v>810080</v>
      </c>
      <c r="O116" s="429"/>
      <c r="P116" s="161" t="s">
        <v>311</v>
      </c>
      <c r="Q116" s="39" t="s">
        <v>232</v>
      </c>
      <c r="R116" s="38" t="s">
        <v>233</v>
      </c>
      <c r="S116" s="40">
        <v>2</v>
      </c>
      <c r="T116" s="164">
        <v>0</v>
      </c>
      <c r="U116" s="164">
        <v>0</v>
      </c>
      <c r="V116" s="165">
        <f t="shared" si="23"/>
        <v>0</v>
      </c>
      <c r="Y116" s="61">
        <v>810080</v>
      </c>
      <c r="Z116" s="410"/>
      <c r="AA116" s="38" t="s">
        <v>205</v>
      </c>
      <c r="AB116" s="39" t="s">
        <v>396</v>
      </c>
      <c r="AC116" s="62" t="s">
        <v>79</v>
      </c>
      <c r="AD116" s="40">
        <v>59.6</v>
      </c>
      <c r="AE116" s="69">
        <v>5850</v>
      </c>
      <c r="AF116" s="70">
        <v>550</v>
      </c>
      <c r="AG116" s="66">
        <f t="shared" si="21"/>
        <v>381440</v>
      </c>
    </row>
    <row r="117" spans="2:33" x14ac:dyDescent="0.35">
      <c r="B117" s="61" t="s">
        <v>32</v>
      </c>
      <c r="C117" s="410"/>
      <c r="D117" s="38" t="s">
        <v>312</v>
      </c>
      <c r="E117" s="39" t="s">
        <v>231</v>
      </c>
      <c r="F117" s="38" t="s">
        <v>206</v>
      </c>
      <c r="G117" s="40">
        <v>896.875</v>
      </c>
      <c r="H117" s="252">
        <v>19</v>
      </c>
      <c r="I117" s="69">
        <v>3</v>
      </c>
      <c r="J117" s="43">
        <f t="shared" si="22"/>
        <v>19731.25</v>
      </c>
      <c r="N117" s="184" t="s">
        <v>32</v>
      </c>
      <c r="O117" s="429"/>
      <c r="P117" s="161" t="s">
        <v>312</v>
      </c>
      <c r="Q117" s="162" t="s">
        <v>313</v>
      </c>
      <c r="R117" s="161" t="s">
        <v>79</v>
      </c>
      <c r="S117" s="163">
        <v>1.46</v>
      </c>
      <c r="T117" s="236">
        <v>241.91386909567609</v>
      </c>
      <c r="U117" s="164">
        <v>19.09846334965864</v>
      </c>
      <c r="V117" s="165">
        <f t="shared" si="23"/>
        <v>381.07800537018875</v>
      </c>
      <c r="Y117" s="61">
        <v>810080</v>
      </c>
      <c r="Z117" s="410"/>
      <c r="AA117" s="38" t="s">
        <v>207</v>
      </c>
      <c r="AB117" s="288" t="s">
        <v>397</v>
      </c>
      <c r="AC117" s="289" t="s">
        <v>398</v>
      </c>
      <c r="AD117" s="290">
        <v>26.5</v>
      </c>
      <c r="AE117" s="69">
        <v>5603</v>
      </c>
      <c r="AF117" s="70">
        <v>850</v>
      </c>
      <c r="AG117" s="66">
        <f t="shared" si="21"/>
        <v>171004.5</v>
      </c>
    </row>
    <row r="118" spans="2:33" x14ac:dyDescent="0.35">
      <c r="B118" s="61" t="s">
        <v>32</v>
      </c>
      <c r="C118" s="410"/>
      <c r="D118" s="38" t="s">
        <v>314</v>
      </c>
      <c r="E118" s="39" t="s">
        <v>232</v>
      </c>
      <c r="F118" s="38" t="s">
        <v>233</v>
      </c>
      <c r="G118" s="40">
        <v>2</v>
      </c>
      <c r="H118" s="252">
        <v>1200</v>
      </c>
      <c r="I118" s="69"/>
      <c r="J118" s="43">
        <f t="shared" si="22"/>
        <v>2400</v>
      </c>
      <c r="N118" s="184" t="s">
        <v>32</v>
      </c>
      <c r="O118" s="429"/>
      <c r="P118" s="161" t="s">
        <v>314</v>
      </c>
      <c r="Q118" s="162" t="s">
        <v>315</v>
      </c>
      <c r="R118" s="161" t="s">
        <v>79</v>
      </c>
      <c r="S118" s="163">
        <v>6.11</v>
      </c>
      <c r="T118" s="236">
        <v>799.38156041891864</v>
      </c>
      <c r="U118" s="236">
        <v>381.0636740516685</v>
      </c>
      <c r="V118" s="165">
        <f t="shared" si="23"/>
        <v>7212.5203826152883</v>
      </c>
      <c r="Y118" s="61">
        <v>810041</v>
      </c>
      <c r="Z118" s="410"/>
      <c r="AA118" s="38">
        <v>6.8</v>
      </c>
      <c r="AB118" s="63" t="s">
        <v>399</v>
      </c>
      <c r="AC118" s="65" t="s">
        <v>46</v>
      </c>
      <c r="AD118" s="40">
        <v>1</v>
      </c>
      <c r="AE118" s="41">
        <v>285709</v>
      </c>
      <c r="AF118" s="42">
        <v>75852</v>
      </c>
      <c r="AG118" s="66">
        <f t="shared" si="21"/>
        <v>361561</v>
      </c>
    </row>
    <row r="119" spans="2:33" ht="26" x14ac:dyDescent="0.35">
      <c r="B119" s="61" t="s">
        <v>32</v>
      </c>
      <c r="C119" s="410"/>
      <c r="D119" s="38" t="s">
        <v>316</v>
      </c>
      <c r="E119" s="39" t="s">
        <v>235</v>
      </c>
      <c r="F119" s="38" t="s">
        <v>206</v>
      </c>
      <c r="G119" s="44">
        <v>677.1</v>
      </c>
      <c r="H119" s="252">
        <v>70</v>
      </c>
      <c r="I119" s="69"/>
      <c r="J119" s="43">
        <f>H119*G119+I119*G119</f>
        <v>47397</v>
      </c>
      <c r="N119" s="184" t="s">
        <v>32</v>
      </c>
      <c r="O119" s="429"/>
      <c r="P119" s="161" t="s">
        <v>316</v>
      </c>
      <c r="Q119" s="162" t="s">
        <v>317</v>
      </c>
      <c r="R119" s="161" t="s">
        <v>79</v>
      </c>
      <c r="S119" s="194">
        <v>96.22</v>
      </c>
      <c r="T119" s="164">
        <v>53.082269034041225</v>
      </c>
      <c r="U119" s="236">
        <v>39.235026675988571</v>
      </c>
      <c r="V119" s="165">
        <f t="shared" si="23"/>
        <v>8882.7701932190666</v>
      </c>
      <c r="Y119" s="61" t="s">
        <v>32</v>
      </c>
      <c r="Z119" s="411"/>
      <c r="AA119" s="38">
        <v>6.8</v>
      </c>
      <c r="AB119" s="39"/>
      <c r="AC119" s="38" t="s">
        <v>68</v>
      </c>
      <c r="AD119" s="40"/>
      <c r="AE119" s="69"/>
      <c r="AF119" s="69"/>
      <c r="AG119" s="66">
        <f t="shared" si="21"/>
        <v>0</v>
      </c>
    </row>
    <row r="120" spans="2:33" x14ac:dyDescent="0.35">
      <c r="B120" s="61" t="s">
        <v>32</v>
      </c>
      <c r="C120" s="411"/>
      <c r="D120" s="38" t="s">
        <v>318</v>
      </c>
      <c r="E120" s="39" t="s">
        <v>358</v>
      </c>
      <c r="F120" s="38" t="s">
        <v>68</v>
      </c>
      <c r="G120" s="40">
        <v>191.63</v>
      </c>
      <c r="H120" s="69">
        <v>50</v>
      </c>
      <c r="I120" s="252">
        <v>20</v>
      </c>
      <c r="J120" s="66">
        <f t="shared" ref="J120:J145" si="24">G120*H120+I120*G120</f>
        <v>13414.1</v>
      </c>
      <c r="N120" s="184" t="s">
        <v>32</v>
      </c>
      <c r="O120" s="429"/>
      <c r="P120" s="161" t="s">
        <v>318</v>
      </c>
      <c r="Q120" s="162" t="s">
        <v>319</v>
      </c>
      <c r="R120" s="161" t="s">
        <v>79</v>
      </c>
      <c r="S120" s="194">
        <v>321.10000000000002</v>
      </c>
      <c r="T120" s="236">
        <v>127.18020702725103</v>
      </c>
      <c r="U120" s="164">
        <v>50.929235599089708</v>
      </c>
      <c r="V120" s="165">
        <f t="shared" si="23"/>
        <v>57190.942027318015</v>
      </c>
      <c r="Y120" s="73"/>
      <c r="Z120" s="74"/>
      <c r="AA120" s="75"/>
      <c r="AB120" s="73"/>
      <c r="AC120" s="76"/>
      <c r="AD120" s="76"/>
      <c r="AE120" s="76"/>
      <c r="AF120" s="76"/>
      <c r="AG120" s="77">
        <f>SUM(AG111,AG98,AG76,AG45,AG30)</f>
        <v>4403888.5999999996</v>
      </c>
    </row>
    <row r="121" spans="2:33" x14ac:dyDescent="0.35">
      <c r="B121" s="61"/>
      <c r="C121" s="106"/>
      <c r="D121" s="38" t="s">
        <v>320</v>
      </c>
      <c r="E121" s="63" t="s">
        <v>240</v>
      </c>
      <c r="F121" s="38" t="s">
        <v>228</v>
      </c>
      <c r="G121" s="40">
        <v>96.22</v>
      </c>
      <c r="H121" s="252">
        <f>145*1.3</f>
        <v>188.5</v>
      </c>
      <c r="I121" s="69">
        <v>45</v>
      </c>
      <c r="J121" s="66">
        <f t="shared" si="24"/>
        <v>22467.370000000003</v>
      </c>
      <c r="K121" s="109" t="s">
        <v>287</v>
      </c>
      <c r="N121" s="184" t="s">
        <v>32</v>
      </c>
      <c r="O121" s="429"/>
      <c r="P121" s="161" t="s">
        <v>320</v>
      </c>
      <c r="Q121" s="162" t="s">
        <v>321</v>
      </c>
      <c r="R121" s="161" t="s">
        <v>68</v>
      </c>
      <c r="S121" s="194">
        <v>295.88</v>
      </c>
      <c r="T121" s="164">
        <v>38.145284454419802</v>
      </c>
      <c r="U121" s="236">
        <v>71.921245673546338</v>
      </c>
      <c r="V121" s="165">
        <f t="shared" si="23"/>
        <v>32566.484934262618</v>
      </c>
      <c r="Y121" s="78"/>
      <c r="Z121" s="79"/>
      <c r="AA121" s="80"/>
      <c r="AB121" s="78"/>
      <c r="AC121" s="81"/>
      <c r="AD121" s="81"/>
      <c r="AE121" s="81"/>
      <c r="AF121" s="81"/>
      <c r="AG121" s="82"/>
    </row>
    <row r="122" spans="2:33" x14ac:dyDescent="0.35">
      <c r="B122" s="61"/>
      <c r="C122" s="106"/>
      <c r="D122" s="38" t="s">
        <v>322</v>
      </c>
      <c r="E122" s="39" t="s">
        <v>237</v>
      </c>
      <c r="F122" s="38" t="s">
        <v>228</v>
      </c>
      <c r="G122" s="40">
        <v>6.11</v>
      </c>
      <c r="H122" s="252">
        <f>245*1.35</f>
        <v>330.75</v>
      </c>
      <c r="I122" s="252">
        <v>30</v>
      </c>
      <c r="J122" s="66">
        <f t="shared" si="24"/>
        <v>2204.1825000000003</v>
      </c>
      <c r="N122" s="184" t="s">
        <v>32</v>
      </c>
      <c r="O122" s="429"/>
      <c r="P122" s="161" t="s">
        <v>322</v>
      </c>
      <c r="Q122" s="267" t="s">
        <v>323</v>
      </c>
      <c r="R122" s="161" t="s">
        <v>68</v>
      </c>
      <c r="S122" s="194">
        <v>164.69</v>
      </c>
      <c r="T122" s="164">
        <v>72.283725303621011</v>
      </c>
      <c r="U122" s="164">
        <v>19.641725413298769</v>
      </c>
      <c r="V122" s="165">
        <f t="shared" si="23"/>
        <v>15139.202478569518</v>
      </c>
      <c r="Y122" s="78"/>
      <c r="Z122" s="79"/>
      <c r="AA122" s="80"/>
      <c r="AB122" s="78"/>
      <c r="AC122" s="81"/>
      <c r="AD122" s="81"/>
      <c r="AE122" s="81"/>
      <c r="AF122" s="81"/>
      <c r="AG122" s="82"/>
    </row>
    <row r="123" spans="2:33" x14ac:dyDescent="0.35">
      <c r="B123" s="61"/>
      <c r="C123" s="106"/>
      <c r="D123" s="38" t="s">
        <v>324</v>
      </c>
      <c r="E123" s="39" t="s">
        <v>274</v>
      </c>
      <c r="F123" s="38" t="s">
        <v>228</v>
      </c>
      <c r="G123" s="40"/>
      <c r="H123" s="252"/>
      <c r="I123" s="69"/>
      <c r="J123" s="66">
        <f t="shared" si="24"/>
        <v>0</v>
      </c>
      <c r="N123" s="184" t="s">
        <v>32</v>
      </c>
      <c r="O123" s="429"/>
      <c r="P123" s="161" t="s">
        <v>324</v>
      </c>
      <c r="Q123" s="267" t="s">
        <v>325</v>
      </c>
      <c r="R123" s="161" t="s">
        <v>68</v>
      </c>
      <c r="S123" s="194">
        <v>160.25</v>
      </c>
      <c r="T123" s="164">
        <v>40.155017025935273</v>
      </c>
      <c r="U123" s="164">
        <v>19.641725413298769</v>
      </c>
      <c r="V123" s="165">
        <f t="shared" si="23"/>
        <v>9582.4279758872544</v>
      </c>
      <c r="Y123" s="78"/>
      <c r="Z123" s="79"/>
      <c r="AA123" s="80"/>
      <c r="AB123" s="78"/>
      <c r="AC123" s="81"/>
      <c r="AD123" s="81"/>
      <c r="AE123" s="81"/>
      <c r="AF123" s="81"/>
      <c r="AG123" s="82"/>
    </row>
    <row r="124" spans="2:33" ht="30" x14ac:dyDescent="0.35">
      <c r="B124" s="61"/>
      <c r="C124" s="106"/>
      <c r="D124" s="38" t="s">
        <v>326</v>
      </c>
      <c r="E124" s="39" t="s">
        <v>238</v>
      </c>
      <c r="F124" s="38" t="s">
        <v>228</v>
      </c>
      <c r="G124" s="40">
        <f>825.22*1.2</f>
        <v>990.26400000000001</v>
      </c>
      <c r="H124" s="69"/>
      <c r="I124" s="252">
        <v>35</v>
      </c>
      <c r="J124" s="66">
        <f t="shared" si="24"/>
        <v>34659.24</v>
      </c>
      <c r="K124" s="117" t="s">
        <v>286</v>
      </c>
      <c r="N124" s="184" t="s">
        <v>32</v>
      </c>
      <c r="O124" s="429"/>
      <c r="P124" s="161" t="s">
        <v>326</v>
      </c>
      <c r="Q124" s="162" t="s">
        <v>327</v>
      </c>
      <c r="R124" s="161" t="s">
        <v>46</v>
      </c>
      <c r="S124" s="194">
        <v>1</v>
      </c>
      <c r="T124" s="164">
        <v>0</v>
      </c>
      <c r="U124" s="236">
        <v>8912.616229840698</v>
      </c>
      <c r="V124" s="165">
        <f t="shared" si="23"/>
        <v>8912.616229840698</v>
      </c>
      <c r="Y124" s="83"/>
      <c r="Z124" s="84"/>
      <c r="AA124" s="84"/>
      <c r="AB124" s="85" t="s">
        <v>12</v>
      </c>
      <c r="AC124" s="86" t="s">
        <v>208</v>
      </c>
      <c r="AD124" s="87" t="s">
        <v>209</v>
      </c>
      <c r="AE124" s="86" t="s">
        <v>210</v>
      </c>
      <c r="AF124" s="86" t="s">
        <v>211</v>
      </c>
      <c r="AG124" s="86" t="s">
        <v>212</v>
      </c>
    </row>
    <row r="125" spans="2:33" ht="15" x14ac:dyDescent="0.35">
      <c r="B125" s="61"/>
      <c r="C125" s="106"/>
      <c r="D125" s="38" t="s">
        <v>329</v>
      </c>
      <c r="E125" s="39" t="s">
        <v>273</v>
      </c>
      <c r="F125" s="38" t="s">
        <v>228</v>
      </c>
      <c r="G125" s="40">
        <v>1.46</v>
      </c>
      <c r="H125" s="252">
        <v>350</v>
      </c>
      <c r="I125" s="252">
        <v>150</v>
      </c>
      <c r="J125" s="66">
        <f t="shared" si="24"/>
        <v>730</v>
      </c>
      <c r="N125" s="184"/>
      <c r="O125" s="429"/>
      <c r="P125" s="161"/>
      <c r="Q125" s="162" t="s">
        <v>328</v>
      </c>
      <c r="R125" s="161"/>
      <c r="S125" s="194"/>
      <c r="T125" s="164">
        <v>0</v>
      </c>
      <c r="U125" s="164">
        <v>0</v>
      </c>
      <c r="V125" s="165">
        <f t="shared" si="23"/>
        <v>0</v>
      </c>
      <c r="Y125" s="88"/>
      <c r="Z125" s="88"/>
      <c r="AA125" s="88"/>
      <c r="AB125" s="89" t="s">
        <v>213</v>
      </c>
      <c r="AC125" s="90"/>
      <c r="AD125" s="91"/>
      <c r="AE125" s="90"/>
      <c r="AF125" s="90"/>
      <c r="AG125" s="90"/>
    </row>
    <row r="126" spans="2:33" ht="26" x14ac:dyDescent="0.4">
      <c r="B126" s="61"/>
      <c r="C126" s="106"/>
      <c r="D126" s="38" t="s">
        <v>331</v>
      </c>
      <c r="E126" s="63" t="s">
        <v>256</v>
      </c>
      <c r="F126" s="38" t="s">
        <v>239</v>
      </c>
      <c r="G126" s="40">
        <v>164.69</v>
      </c>
      <c r="H126" s="252">
        <v>90</v>
      </c>
      <c r="I126" s="252">
        <v>30</v>
      </c>
      <c r="J126" s="66">
        <f t="shared" si="24"/>
        <v>19762.8</v>
      </c>
      <c r="N126" s="184" t="s">
        <v>32</v>
      </c>
      <c r="O126" s="429"/>
      <c r="P126" s="161" t="s">
        <v>329</v>
      </c>
      <c r="Q126" s="162" t="s">
        <v>330</v>
      </c>
      <c r="R126" s="161" t="s">
        <v>79</v>
      </c>
      <c r="S126" s="194">
        <v>65.23</v>
      </c>
      <c r="T126" s="236">
        <v>130.86621045373514</v>
      </c>
      <c r="U126" s="236">
        <v>50.929235599089708</v>
      </c>
      <c r="V126" s="165">
        <f t="shared" si="23"/>
        <v>11858.516946025766</v>
      </c>
      <c r="Y126" s="92"/>
      <c r="Z126" s="92"/>
      <c r="AA126" s="92"/>
      <c r="AB126" s="93" t="s">
        <v>214</v>
      </c>
      <c r="AC126" s="92" t="s">
        <v>215</v>
      </c>
      <c r="AD126" s="94">
        <v>20000</v>
      </c>
      <c r="AE126" s="95"/>
      <c r="AF126" s="95"/>
      <c r="AG126" s="95"/>
    </row>
    <row r="127" spans="2:33" ht="39" x14ac:dyDescent="0.4">
      <c r="B127" s="61"/>
      <c r="C127" s="106"/>
      <c r="D127" s="38" t="s">
        <v>333</v>
      </c>
      <c r="E127" s="63" t="s">
        <v>257</v>
      </c>
      <c r="F127" s="38" t="s">
        <v>239</v>
      </c>
      <c r="G127" s="40">
        <v>160.25</v>
      </c>
      <c r="H127" s="252">
        <v>30</v>
      </c>
      <c r="I127" s="252">
        <v>25</v>
      </c>
      <c r="J127" s="66">
        <f t="shared" si="24"/>
        <v>8813.75</v>
      </c>
      <c r="N127" s="184" t="s">
        <v>32</v>
      </c>
      <c r="O127" s="429"/>
      <c r="P127" s="161" t="s">
        <v>331</v>
      </c>
      <c r="Q127" s="162" t="s">
        <v>332</v>
      </c>
      <c r="R127" s="161" t="s">
        <v>79</v>
      </c>
      <c r="S127" s="194">
        <v>13.76</v>
      </c>
      <c r="T127" s="236">
        <v>169.27299106833846</v>
      </c>
      <c r="U127" s="236">
        <v>50.929235599089708</v>
      </c>
      <c r="V127" s="165">
        <f t="shared" si="23"/>
        <v>3029.9826389438113</v>
      </c>
      <c r="Y127" s="92"/>
      <c r="Z127" s="92"/>
      <c r="AA127" s="92"/>
      <c r="AB127" s="93" t="s">
        <v>216</v>
      </c>
      <c r="AC127" s="92" t="s">
        <v>217</v>
      </c>
      <c r="AD127" s="94">
        <v>90</v>
      </c>
      <c r="AE127" s="95">
        <f t="shared" ref="AE127:AE133" si="25">AD127*1.6</f>
        <v>144</v>
      </c>
      <c r="AF127" s="95">
        <f t="shared" ref="AF127:AF133" si="26">AD127*2</f>
        <v>180</v>
      </c>
      <c r="AG127" s="95">
        <f t="shared" ref="AG127:AG133" si="27">AD127*1.2</f>
        <v>108</v>
      </c>
    </row>
    <row r="128" spans="2:33" ht="26" x14ac:dyDescent="0.4">
      <c r="B128" s="61"/>
      <c r="C128" s="106"/>
      <c r="D128" s="38" t="s">
        <v>335</v>
      </c>
      <c r="E128" s="39" t="s">
        <v>259</v>
      </c>
      <c r="F128" s="38" t="s">
        <v>228</v>
      </c>
      <c r="G128" s="44">
        <v>32.69</v>
      </c>
      <c r="H128" s="252">
        <v>450</v>
      </c>
      <c r="I128" s="69"/>
      <c r="J128" s="66">
        <f t="shared" si="24"/>
        <v>14710.499999999998</v>
      </c>
      <c r="N128" s="184" t="s">
        <v>32</v>
      </c>
      <c r="O128" s="429"/>
      <c r="P128" s="161" t="s">
        <v>333</v>
      </c>
      <c r="Q128" s="162" t="s">
        <v>334</v>
      </c>
      <c r="R128" s="161" t="s">
        <v>79</v>
      </c>
      <c r="S128" s="194">
        <v>44.8</v>
      </c>
      <c r="T128" s="164">
        <v>31.830772249431067</v>
      </c>
      <c r="U128" s="164">
        <v>22.918156019590366</v>
      </c>
      <c r="V128" s="165">
        <f t="shared" si="23"/>
        <v>2452.7519864521601</v>
      </c>
      <c r="Y128" s="92"/>
      <c r="Z128" s="92"/>
      <c r="AA128" s="92"/>
      <c r="AB128" s="93" t="s">
        <v>218</v>
      </c>
      <c r="AC128" s="92" t="s">
        <v>217</v>
      </c>
      <c r="AD128" s="94">
        <v>70</v>
      </c>
      <c r="AE128" s="95">
        <f t="shared" si="25"/>
        <v>112</v>
      </c>
      <c r="AF128" s="95">
        <f t="shared" si="26"/>
        <v>140</v>
      </c>
      <c r="AG128" s="95">
        <f t="shared" si="27"/>
        <v>84</v>
      </c>
    </row>
    <row r="129" spans="2:33" ht="15" x14ac:dyDescent="0.4">
      <c r="B129" s="61"/>
      <c r="C129" s="106"/>
      <c r="D129" s="38" t="s">
        <v>337</v>
      </c>
      <c r="E129" s="39" t="s">
        <v>260</v>
      </c>
      <c r="F129" s="38" t="s">
        <v>228</v>
      </c>
      <c r="G129" s="40">
        <v>37.380000000000003</v>
      </c>
      <c r="H129" s="252">
        <v>480</v>
      </c>
      <c r="I129" s="69"/>
      <c r="J129" s="66">
        <f t="shared" si="24"/>
        <v>17942.400000000001</v>
      </c>
      <c r="N129" s="184" t="s">
        <v>32</v>
      </c>
      <c r="O129" s="429"/>
      <c r="P129" s="161" t="s">
        <v>335</v>
      </c>
      <c r="Q129" s="162" t="s">
        <v>336</v>
      </c>
      <c r="R129" s="161" t="s">
        <v>79</v>
      </c>
      <c r="S129" s="194"/>
      <c r="T129" s="237">
        <v>0</v>
      </c>
      <c r="U129" s="237">
        <v>0</v>
      </c>
      <c r="V129" s="165">
        <f t="shared" si="23"/>
        <v>0</v>
      </c>
      <c r="W129" s="243" t="s">
        <v>355</v>
      </c>
      <c r="Y129" s="92"/>
      <c r="Z129" s="92"/>
      <c r="AA129" s="92"/>
      <c r="AB129" s="93" t="s">
        <v>219</v>
      </c>
      <c r="AC129" s="92" t="s">
        <v>217</v>
      </c>
      <c r="AD129" s="94">
        <v>110</v>
      </c>
      <c r="AE129" s="95">
        <f t="shared" si="25"/>
        <v>176</v>
      </c>
      <c r="AF129" s="95">
        <f t="shared" si="26"/>
        <v>220</v>
      </c>
      <c r="AG129" s="95">
        <f t="shared" si="27"/>
        <v>132</v>
      </c>
    </row>
    <row r="130" spans="2:33" ht="15" x14ac:dyDescent="0.4">
      <c r="B130" s="61"/>
      <c r="C130" s="106"/>
      <c r="D130" s="38" t="s">
        <v>339</v>
      </c>
      <c r="E130" s="39" t="s">
        <v>266</v>
      </c>
      <c r="F130" s="38" t="s">
        <v>46</v>
      </c>
      <c r="G130" s="40">
        <v>1</v>
      </c>
      <c r="H130" s="252">
        <f>(16200*1.35)+5000</f>
        <v>26870</v>
      </c>
      <c r="I130" s="69"/>
      <c r="J130" s="66">
        <f t="shared" si="24"/>
        <v>26870</v>
      </c>
      <c r="N130" s="184" t="s">
        <v>32</v>
      </c>
      <c r="O130" s="429"/>
      <c r="P130" s="161" t="s">
        <v>337</v>
      </c>
      <c r="Q130" s="162" t="s">
        <v>338</v>
      </c>
      <c r="R130" s="161" t="s">
        <v>79</v>
      </c>
      <c r="S130" s="194">
        <v>19.649999999999999</v>
      </c>
      <c r="T130" s="236">
        <v>191.48417799688363</v>
      </c>
      <c r="U130" s="236">
        <v>63.658540458012737</v>
      </c>
      <c r="V130" s="165">
        <f t="shared" si="23"/>
        <v>5013.5544176387129</v>
      </c>
      <c r="Y130" s="92"/>
      <c r="Z130" s="92"/>
      <c r="AA130" s="92"/>
      <c r="AB130" s="93" t="s">
        <v>220</v>
      </c>
      <c r="AC130" s="92" t="s">
        <v>217</v>
      </c>
      <c r="AD130" s="94">
        <v>90</v>
      </c>
      <c r="AE130" s="95">
        <f t="shared" si="25"/>
        <v>144</v>
      </c>
      <c r="AF130" s="95">
        <f t="shared" si="26"/>
        <v>180</v>
      </c>
      <c r="AG130" s="95">
        <f t="shared" si="27"/>
        <v>108</v>
      </c>
    </row>
    <row r="131" spans="2:33" ht="15" x14ac:dyDescent="0.4">
      <c r="B131" s="61"/>
      <c r="C131" s="106"/>
      <c r="D131" s="38" t="s">
        <v>341</v>
      </c>
      <c r="E131" s="39" t="s">
        <v>268</v>
      </c>
      <c r="F131" s="38" t="s">
        <v>228</v>
      </c>
      <c r="G131" s="40">
        <v>69.239999999999995</v>
      </c>
      <c r="H131" s="252">
        <v>380</v>
      </c>
      <c r="I131" s="69"/>
      <c r="J131" s="66">
        <f t="shared" si="24"/>
        <v>26311.199999999997</v>
      </c>
      <c r="N131" s="184" t="s">
        <v>32</v>
      </c>
      <c r="O131" s="429"/>
      <c r="P131" s="161" t="s">
        <v>339</v>
      </c>
      <c r="Q131" s="162" t="s">
        <v>340</v>
      </c>
      <c r="R131" s="161" t="s">
        <v>46</v>
      </c>
      <c r="S131" s="194">
        <v>1</v>
      </c>
      <c r="T131" s="236">
        <v>21682.273235719123</v>
      </c>
      <c r="U131" s="164">
        <v>0</v>
      </c>
      <c r="V131" s="165">
        <f t="shared" si="23"/>
        <v>21682.273235719123</v>
      </c>
      <c r="Y131" s="92"/>
      <c r="Z131" s="92"/>
      <c r="AA131" s="92"/>
      <c r="AB131" s="93" t="s">
        <v>221</v>
      </c>
      <c r="AC131" s="92" t="s">
        <v>217</v>
      </c>
      <c r="AD131" s="94">
        <v>60</v>
      </c>
      <c r="AE131" s="95">
        <f t="shared" si="25"/>
        <v>96</v>
      </c>
      <c r="AF131" s="95">
        <f t="shared" si="26"/>
        <v>120</v>
      </c>
      <c r="AG131" s="95">
        <f t="shared" si="27"/>
        <v>72</v>
      </c>
    </row>
    <row r="132" spans="2:33" ht="15" x14ac:dyDescent="0.4">
      <c r="B132" s="61"/>
      <c r="C132" s="106"/>
      <c r="D132" s="38" t="s">
        <v>343</v>
      </c>
      <c r="E132" s="39" t="s">
        <v>269</v>
      </c>
      <c r="F132" s="38" t="s">
        <v>228</v>
      </c>
      <c r="G132" s="40">
        <v>39.674999999999997</v>
      </c>
      <c r="H132" s="252">
        <v>380</v>
      </c>
      <c r="I132" s="69"/>
      <c r="J132" s="66">
        <f t="shared" si="24"/>
        <v>15076.499999999998</v>
      </c>
      <c r="N132" s="184" t="s">
        <v>32</v>
      </c>
      <c r="O132" s="429"/>
      <c r="P132" s="161" t="s">
        <v>341</v>
      </c>
      <c r="Q132" s="162" t="s">
        <v>342</v>
      </c>
      <c r="R132" s="161" t="s">
        <v>46</v>
      </c>
      <c r="S132" s="163">
        <v>1</v>
      </c>
      <c r="T132" s="164">
        <v>0</v>
      </c>
      <c r="U132" s="236">
        <v>1527.8770679726913</v>
      </c>
      <c r="V132" s="165">
        <f t="shared" si="23"/>
        <v>1527.8770679726913</v>
      </c>
      <c r="Y132" s="92"/>
      <c r="Z132" s="92"/>
      <c r="AA132" s="92"/>
      <c r="AB132" s="93" t="s">
        <v>222</v>
      </c>
      <c r="AC132" s="92" t="s">
        <v>217</v>
      </c>
      <c r="AD132" s="94">
        <v>70</v>
      </c>
      <c r="AE132" s="95">
        <f t="shared" si="25"/>
        <v>112</v>
      </c>
      <c r="AF132" s="95">
        <f t="shared" si="26"/>
        <v>140</v>
      </c>
      <c r="AG132" s="95">
        <f t="shared" si="27"/>
        <v>84</v>
      </c>
    </row>
    <row r="133" spans="2:33" ht="15" x14ac:dyDescent="0.4">
      <c r="B133" s="61"/>
      <c r="C133" s="106"/>
      <c r="D133" s="38" t="s">
        <v>359</v>
      </c>
      <c r="E133" s="39" t="s">
        <v>281</v>
      </c>
      <c r="F133" s="38" t="s">
        <v>275</v>
      </c>
      <c r="G133" s="40">
        <f>(58.52)*0.15*1.5</f>
        <v>13.167000000000002</v>
      </c>
      <c r="H133" s="252">
        <v>440</v>
      </c>
      <c r="I133" s="252">
        <f>480*1.4</f>
        <v>672</v>
      </c>
      <c r="J133" s="66">
        <f t="shared" si="24"/>
        <v>14641.704000000002</v>
      </c>
      <c r="N133" s="184" t="s">
        <v>32</v>
      </c>
      <c r="O133" s="432"/>
      <c r="P133" s="161" t="s">
        <v>343</v>
      </c>
      <c r="Q133" s="63" t="s">
        <v>227</v>
      </c>
      <c r="R133" s="65" t="s">
        <v>228</v>
      </c>
      <c r="S133" s="241">
        <v>16.799999999999997</v>
      </c>
      <c r="T133" s="234">
        <v>81.950614971762235</v>
      </c>
      <c r="U133" s="234">
        <v>34.384543532176643</v>
      </c>
      <c r="V133" s="165">
        <f t="shared" si="23"/>
        <v>1954.430662866173</v>
      </c>
      <c r="Y133" s="92"/>
      <c r="Z133" s="92"/>
      <c r="AA133" s="92"/>
      <c r="AB133" s="93" t="s">
        <v>223</v>
      </c>
      <c r="AC133" s="92" t="s">
        <v>217</v>
      </c>
      <c r="AD133" s="94">
        <v>70</v>
      </c>
      <c r="AE133" s="95">
        <f t="shared" si="25"/>
        <v>112</v>
      </c>
      <c r="AF133" s="95">
        <f t="shared" si="26"/>
        <v>140</v>
      </c>
      <c r="AG133" s="95">
        <f t="shared" si="27"/>
        <v>84</v>
      </c>
    </row>
    <row r="134" spans="2:33" ht="15" x14ac:dyDescent="0.4">
      <c r="B134" s="61"/>
      <c r="C134" s="106"/>
      <c r="D134" s="38" t="s">
        <v>360</v>
      </c>
      <c r="E134" s="39" t="s">
        <v>282</v>
      </c>
      <c r="F134" s="38" t="s">
        <v>228</v>
      </c>
      <c r="G134" s="40">
        <f>50*2*3.1</f>
        <v>310</v>
      </c>
      <c r="H134" s="69">
        <v>80</v>
      </c>
      <c r="I134" s="69"/>
      <c r="J134" s="66">
        <f t="shared" si="24"/>
        <v>24800</v>
      </c>
      <c r="N134" s="184"/>
      <c r="O134" s="221"/>
      <c r="P134" s="161" t="s">
        <v>359</v>
      </c>
      <c r="Q134" s="63" t="s">
        <v>229</v>
      </c>
      <c r="R134" s="62" t="s">
        <v>228</v>
      </c>
      <c r="S134" s="241">
        <v>57.599999999999994</v>
      </c>
      <c r="T134" s="234">
        <v>44.161122157237678</v>
      </c>
      <c r="U134" s="234">
        <v>34.384543532176643</v>
      </c>
      <c r="V134" s="165">
        <f t="shared" si="23"/>
        <v>4524.2303437102646</v>
      </c>
      <c r="Y134" s="92"/>
      <c r="Z134" s="92"/>
      <c r="AA134" s="92"/>
      <c r="AB134" s="93"/>
      <c r="AC134" s="92"/>
      <c r="AD134" s="96"/>
      <c r="AE134" s="95"/>
      <c r="AF134" s="95"/>
      <c r="AG134" s="95"/>
    </row>
    <row r="135" spans="2:33" ht="15" x14ac:dyDescent="0.4">
      <c r="B135" s="61"/>
      <c r="C135" s="106"/>
      <c r="D135" s="38" t="s">
        <v>361</v>
      </c>
      <c r="E135" s="39" t="s">
        <v>276</v>
      </c>
      <c r="F135" s="38" t="s">
        <v>275</v>
      </c>
      <c r="G135" s="40">
        <f>15.8*1.32*1.5</f>
        <v>31.284000000000002</v>
      </c>
      <c r="H135" s="252">
        <f>300*1.4</f>
        <v>420</v>
      </c>
      <c r="I135" s="252">
        <f>300*1.4</f>
        <v>420</v>
      </c>
      <c r="J135" s="66">
        <f t="shared" si="24"/>
        <v>26278.560000000001</v>
      </c>
      <c r="N135" s="184"/>
      <c r="O135" s="221"/>
      <c r="P135" s="161" t="s">
        <v>360</v>
      </c>
      <c r="Q135" s="39" t="s">
        <v>358</v>
      </c>
      <c r="R135" s="38" t="s">
        <v>68</v>
      </c>
      <c r="S135" s="241">
        <v>949.2</v>
      </c>
      <c r="T135" s="234">
        <v>119.27519907564481</v>
      </c>
      <c r="U135" s="234">
        <v>43.773677997417607</v>
      </c>
      <c r="V135" s="165">
        <f t="shared" si="23"/>
        <v>154765.99411775084</v>
      </c>
      <c r="Y135" s="97"/>
      <c r="Z135" s="98"/>
      <c r="AA135" s="98"/>
      <c r="AB135" s="98"/>
      <c r="AC135" s="98"/>
      <c r="AD135" s="97"/>
      <c r="AE135" s="98"/>
      <c r="AF135" s="98"/>
      <c r="AG135" s="98"/>
    </row>
    <row r="136" spans="2:33" ht="15" x14ac:dyDescent="0.4">
      <c r="B136" s="61"/>
      <c r="C136" s="106"/>
      <c r="D136" s="38" t="s">
        <v>362</v>
      </c>
      <c r="E136" s="39" t="s">
        <v>283</v>
      </c>
      <c r="F136" s="38" t="s">
        <v>275</v>
      </c>
      <c r="G136" s="40">
        <v>6</v>
      </c>
      <c r="H136" s="252">
        <f>930*1.4</f>
        <v>1302</v>
      </c>
      <c r="I136" s="252">
        <f>620*1.4</f>
        <v>868</v>
      </c>
      <c r="J136" s="66">
        <f t="shared" si="24"/>
        <v>13020</v>
      </c>
      <c r="N136" s="184"/>
      <c r="O136" s="221"/>
      <c r="P136" s="161" t="s">
        <v>361</v>
      </c>
      <c r="Q136" s="39" t="s">
        <v>352</v>
      </c>
      <c r="R136" s="161" t="s">
        <v>206</v>
      </c>
      <c r="S136" s="266">
        <v>69.330600000000004</v>
      </c>
      <c r="T136" s="234">
        <v>1260.4985810774701</v>
      </c>
      <c r="U136" s="234">
        <v>840.33238738498017</v>
      </c>
      <c r="V136" s="165">
        <f t="shared" si="23"/>
        <v>145651.87154208275</v>
      </c>
      <c r="Y136" s="97"/>
      <c r="Z136" s="98"/>
      <c r="AA136" s="98"/>
      <c r="AB136" s="99"/>
      <c r="AC136" s="100"/>
      <c r="AD136" s="101"/>
      <c r="AE136" s="98"/>
      <c r="AF136" s="98"/>
      <c r="AG136" s="98"/>
    </row>
    <row r="137" spans="2:33" ht="15" x14ac:dyDescent="0.4">
      <c r="B137" s="61"/>
      <c r="C137" s="106"/>
      <c r="D137" s="38" t="s">
        <v>363</v>
      </c>
      <c r="E137" s="39" t="s">
        <v>288</v>
      </c>
      <c r="F137" s="38" t="s">
        <v>289</v>
      </c>
      <c r="G137" s="40">
        <v>61</v>
      </c>
      <c r="H137" s="252">
        <v>180</v>
      </c>
      <c r="I137" s="69"/>
      <c r="J137" s="66">
        <f t="shared" si="24"/>
        <v>10980</v>
      </c>
      <c r="N137" s="184"/>
      <c r="O137" s="221"/>
      <c r="P137" s="161" t="s">
        <v>362</v>
      </c>
      <c r="Q137" s="39" t="s">
        <v>353</v>
      </c>
      <c r="R137" s="161" t="s">
        <v>206</v>
      </c>
      <c r="S137" s="266">
        <v>34.353000000000002</v>
      </c>
      <c r="T137" s="234">
        <v>1388.6238055358799</v>
      </c>
      <c r="U137" s="234">
        <v>270.1413979264716</v>
      </c>
      <c r="V137" s="165">
        <f t="shared" si="23"/>
        <v>56983.561034542166</v>
      </c>
      <c r="AA137" s="98"/>
      <c r="AB137" s="99"/>
      <c r="AC137" s="100"/>
      <c r="AD137" s="101"/>
      <c r="AE137" s="98"/>
      <c r="AF137" s="98"/>
      <c r="AG137" s="98"/>
    </row>
    <row r="138" spans="2:33" x14ac:dyDescent="0.35">
      <c r="B138" s="61"/>
      <c r="C138" s="106"/>
      <c r="D138" s="38" t="s">
        <v>364</v>
      </c>
      <c r="E138" s="63" t="s">
        <v>377</v>
      </c>
      <c r="F138" s="62" t="s">
        <v>79</v>
      </c>
      <c r="G138" s="44">
        <v>35</v>
      </c>
      <c r="H138" s="227">
        <v>200</v>
      </c>
      <c r="I138" s="227"/>
      <c r="J138" s="66">
        <f t="shared" si="24"/>
        <v>7000</v>
      </c>
      <c r="N138" s="184"/>
      <c r="O138" s="221"/>
      <c r="P138" s="161" t="s">
        <v>363</v>
      </c>
      <c r="Q138" s="63" t="s">
        <v>348</v>
      </c>
      <c r="R138" s="161" t="s">
        <v>206</v>
      </c>
      <c r="S138" s="241">
        <v>8.43</v>
      </c>
      <c r="T138" s="234">
        <v>1260.4985810774701</v>
      </c>
      <c r="U138" s="234">
        <v>840.33238738498017</v>
      </c>
      <c r="V138" s="165">
        <f t="shared" si="23"/>
        <v>17710.005064138455</v>
      </c>
    </row>
    <row r="139" spans="2:33" x14ac:dyDescent="0.35">
      <c r="B139" s="61"/>
      <c r="C139" s="106"/>
      <c r="D139" s="38" t="s">
        <v>365</v>
      </c>
      <c r="E139" s="63" t="s">
        <v>349</v>
      </c>
      <c r="F139" s="62" t="s">
        <v>79</v>
      </c>
      <c r="G139" s="40">
        <v>833</v>
      </c>
      <c r="H139" s="224">
        <v>19</v>
      </c>
      <c r="I139" s="225">
        <v>32.5</v>
      </c>
      <c r="J139" s="66">
        <f t="shared" si="24"/>
        <v>42899.5</v>
      </c>
      <c r="N139" s="184"/>
      <c r="O139" s="221"/>
      <c r="P139" s="161" t="s">
        <v>364</v>
      </c>
      <c r="Q139" s="39" t="s">
        <v>268</v>
      </c>
      <c r="R139" s="161" t="s">
        <v>206</v>
      </c>
      <c r="S139" s="241">
        <v>77.260000000000005</v>
      </c>
      <c r="T139" s="234">
        <v>223.38835964650721</v>
      </c>
      <c r="U139" s="234">
        <v>67.016507893952166</v>
      </c>
      <c r="V139" s="165">
        <f t="shared" si="23"/>
        <v>22436.68006617589</v>
      </c>
    </row>
    <row r="140" spans="2:33" x14ac:dyDescent="0.35">
      <c r="B140" s="61"/>
      <c r="C140" s="106"/>
      <c r="D140" s="38" t="s">
        <v>366</v>
      </c>
      <c r="E140" s="39" t="s">
        <v>350</v>
      </c>
      <c r="F140" s="62" t="s">
        <v>79</v>
      </c>
      <c r="G140" s="40">
        <v>6</v>
      </c>
      <c r="H140" s="224">
        <v>19</v>
      </c>
      <c r="I140" s="225">
        <v>32.5</v>
      </c>
      <c r="J140" s="66">
        <f t="shared" si="24"/>
        <v>309</v>
      </c>
      <c r="N140" s="184"/>
      <c r="O140" s="221"/>
      <c r="P140" s="161" t="s">
        <v>365</v>
      </c>
      <c r="Q140" s="39" t="s">
        <v>281</v>
      </c>
      <c r="R140" s="38" t="s">
        <v>275</v>
      </c>
      <c r="S140" s="241">
        <v>4.74</v>
      </c>
      <c r="T140" s="234">
        <v>218.6799518153714</v>
      </c>
      <c r="U140" s="234">
        <v>154.43027999163021</v>
      </c>
      <c r="V140" s="165">
        <f t="shared" si="23"/>
        <v>1768.5424987651877</v>
      </c>
    </row>
    <row r="141" spans="2:33" x14ac:dyDescent="0.35">
      <c r="B141" s="61"/>
      <c r="C141" s="106"/>
      <c r="D141" s="38" t="s">
        <v>367</v>
      </c>
      <c r="E141" s="39" t="s">
        <v>351</v>
      </c>
      <c r="F141" s="62" t="s">
        <v>79</v>
      </c>
      <c r="G141" s="44">
        <v>103.3</v>
      </c>
      <c r="H141" s="227">
        <f>65*1.3</f>
        <v>84.5</v>
      </c>
      <c r="I141" s="227">
        <v>45</v>
      </c>
      <c r="J141" s="66">
        <f t="shared" si="24"/>
        <v>13377.35</v>
      </c>
      <c r="K141" s="120"/>
      <c r="N141" s="184"/>
      <c r="O141" s="221"/>
      <c r="P141" s="161" t="s">
        <v>366</v>
      </c>
      <c r="Q141" s="39" t="s">
        <v>282</v>
      </c>
      <c r="R141" s="38" t="s">
        <v>228</v>
      </c>
      <c r="S141" s="241">
        <v>284.69</v>
      </c>
      <c r="T141" s="234">
        <v>152.90472481843642</v>
      </c>
      <c r="U141" s="234">
        <v>35.960622836773176</v>
      </c>
      <c r="V141" s="165">
        <f t="shared" si="23"/>
        <v>53768.075823961626</v>
      </c>
    </row>
    <row r="142" spans="2:33" x14ac:dyDescent="0.35">
      <c r="B142" s="61"/>
      <c r="C142" s="106"/>
      <c r="D142" s="38" t="s">
        <v>368</v>
      </c>
      <c r="E142" s="39" t="s">
        <v>352</v>
      </c>
      <c r="F142" s="62" t="s">
        <v>79</v>
      </c>
      <c r="G142" s="44">
        <v>67</v>
      </c>
      <c r="H142" s="227">
        <v>350</v>
      </c>
      <c r="I142" s="227">
        <v>50</v>
      </c>
      <c r="J142" s="66">
        <f t="shared" si="24"/>
        <v>26800</v>
      </c>
      <c r="K142" s="120"/>
      <c r="N142" s="184"/>
      <c r="O142" s="221"/>
      <c r="P142" s="161" t="s">
        <v>367</v>
      </c>
      <c r="Q142" s="39" t="s">
        <v>276</v>
      </c>
      <c r="R142" s="38" t="s">
        <v>275</v>
      </c>
      <c r="S142" s="241">
        <v>18.96</v>
      </c>
      <c r="T142" s="234">
        <v>0</v>
      </c>
      <c r="U142" s="234">
        <v>89.126162298406982</v>
      </c>
      <c r="V142" s="165">
        <f t="shared" si="23"/>
        <v>1689.8320371777963</v>
      </c>
    </row>
    <row r="143" spans="2:33" x14ac:dyDescent="0.35">
      <c r="B143" s="61"/>
      <c r="C143" s="106"/>
      <c r="D143" s="38" t="s">
        <v>369</v>
      </c>
      <c r="E143" s="39" t="s">
        <v>353</v>
      </c>
      <c r="F143" s="62" t="s">
        <v>68</v>
      </c>
      <c r="G143" s="44">
        <v>30</v>
      </c>
      <c r="H143" s="227">
        <v>850</v>
      </c>
      <c r="I143" s="227"/>
      <c r="J143" s="66">
        <f t="shared" si="24"/>
        <v>25500</v>
      </c>
      <c r="K143" s="120"/>
      <c r="N143" s="184"/>
      <c r="O143" s="221"/>
      <c r="P143" s="161" t="s">
        <v>368</v>
      </c>
      <c r="Q143" s="39" t="s">
        <v>283</v>
      </c>
      <c r="R143" s="38" t="s">
        <v>275</v>
      </c>
      <c r="S143" s="266">
        <v>10.0464</v>
      </c>
      <c r="T143" s="234">
        <v>1355.1875273311146</v>
      </c>
      <c r="U143" s="234">
        <v>150.86428895439067</v>
      </c>
      <c r="V143" s="165">
        <f t="shared" si="23"/>
        <v>15130.398967130701</v>
      </c>
    </row>
    <row r="144" spans="2:33" x14ac:dyDescent="0.35">
      <c r="B144" s="61"/>
      <c r="C144" s="106"/>
      <c r="D144" s="38" t="s">
        <v>370</v>
      </c>
      <c r="E144" s="162" t="s">
        <v>306</v>
      </c>
      <c r="F144" s="190" t="s">
        <v>103</v>
      </c>
      <c r="G144" s="163">
        <v>9</v>
      </c>
      <c r="H144" s="227">
        <v>200</v>
      </c>
      <c r="I144" s="227"/>
      <c r="J144" s="66">
        <f t="shared" si="24"/>
        <v>1800</v>
      </c>
      <c r="K144" s="120"/>
      <c r="N144" s="184"/>
      <c r="O144" s="221"/>
      <c r="P144" s="161" t="s">
        <v>369</v>
      </c>
      <c r="Q144" s="162" t="s">
        <v>387</v>
      </c>
      <c r="R144" s="38" t="s">
        <v>275</v>
      </c>
      <c r="S144" s="163">
        <v>16.32</v>
      </c>
      <c r="T144" s="164">
        <v>795.42553389548277</v>
      </c>
      <c r="U144" s="164">
        <v>54.634337488923485</v>
      </c>
      <c r="V144" s="165">
        <f t="shared" si="23"/>
        <v>13872.97710099351</v>
      </c>
    </row>
    <row r="145" spans="2:22" x14ac:dyDescent="0.35">
      <c r="B145" s="61"/>
      <c r="C145" s="106"/>
      <c r="D145" s="38" t="s">
        <v>371</v>
      </c>
      <c r="E145" s="39" t="s">
        <v>376</v>
      </c>
      <c r="F145" s="62" t="s">
        <v>228</v>
      </c>
      <c r="G145" s="44">
        <v>17.47</v>
      </c>
      <c r="H145" s="69"/>
      <c r="I145" s="69">
        <v>50</v>
      </c>
      <c r="J145" s="66">
        <f t="shared" si="24"/>
        <v>873.5</v>
      </c>
      <c r="K145" s="117" t="s">
        <v>375</v>
      </c>
      <c r="N145" s="184"/>
      <c r="O145" s="221"/>
      <c r="P145" s="161"/>
      <c r="Q145" s="162"/>
      <c r="R145" s="161"/>
      <c r="S145" s="163"/>
      <c r="T145" s="164"/>
      <c r="U145" s="164"/>
      <c r="V145" s="165"/>
    </row>
    <row r="146" spans="2:22" x14ac:dyDescent="0.35">
      <c r="B146" s="61"/>
      <c r="C146" s="106"/>
      <c r="D146" s="64"/>
      <c r="E146" s="39"/>
      <c r="F146" s="62"/>
      <c r="G146" s="44"/>
      <c r="H146" s="69"/>
      <c r="I146" s="69"/>
      <c r="J146" s="66"/>
      <c r="K146" s="120"/>
      <c r="N146" s="184"/>
      <c r="O146" s="221"/>
      <c r="P146" s="161"/>
      <c r="Q146" s="162"/>
      <c r="R146" s="161"/>
      <c r="S146" s="163"/>
      <c r="T146" s="164"/>
      <c r="U146" s="164"/>
      <c r="V146" s="165"/>
    </row>
    <row r="147" spans="2:22" x14ac:dyDescent="0.35">
      <c r="B147" s="73"/>
      <c r="C147" s="74"/>
      <c r="D147" s="75"/>
      <c r="E147" s="73"/>
      <c r="F147" s="76"/>
      <c r="G147" s="76"/>
      <c r="H147" s="76"/>
      <c r="I147" s="76"/>
      <c r="J147" s="77">
        <f>SUM(J112,J99,J77,J45,J30)</f>
        <v>3085887.3514999999</v>
      </c>
      <c r="N147" s="184"/>
      <c r="O147" s="221"/>
      <c r="P147" s="161"/>
      <c r="Q147" s="162"/>
      <c r="R147" s="161"/>
      <c r="S147" s="163"/>
      <c r="T147" s="164"/>
      <c r="U147" s="164"/>
      <c r="V147" s="165"/>
    </row>
    <row r="148" spans="2:22" x14ac:dyDescent="0.35">
      <c r="B148" s="78"/>
      <c r="C148" s="79"/>
      <c r="D148" s="80"/>
      <c r="E148" s="78"/>
      <c r="F148" s="81"/>
      <c r="G148" s="81"/>
      <c r="H148" s="81"/>
      <c r="I148" s="81"/>
      <c r="J148" s="82"/>
      <c r="N148" s="161"/>
      <c r="O148" s="162"/>
      <c r="P148" s="161"/>
      <c r="Q148" s="163"/>
      <c r="R148" s="164"/>
      <c r="S148" s="164"/>
      <c r="T148" s="164"/>
      <c r="U148" s="164"/>
      <c r="V148" s="162"/>
    </row>
    <row r="149" spans="2:22" x14ac:dyDescent="0.35">
      <c r="B149" s="78"/>
      <c r="C149" s="79"/>
      <c r="D149" s="80"/>
      <c r="E149" s="78"/>
      <c r="F149" s="81"/>
      <c r="G149" s="81"/>
      <c r="H149" s="81"/>
      <c r="I149" s="81"/>
      <c r="J149" s="82"/>
      <c r="N149" s="161"/>
      <c r="O149" s="162"/>
      <c r="P149" s="161"/>
      <c r="Q149" s="163"/>
      <c r="R149" s="164"/>
      <c r="S149" s="164"/>
      <c r="T149" s="165"/>
      <c r="U149" s="161"/>
      <c r="V149" s="162"/>
    </row>
    <row r="150" spans="2:22" x14ac:dyDescent="0.35">
      <c r="B150" s="78"/>
      <c r="C150" s="79"/>
      <c r="D150" s="80"/>
      <c r="E150" s="78"/>
      <c r="F150" s="81"/>
      <c r="G150" s="81"/>
      <c r="H150" s="81"/>
      <c r="I150" s="81"/>
      <c r="J150" s="82"/>
      <c r="N150" s="433" t="s">
        <v>33</v>
      </c>
      <c r="O150" s="452"/>
      <c r="P150" s="452"/>
      <c r="Q150" s="452"/>
      <c r="R150" s="452"/>
      <c r="S150" s="452"/>
      <c r="T150" s="265"/>
      <c r="U150" s="265"/>
      <c r="V150" s="264">
        <f>SUM(V112,V99,V77,V45,V30)</f>
        <v>7442972.7419646457</v>
      </c>
    </row>
    <row r="151" spans="2:22" ht="30" x14ac:dyDescent="0.35">
      <c r="B151" s="83"/>
      <c r="C151" s="84"/>
      <c r="D151" s="84"/>
      <c r="E151" s="85" t="s">
        <v>12</v>
      </c>
      <c r="F151" s="86" t="s">
        <v>208</v>
      </c>
      <c r="G151" s="87" t="s">
        <v>209</v>
      </c>
      <c r="H151" s="86" t="s">
        <v>210</v>
      </c>
      <c r="I151" s="86" t="s">
        <v>211</v>
      </c>
      <c r="J151" s="86" t="s">
        <v>212</v>
      </c>
      <c r="N151" s="261"/>
      <c r="O151" s="263"/>
      <c r="P151" s="262"/>
      <c r="Q151" s="261"/>
      <c r="R151" s="260"/>
      <c r="S151" s="260"/>
      <c r="T151" s="260"/>
      <c r="U151" s="260"/>
      <c r="V151" s="259"/>
    </row>
    <row r="152" spans="2:22" ht="15" x14ac:dyDescent="0.35">
      <c r="B152" s="88"/>
      <c r="C152" s="88"/>
      <c r="D152" s="88"/>
      <c r="E152" s="89" t="s">
        <v>213</v>
      </c>
      <c r="F152" s="90"/>
      <c r="G152" s="91"/>
      <c r="H152" s="90"/>
      <c r="I152" s="90"/>
      <c r="J152" s="90"/>
      <c r="N152" s="261"/>
      <c r="O152" s="263"/>
      <c r="P152" s="262"/>
      <c r="Q152" s="261"/>
      <c r="R152" s="260"/>
      <c r="S152" s="260"/>
      <c r="T152" s="260"/>
      <c r="U152" s="260"/>
      <c r="V152" s="259"/>
    </row>
    <row r="153" spans="2:22" ht="15" x14ac:dyDescent="0.4">
      <c r="B153" s="92"/>
      <c r="C153" s="92"/>
      <c r="D153" s="92"/>
      <c r="E153" s="93" t="s">
        <v>214</v>
      </c>
      <c r="F153" s="92" t="s">
        <v>215</v>
      </c>
      <c r="G153" s="94"/>
      <c r="H153" s="95"/>
      <c r="I153" s="95"/>
      <c r="J153" s="95"/>
      <c r="N153" s="261"/>
      <c r="O153" s="263"/>
      <c r="P153" s="262"/>
      <c r="Q153" s="261"/>
      <c r="R153" s="260"/>
      <c r="S153" s="260"/>
      <c r="T153" s="260" t="s">
        <v>210</v>
      </c>
      <c r="U153" s="260" t="s">
        <v>211</v>
      </c>
      <c r="V153" s="259"/>
    </row>
    <row r="154" spans="2:22" ht="30" x14ac:dyDescent="0.4">
      <c r="B154" s="92"/>
      <c r="C154" s="92"/>
      <c r="D154" s="92"/>
      <c r="E154" s="93" t="s">
        <v>216</v>
      </c>
      <c r="F154" s="92" t="s">
        <v>217</v>
      </c>
      <c r="G154" s="94"/>
      <c r="H154" s="95">
        <f t="shared" ref="H154:H160" si="28">G154*1.6</f>
        <v>0</v>
      </c>
      <c r="I154" s="95">
        <f t="shared" ref="I154:I160" si="29">G154*2</f>
        <v>0</v>
      </c>
      <c r="J154" s="95">
        <f t="shared" ref="J154:J160" si="30">G154*1.2</f>
        <v>0</v>
      </c>
      <c r="N154" s="202"/>
      <c r="O154" s="203"/>
      <c r="P154" s="203"/>
      <c r="Q154" s="204" t="s">
        <v>12</v>
      </c>
      <c r="R154" s="205" t="s">
        <v>208</v>
      </c>
      <c r="S154" s="206" t="s">
        <v>209</v>
      </c>
      <c r="T154" s="205"/>
      <c r="U154" s="205"/>
      <c r="V154" s="205" t="s">
        <v>212</v>
      </c>
    </row>
    <row r="155" spans="2:22" ht="15" x14ac:dyDescent="0.4">
      <c r="B155" s="92"/>
      <c r="C155" s="92"/>
      <c r="D155" s="92"/>
      <c r="E155" s="93" t="s">
        <v>218</v>
      </c>
      <c r="F155" s="92" t="s">
        <v>217</v>
      </c>
      <c r="G155" s="94"/>
      <c r="H155" s="95">
        <f t="shared" si="28"/>
        <v>0</v>
      </c>
      <c r="I155" s="95">
        <f t="shared" si="29"/>
        <v>0</v>
      </c>
      <c r="J155" s="95">
        <f t="shared" si="30"/>
        <v>0</v>
      </c>
      <c r="N155" s="207"/>
      <c r="O155" s="207"/>
      <c r="P155" s="207"/>
      <c r="Q155" s="208" t="s">
        <v>213</v>
      </c>
      <c r="R155" s="209"/>
      <c r="S155" s="210"/>
      <c r="T155" s="209"/>
      <c r="U155" s="209"/>
      <c r="V155" s="209"/>
    </row>
    <row r="156" spans="2:22" ht="15" x14ac:dyDescent="0.4">
      <c r="B156" s="92"/>
      <c r="C156" s="92"/>
      <c r="D156" s="92"/>
      <c r="E156" s="93" t="s">
        <v>219</v>
      </c>
      <c r="F156" s="92" t="s">
        <v>217</v>
      </c>
      <c r="G156" s="94"/>
      <c r="H156" s="95">
        <f t="shared" si="28"/>
        <v>0</v>
      </c>
      <c r="I156" s="95">
        <f t="shared" si="29"/>
        <v>0</v>
      </c>
      <c r="J156" s="95">
        <f t="shared" si="30"/>
        <v>0</v>
      </c>
      <c r="N156" s="211"/>
      <c r="O156" s="211"/>
      <c r="P156" s="211"/>
      <c r="Q156" s="212" t="s">
        <v>214</v>
      </c>
      <c r="R156" s="211" t="s">
        <v>215</v>
      </c>
      <c r="S156" s="213"/>
      <c r="T156" s="214">
        <v>0</v>
      </c>
      <c r="U156" s="214">
        <v>0</v>
      </c>
      <c r="V156" s="214"/>
    </row>
    <row r="157" spans="2:22" ht="15" x14ac:dyDescent="0.4">
      <c r="B157" s="92"/>
      <c r="C157" s="92"/>
      <c r="D157" s="92"/>
      <c r="E157" s="93" t="s">
        <v>220</v>
      </c>
      <c r="F157" s="92" t="s">
        <v>217</v>
      </c>
      <c r="G157" s="94"/>
      <c r="H157" s="95">
        <f t="shared" si="28"/>
        <v>0</v>
      </c>
      <c r="I157" s="95">
        <f t="shared" si="29"/>
        <v>0</v>
      </c>
      <c r="J157" s="95">
        <f t="shared" si="30"/>
        <v>0</v>
      </c>
      <c r="N157" s="211"/>
      <c r="O157" s="211"/>
      <c r="P157" s="211"/>
      <c r="Q157" s="212" t="s">
        <v>216</v>
      </c>
      <c r="R157" s="211" t="s">
        <v>217</v>
      </c>
      <c r="S157" s="213"/>
      <c r="T157" s="214">
        <v>0</v>
      </c>
      <c r="U157" s="214">
        <v>0</v>
      </c>
      <c r="V157" s="214">
        <f t="shared" ref="V157:V163" si="31">S157*1.2</f>
        <v>0</v>
      </c>
    </row>
    <row r="158" spans="2:22" ht="15" x14ac:dyDescent="0.4">
      <c r="B158" s="92"/>
      <c r="C158" s="92"/>
      <c r="D158" s="92"/>
      <c r="E158" s="93" t="s">
        <v>221</v>
      </c>
      <c r="F158" s="92" t="s">
        <v>217</v>
      </c>
      <c r="G158" s="94"/>
      <c r="H158" s="95">
        <f t="shared" si="28"/>
        <v>0</v>
      </c>
      <c r="I158" s="95">
        <f t="shared" si="29"/>
        <v>0</v>
      </c>
      <c r="J158" s="95">
        <f t="shared" si="30"/>
        <v>0</v>
      </c>
      <c r="N158" s="211"/>
      <c r="O158" s="211"/>
      <c r="P158" s="211"/>
      <c r="Q158" s="212" t="s">
        <v>218</v>
      </c>
      <c r="R158" s="211" t="s">
        <v>217</v>
      </c>
      <c r="S158" s="213"/>
      <c r="T158" s="214">
        <v>0</v>
      </c>
      <c r="U158" s="214">
        <v>0</v>
      </c>
      <c r="V158" s="214">
        <f t="shared" si="31"/>
        <v>0</v>
      </c>
    </row>
    <row r="159" spans="2:22" ht="15" x14ac:dyDescent="0.4">
      <c r="B159" s="92"/>
      <c r="C159" s="92"/>
      <c r="D159" s="92"/>
      <c r="E159" s="93" t="s">
        <v>222</v>
      </c>
      <c r="F159" s="92" t="s">
        <v>217</v>
      </c>
      <c r="G159" s="94"/>
      <c r="H159" s="95">
        <f t="shared" si="28"/>
        <v>0</v>
      </c>
      <c r="I159" s="95">
        <f t="shared" si="29"/>
        <v>0</v>
      </c>
      <c r="J159" s="95">
        <f t="shared" si="30"/>
        <v>0</v>
      </c>
      <c r="N159" s="211"/>
      <c r="O159" s="211"/>
      <c r="P159" s="211"/>
      <c r="Q159" s="212" t="s">
        <v>219</v>
      </c>
      <c r="R159" s="211" t="s">
        <v>217</v>
      </c>
      <c r="S159" s="213"/>
      <c r="T159" s="214">
        <v>0</v>
      </c>
      <c r="U159" s="214">
        <v>0</v>
      </c>
      <c r="V159" s="214">
        <f t="shared" si="31"/>
        <v>0</v>
      </c>
    </row>
    <row r="160" spans="2:22" ht="15" x14ac:dyDescent="0.4">
      <c r="B160" s="92"/>
      <c r="C160" s="92"/>
      <c r="D160" s="92"/>
      <c r="E160" s="93" t="s">
        <v>223</v>
      </c>
      <c r="F160" s="92" t="s">
        <v>217</v>
      </c>
      <c r="G160" s="94"/>
      <c r="H160" s="95">
        <f t="shared" si="28"/>
        <v>0</v>
      </c>
      <c r="I160" s="95">
        <f t="shared" si="29"/>
        <v>0</v>
      </c>
      <c r="J160" s="95">
        <f t="shared" si="30"/>
        <v>0</v>
      </c>
      <c r="N160" s="211"/>
      <c r="O160" s="211"/>
      <c r="P160" s="211"/>
      <c r="Q160" s="212" t="s">
        <v>220</v>
      </c>
      <c r="R160" s="211" t="s">
        <v>217</v>
      </c>
      <c r="S160" s="213"/>
      <c r="T160" s="214">
        <v>0</v>
      </c>
      <c r="U160" s="214">
        <v>0</v>
      </c>
      <c r="V160" s="214">
        <f t="shared" si="31"/>
        <v>0</v>
      </c>
    </row>
    <row r="161" spans="2:22" ht="15" x14ac:dyDescent="0.4">
      <c r="B161" s="92"/>
      <c r="C161" s="92"/>
      <c r="D161" s="92"/>
      <c r="E161" s="93"/>
      <c r="F161" s="92"/>
      <c r="G161" s="96"/>
      <c r="H161" s="95"/>
      <c r="I161" s="95"/>
      <c r="J161" s="95"/>
      <c r="N161" s="211"/>
      <c r="O161" s="211"/>
      <c r="P161" s="211"/>
      <c r="Q161" s="212" t="s">
        <v>221</v>
      </c>
      <c r="R161" s="211" t="s">
        <v>217</v>
      </c>
      <c r="S161" s="213"/>
      <c r="T161" s="214">
        <v>0</v>
      </c>
      <c r="U161" s="214">
        <v>0</v>
      </c>
      <c r="V161" s="214">
        <f t="shared" si="31"/>
        <v>0</v>
      </c>
    </row>
    <row r="162" spans="2:22" ht="15" x14ac:dyDescent="0.4">
      <c r="B162" s="97"/>
      <c r="C162" s="98"/>
      <c r="D162" s="98"/>
      <c r="E162" s="98"/>
      <c r="F162" s="98"/>
      <c r="G162" s="97"/>
      <c r="H162" s="98"/>
      <c r="I162" s="98"/>
      <c r="J162" s="98"/>
      <c r="N162" s="211"/>
      <c r="O162" s="211"/>
      <c r="P162" s="211"/>
      <c r="Q162" s="212" t="s">
        <v>222</v>
      </c>
      <c r="R162" s="211" t="s">
        <v>217</v>
      </c>
      <c r="S162" s="213"/>
      <c r="T162" s="214">
        <v>0</v>
      </c>
      <c r="U162" s="214">
        <v>0</v>
      </c>
      <c r="V162" s="214">
        <f t="shared" si="31"/>
        <v>0</v>
      </c>
    </row>
    <row r="163" spans="2:22" ht="15" x14ac:dyDescent="0.4">
      <c r="B163" s="97"/>
      <c r="C163" s="98"/>
      <c r="D163" s="98"/>
      <c r="E163" s="99"/>
      <c r="F163" s="100"/>
      <c r="G163" s="101"/>
      <c r="H163" s="98"/>
      <c r="I163" s="98"/>
      <c r="J163" s="98"/>
      <c r="N163" s="211"/>
      <c r="O163" s="211"/>
      <c r="P163" s="211"/>
      <c r="Q163" s="212" t="s">
        <v>223</v>
      </c>
      <c r="R163" s="211" t="s">
        <v>217</v>
      </c>
      <c r="S163" s="213"/>
      <c r="T163" s="214"/>
      <c r="U163" s="214"/>
      <c r="V163" s="214">
        <f t="shared" si="31"/>
        <v>0</v>
      </c>
    </row>
    <row r="164" spans="2:22" ht="15" x14ac:dyDescent="0.4">
      <c r="D164" s="98"/>
      <c r="E164" s="99"/>
      <c r="F164" s="100"/>
      <c r="G164" s="101"/>
      <c r="H164" s="98"/>
      <c r="I164" s="98"/>
      <c r="J164" s="98"/>
      <c r="N164" s="211"/>
      <c r="O164" s="211"/>
      <c r="P164" s="211"/>
      <c r="Q164" s="212"/>
      <c r="R164" s="211"/>
      <c r="S164" s="215"/>
      <c r="T164" s="214"/>
      <c r="U164" s="214"/>
      <c r="V164" s="214"/>
    </row>
    <row r="165" spans="2:22" ht="15" x14ac:dyDescent="0.4">
      <c r="N165" s="135"/>
      <c r="O165" s="136"/>
      <c r="P165" s="136"/>
      <c r="Q165" s="136"/>
      <c r="R165" s="136"/>
      <c r="S165" s="136"/>
      <c r="T165" s="214"/>
      <c r="U165" s="214"/>
      <c r="V165" s="136"/>
    </row>
    <row r="166" spans="2:22" x14ac:dyDescent="0.35">
      <c r="N166" s="135"/>
      <c r="O166" s="136"/>
      <c r="P166" s="136"/>
      <c r="Q166" s="136"/>
      <c r="R166" s="136"/>
      <c r="S166" s="136"/>
      <c r="T166" s="136"/>
      <c r="U166" s="136"/>
      <c r="V166" s="136"/>
    </row>
    <row r="167" spans="2:22" x14ac:dyDescent="0.35">
      <c r="N167" s="135"/>
      <c r="O167" s="136"/>
      <c r="P167" s="136"/>
      <c r="Q167" s="136"/>
      <c r="R167" s="136"/>
      <c r="S167" s="136"/>
      <c r="T167" s="136"/>
      <c r="U167" s="136"/>
      <c r="V167" s="136"/>
    </row>
    <row r="168" spans="2:22" x14ac:dyDescent="0.35">
      <c r="N168" s="135"/>
      <c r="O168" s="136"/>
      <c r="P168" s="136"/>
      <c r="Q168" s="136"/>
      <c r="R168" s="136"/>
      <c r="S168" s="136"/>
      <c r="T168" s="136"/>
      <c r="U168" s="136"/>
      <c r="V168" s="136"/>
    </row>
    <row r="169" spans="2:22" x14ac:dyDescent="0.35">
      <c r="N169" s="135"/>
      <c r="O169" s="136"/>
      <c r="P169" s="136"/>
      <c r="Q169" s="136"/>
      <c r="R169" s="136"/>
      <c r="S169" s="136"/>
      <c r="T169" s="136"/>
      <c r="U169" s="136"/>
      <c r="V169" s="136"/>
    </row>
    <row r="170" spans="2:22" x14ac:dyDescent="0.35">
      <c r="N170" s="135"/>
      <c r="O170" s="136"/>
      <c r="P170" s="136"/>
      <c r="Q170" s="136"/>
      <c r="R170" s="136"/>
      <c r="S170" s="136"/>
      <c r="T170" s="136"/>
      <c r="U170" s="136"/>
      <c r="V170" s="136"/>
    </row>
    <row r="171" spans="2:22" x14ac:dyDescent="0.35">
      <c r="N171" s="135"/>
      <c r="O171" s="136"/>
      <c r="P171" s="136"/>
      <c r="Q171" s="136"/>
      <c r="R171" s="136"/>
      <c r="S171" s="136"/>
      <c r="T171" s="136"/>
      <c r="U171" s="136"/>
      <c r="V171" s="136"/>
    </row>
    <row r="172" spans="2:22" x14ac:dyDescent="0.35">
      <c r="N172" s="135"/>
      <c r="O172" s="136"/>
      <c r="P172" s="136"/>
      <c r="Q172" s="136"/>
      <c r="R172" s="136"/>
      <c r="S172" s="136"/>
      <c r="T172" s="136"/>
      <c r="U172" s="136"/>
      <c r="V172" s="136"/>
    </row>
    <row r="173" spans="2:22" x14ac:dyDescent="0.35">
      <c r="N173" s="135"/>
      <c r="O173" s="136"/>
      <c r="P173" s="136"/>
      <c r="Q173" s="136"/>
      <c r="R173" s="136"/>
      <c r="S173" s="136"/>
      <c r="T173" s="136"/>
      <c r="U173" s="136"/>
      <c r="V173" s="136"/>
    </row>
    <row r="174" spans="2:22" x14ac:dyDescent="0.35">
      <c r="N174" s="135"/>
      <c r="O174" s="136"/>
      <c r="P174" s="136"/>
      <c r="Q174" s="136"/>
      <c r="R174" s="136"/>
      <c r="S174" s="136"/>
      <c r="T174" s="136"/>
      <c r="U174" s="136"/>
      <c r="V174" s="136"/>
    </row>
    <row r="175" spans="2:22" x14ac:dyDescent="0.35">
      <c r="N175" s="135"/>
      <c r="O175" s="136"/>
      <c r="P175" s="136"/>
      <c r="Q175" s="136"/>
      <c r="R175" s="136"/>
      <c r="S175" s="136"/>
      <c r="T175" s="136"/>
      <c r="U175" s="136"/>
      <c r="V175" s="136"/>
    </row>
    <row r="176" spans="2:22" x14ac:dyDescent="0.35">
      <c r="N176" s="135"/>
      <c r="O176" s="136"/>
      <c r="P176" s="136"/>
      <c r="Q176" s="136"/>
      <c r="R176" s="136"/>
      <c r="S176" s="136"/>
      <c r="T176" s="136"/>
      <c r="U176" s="136"/>
      <c r="V176" s="136"/>
    </row>
    <row r="177" spans="14:22" x14ac:dyDescent="0.35">
      <c r="N177" s="135"/>
      <c r="O177" s="136"/>
      <c r="P177" s="136"/>
      <c r="Q177" s="136"/>
      <c r="R177" s="136"/>
      <c r="S177" s="136"/>
      <c r="T177" s="136"/>
      <c r="U177" s="136"/>
      <c r="V177" s="136"/>
    </row>
    <row r="178" spans="14:22" x14ac:dyDescent="0.35">
      <c r="N178" s="135"/>
      <c r="O178" s="136"/>
      <c r="P178" s="136"/>
      <c r="Q178" s="136"/>
      <c r="R178" s="136"/>
      <c r="S178" s="136"/>
      <c r="T178" s="136"/>
      <c r="U178" s="136"/>
      <c r="V178" s="136"/>
    </row>
    <row r="179" spans="14:22" x14ac:dyDescent="0.35">
      <c r="N179" s="135"/>
      <c r="O179" s="136"/>
      <c r="P179" s="136"/>
      <c r="Q179" s="136"/>
      <c r="R179" s="136"/>
      <c r="S179" s="136"/>
      <c r="T179" s="136"/>
      <c r="U179" s="136"/>
      <c r="V179" s="136"/>
    </row>
    <row r="180" spans="14:22" x14ac:dyDescent="0.35">
      <c r="N180" s="135"/>
      <c r="O180" s="136"/>
      <c r="P180" s="136"/>
      <c r="Q180" s="136"/>
      <c r="R180" s="136"/>
      <c r="S180" s="136"/>
      <c r="T180" s="136"/>
      <c r="U180" s="136"/>
      <c r="V180" s="136"/>
    </row>
    <row r="181" spans="14:22" x14ac:dyDescent="0.35">
      <c r="N181" s="135"/>
      <c r="O181" s="136"/>
      <c r="P181" s="136"/>
      <c r="Q181" s="136"/>
      <c r="R181" s="136"/>
      <c r="S181" s="136"/>
      <c r="T181" s="136"/>
      <c r="U181" s="136"/>
      <c r="V181" s="136"/>
    </row>
    <row r="182" spans="14:22" x14ac:dyDescent="0.35">
      <c r="N182" s="135"/>
      <c r="O182" s="136"/>
      <c r="P182" s="136"/>
      <c r="Q182" s="136"/>
      <c r="R182" s="136"/>
      <c r="S182" s="136"/>
      <c r="T182" s="136"/>
      <c r="U182" s="136"/>
      <c r="V182" s="136"/>
    </row>
    <row r="183" spans="14:22" x14ac:dyDescent="0.35">
      <c r="N183" s="135"/>
      <c r="O183" s="136"/>
      <c r="P183" s="136"/>
      <c r="Q183" s="136"/>
      <c r="R183" s="136"/>
      <c r="S183" s="136"/>
      <c r="T183" s="136"/>
      <c r="U183" s="136"/>
      <c r="V183" s="136"/>
    </row>
    <row r="184" spans="14:22" x14ac:dyDescent="0.35">
      <c r="N184" s="135"/>
      <c r="O184" s="136"/>
      <c r="P184" s="136"/>
      <c r="Q184" s="136"/>
      <c r="R184" s="136"/>
      <c r="S184" s="136"/>
      <c r="T184" s="136"/>
      <c r="U184" s="136"/>
      <c r="V184" s="136"/>
    </row>
    <row r="185" spans="14:22" x14ac:dyDescent="0.35">
      <c r="N185" s="135"/>
      <c r="O185" s="136"/>
      <c r="P185" s="136"/>
      <c r="Q185" s="136"/>
      <c r="R185" s="136"/>
      <c r="S185" s="136"/>
      <c r="T185" s="136"/>
      <c r="U185" s="136"/>
      <c r="V185" s="136"/>
    </row>
    <row r="186" spans="14:22" x14ac:dyDescent="0.35">
      <c r="N186" s="135"/>
      <c r="O186" s="136"/>
      <c r="P186" s="136"/>
      <c r="Q186" s="136"/>
      <c r="R186" s="136"/>
      <c r="S186" s="136"/>
      <c r="T186" s="136"/>
      <c r="U186" s="136"/>
      <c r="V186" s="136"/>
    </row>
    <row r="187" spans="14:22" x14ac:dyDescent="0.35">
      <c r="N187" s="135"/>
      <c r="O187" s="136"/>
      <c r="P187" s="136"/>
      <c r="Q187" s="136"/>
      <c r="R187" s="136"/>
      <c r="S187" s="136"/>
      <c r="T187" s="136"/>
      <c r="U187" s="136"/>
      <c r="V187" s="136"/>
    </row>
    <row r="188" spans="14:22" x14ac:dyDescent="0.35">
      <c r="N188" s="135"/>
      <c r="O188" s="136"/>
      <c r="P188" s="136"/>
      <c r="Q188" s="136"/>
      <c r="R188" s="136"/>
      <c r="S188" s="136"/>
      <c r="T188" s="136"/>
      <c r="U188" s="136"/>
      <c r="V188" s="136"/>
    </row>
    <row r="189" spans="14:22" x14ac:dyDescent="0.35">
      <c r="N189" s="135"/>
      <c r="O189" s="136"/>
      <c r="P189" s="136"/>
      <c r="Q189" s="136"/>
      <c r="R189" s="136"/>
      <c r="S189" s="136"/>
      <c r="T189" s="136"/>
      <c r="U189" s="136"/>
      <c r="V189" s="136"/>
    </row>
    <row r="190" spans="14:22" x14ac:dyDescent="0.35">
      <c r="N190" s="135"/>
      <c r="O190" s="136"/>
      <c r="P190" s="136"/>
      <c r="Q190" s="136"/>
      <c r="R190" s="136"/>
      <c r="S190" s="136"/>
      <c r="T190" s="136"/>
      <c r="U190" s="136"/>
      <c r="V190" s="136"/>
    </row>
    <row r="191" spans="14:22" x14ac:dyDescent="0.35">
      <c r="N191" s="135"/>
      <c r="O191" s="136"/>
      <c r="P191" s="136"/>
      <c r="Q191" s="136"/>
      <c r="R191" s="136"/>
      <c r="S191" s="136"/>
      <c r="T191" s="136"/>
      <c r="U191" s="136"/>
      <c r="V191" s="136"/>
    </row>
    <row r="192" spans="14:22" x14ac:dyDescent="0.35">
      <c r="N192" s="135"/>
      <c r="O192" s="136"/>
      <c r="P192" s="136"/>
      <c r="Q192" s="136"/>
      <c r="R192" s="136"/>
      <c r="S192" s="136"/>
      <c r="T192" s="136"/>
      <c r="U192" s="136"/>
      <c r="V192" s="136"/>
    </row>
    <row r="193" spans="14:22" x14ac:dyDescent="0.35">
      <c r="N193" s="135"/>
      <c r="O193" s="136"/>
      <c r="P193" s="136"/>
      <c r="Q193" s="136"/>
      <c r="R193" s="136"/>
      <c r="S193" s="136"/>
      <c r="T193" s="136"/>
      <c r="U193" s="136"/>
      <c r="V193" s="136"/>
    </row>
    <row r="194" spans="14:22" x14ac:dyDescent="0.35">
      <c r="N194" s="135"/>
      <c r="O194" s="136"/>
      <c r="P194" s="136"/>
      <c r="Q194" s="136"/>
      <c r="R194" s="136"/>
      <c r="S194" s="136"/>
      <c r="T194" s="136"/>
      <c r="U194" s="136"/>
      <c r="V194" s="136"/>
    </row>
    <row r="195" spans="14:22" x14ac:dyDescent="0.35">
      <c r="N195" s="135"/>
      <c r="O195" s="136"/>
      <c r="P195" s="136"/>
      <c r="Q195" s="136"/>
      <c r="R195" s="136"/>
      <c r="S195" s="136"/>
      <c r="T195" s="136"/>
      <c r="U195" s="136"/>
      <c r="V195" s="136"/>
    </row>
    <row r="196" spans="14:22" x14ac:dyDescent="0.35">
      <c r="N196" s="135"/>
      <c r="O196" s="136"/>
      <c r="P196" s="136"/>
      <c r="Q196" s="136"/>
      <c r="R196" s="136"/>
      <c r="S196" s="136"/>
      <c r="T196" s="136"/>
      <c r="U196" s="136"/>
      <c r="V196" s="136"/>
    </row>
    <row r="197" spans="14:22" x14ac:dyDescent="0.35">
      <c r="N197" s="135"/>
      <c r="O197" s="136"/>
      <c r="P197" s="136"/>
      <c r="Q197" s="136"/>
      <c r="R197" s="136"/>
      <c r="S197" s="136"/>
      <c r="T197" s="136"/>
      <c r="U197" s="136"/>
      <c r="V197" s="136"/>
    </row>
    <row r="198" spans="14:22" x14ac:dyDescent="0.35">
      <c r="N198" s="135"/>
      <c r="O198" s="136"/>
      <c r="P198" s="136"/>
      <c r="Q198" s="136"/>
      <c r="R198" s="136"/>
      <c r="S198" s="136"/>
      <c r="T198" s="136"/>
      <c r="U198" s="136"/>
      <c r="V198" s="136"/>
    </row>
    <row r="199" spans="14:22" x14ac:dyDescent="0.35">
      <c r="N199" s="135"/>
      <c r="O199" s="136"/>
      <c r="P199" s="136"/>
      <c r="Q199" s="136"/>
      <c r="R199" s="136"/>
      <c r="S199" s="136"/>
      <c r="T199" s="136"/>
      <c r="U199" s="136"/>
      <c r="V199" s="136"/>
    </row>
    <row r="200" spans="14:22" x14ac:dyDescent="0.35">
      <c r="N200" s="135"/>
      <c r="O200" s="136"/>
      <c r="P200" s="136"/>
      <c r="Q200" s="136"/>
      <c r="R200" s="136"/>
      <c r="S200" s="136"/>
      <c r="T200" s="136"/>
      <c r="U200" s="136"/>
      <c r="V200" s="136"/>
    </row>
    <row r="201" spans="14:22" x14ac:dyDescent="0.35">
      <c r="N201" s="135"/>
      <c r="O201" s="136"/>
      <c r="P201" s="136"/>
      <c r="Q201" s="136"/>
      <c r="R201" s="136"/>
      <c r="S201" s="136"/>
      <c r="T201" s="136"/>
      <c r="U201" s="136"/>
      <c r="V201" s="136"/>
    </row>
    <row r="202" spans="14:22" x14ac:dyDescent="0.35">
      <c r="N202" s="135"/>
      <c r="O202" s="136"/>
      <c r="P202" s="136"/>
      <c r="Q202" s="136"/>
      <c r="R202" s="136"/>
      <c r="S202" s="136"/>
      <c r="T202" s="136"/>
      <c r="U202" s="136"/>
      <c r="V202" s="136"/>
    </row>
    <row r="203" spans="14:22" x14ac:dyDescent="0.35">
      <c r="N203" s="135"/>
      <c r="O203" s="136"/>
      <c r="P203" s="136"/>
      <c r="Q203" s="136"/>
      <c r="R203" s="136"/>
      <c r="S203" s="136"/>
      <c r="T203" s="136"/>
      <c r="U203" s="136"/>
      <c r="V203" s="136"/>
    </row>
    <row r="204" spans="14:22" x14ac:dyDescent="0.35">
      <c r="N204" s="135"/>
      <c r="O204" s="136"/>
      <c r="P204" s="136"/>
      <c r="Q204" s="136"/>
      <c r="R204" s="136"/>
      <c r="S204" s="136"/>
      <c r="T204" s="136"/>
      <c r="U204" s="136"/>
      <c r="V204" s="136"/>
    </row>
    <row r="205" spans="14:22" x14ac:dyDescent="0.35">
      <c r="N205" s="135"/>
      <c r="O205" s="136"/>
      <c r="P205" s="136"/>
      <c r="Q205" s="136"/>
      <c r="R205" s="136"/>
      <c r="S205" s="136"/>
      <c r="T205" s="136"/>
      <c r="U205" s="136"/>
      <c r="V205" s="136"/>
    </row>
    <row r="206" spans="14:22" x14ac:dyDescent="0.35">
      <c r="N206" s="135"/>
      <c r="O206" s="136"/>
      <c r="P206" s="136"/>
      <c r="Q206" s="136"/>
      <c r="R206" s="136"/>
      <c r="S206" s="136"/>
      <c r="T206" s="136"/>
      <c r="U206" s="136"/>
      <c r="V206" s="136"/>
    </row>
    <row r="207" spans="14:22" x14ac:dyDescent="0.35">
      <c r="N207" s="135"/>
      <c r="O207" s="136"/>
      <c r="P207" s="136"/>
      <c r="Q207" s="136"/>
      <c r="R207" s="136"/>
      <c r="S207" s="136"/>
      <c r="T207" s="136"/>
      <c r="U207" s="136"/>
      <c r="V207" s="136"/>
    </row>
    <row r="208" spans="14:22" x14ac:dyDescent="0.35">
      <c r="N208" s="135"/>
      <c r="O208" s="136"/>
      <c r="P208" s="136"/>
      <c r="Q208" s="136"/>
      <c r="R208" s="136"/>
      <c r="S208" s="136"/>
      <c r="T208" s="136"/>
      <c r="U208" s="136"/>
      <c r="V208" s="136"/>
    </row>
    <row r="209" spans="14:22" x14ac:dyDescent="0.35">
      <c r="N209" s="135"/>
      <c r="O209" s="136"/>
      <c r="P209" s="136"/>
      <c r="Q209" s="136"/>
      <c r="R209" s="136"/>
      <c r="S209" s="136"/>
      <c r="T209" s="136"/>
      <c r="U209" s="136"/>
      <c r="V209" s="136"/>
    </row>
    <row r="210" spans="14:22" x14ac:dyDescent="0.35">
      <c r="N210" s="135"/>
      <c r="O210" s="136"/>
      <c r="P210" s="136"/>
      <c r="Q210" s="136"/>
      <c r="R210" s="136"/>
      <c r="S210" s="136"/>
      <c r="T210" s="136"/>
      <c r="U210" s="136"/>
      <c r="V210" s="136"/>
    </row>
    <row r="211" spans="14:22" x14ac:dyDescent="0.35">
      <c r="N211" s="135"/>
      <c r="O211" s="136"/>
      <c r="P211" s="136"/>
      <c r="Q211" s="136"/>
      <c r="R211" s="136"/>
      <c r="S211" s="136"/>
      <c r="T211" s="136"/>
      <c r="U211" s="136"/>
      <c r="V211" s="136"/>
    </row>
    <row r="212" spans="14:22" x14ac:dyDescent="0.35">
      <c r="N212" s="135"/>
      <c r="O212" s="136"/>
      <c r="P212" s="136"/>
      <c r="Q212" s="136"/>
      <c r="R212" s="136"/>
      <c r="S212" s="136"/>
      <c r="T212" s="136"/>
      <c r="U212" s="136"/>
      <c r="V212" s="136"/>
    </row>
    <row r="213" spans="14:22" x14ac:dyDescent="0.35">
      <c r="N213" s="135"/>
      <c r="O213" s="136"/>
      <c r="P213" s="136"/>
      <c r="Q213" s="136"/>
      <c r="R213" s="136"/>
      <c r="S213" s="136"/>
      <c r="T213" s="136"/>
      <c r="U213" s="136"/>
      <c r="V213" s="136"/>
    </row>
    <row r="214" spans="14:22" x14ac:dyDescent="0.35">
      <c r="N214" s="135"/>
      <c r="O214" s="136"/>
      <c r="P214" s="136"/>
      <c r="Q214" s="136"/>
      <c r="R214" s="136"/>
      <c r="S214" s="136"/>
      <c r="T214" s="136"/>
      <c r="U214" s="136"/>
      <c r="V214" s="136"/>
    </row>
    <row r="215" spans="14:22" x14ac:dyDescent="0.35">
      <c r="N215" s="135"/>
      <c r="O215" s="136"/>
      <c r="P215" s="136"/>
      <c r="Q215" s="136"/>
      <c r="R215" s="136"/>
      <c r="S215" s="136"/>
      <c r="T215" s="136"/>
      <c r="U215" s="136"/>
      <c r="V215" s="136"/>
    </row>
    <row r="216" spans="14:22" x14ac:dyDescent="0.35">
      <c r="N216" s="135"/>
      <c r="O216" s="136"/>
      <c r="P216" s="136"/>
      <c r="Q216" s="136"/>
      <c r="R216" s="136"/>
      <c r="S216" s="136"/>
      <c r="T216" s="136"/>
      <c r="U216" s="136"/>
      <c r="V216" s="136"/>
    </row>
    <row r="217" spans="14:22" x14ac:dyDescent="0.35">
      <c r="N217" s="135"/>
      <c r="O217" s="136"/>
      <c r="P217" s="136"/>
      <c r="Q217" s="136"/>
      <c r="R217" s="136"/>
      <c r="S217" s="136"/>
      <c r="T217" s="136"/>
      <c r="U217" s="136"/>
      <c r="V217" s="136"/>
    </row>
    <row r="218" spans="14:22" x14ac:dyDescent="0.35">
      <c r="N218" s="135"/>
      <c r="O218" s="136"/>
      <c r="P218" s="136"/>
      <c r="Q218" s="136"/>
      <c r="R218" s="136"/>
      <c r="S218" s="136"/>
      <c r="T218" s="136"/>
      <c r="U218" s="136"/>
      <c r="V218" s="136"/>
    </row>
    <row r="219" spans="14:22" x14ac:dyDescent="0.35">
      <c r="N219" s="135"/>
      <c r="O219" s="136"/>
      <c r="P219" s="136"/>
      <c r="Q219" s="136"/>
      <c r="R219" s="136"/>
      <c r="S219" s="136"/>
      <c r="T219" s="136"/>
      <c r="U219" s="136"/>
      <c r="V219" s="136"/>
    </row>
    <row r="220" spans="14:22" x14ac:dyDescent="0.35">
      <c r="N220" s="135"/>
      <c r="O220" s="136"/>
      <c r="P220" s="136"/>
      <c r="Q220" s="136"/>
      <c r="R220" s="136"/>
      <c r="S220" s="136"/>
      <c r="T220" s="136"/>
      <c r="U220" s="136"/>
      <c r="V220" s="136"/>
    </row>
    <row r="221" spans="14:22" x14ac:dyDescent="0.35">
      <c r="N221" s="135"/>
      <c r="O221" s="136"/>
      <c r="P221" s="136"/>
      <c r="Q221" s="136"/>
      <c r="R221" s="136"/>
      <c r="S221" s="136"/>
      <c r="T221" s="136"/>
      <c r="U221" s="136"/>
      <c r="V221" s="136"/>
    </row>
    <row r="222" spans="14:22" x14ac:dyDescent="0.35">
      <c r="N222" s="135"/>
      <c r="O222" s="136"/>
      <c r="P222" s="136"/>
      <c r="Q222" s="136"/>
      <c r="R222" s="136"/>
      <c r="S222" s="136"/>
      <c r="T222" s="136"/>
      <c r="U222" s="136"/>
      <c r="V222" s="136"/>
    </row>
    <row r="223" spans="14:22" x14ac:dyDescent="0.35">
      <c r="N223" s="135"/>
      <c r="O223" s="136"/>
      <c r="P223" s="136"/>
      <c r="Q223" s="136"/>
      <c r="R223" s="136"/>
      <c r="S223" s="136"/>
      <c r="T223" s="136"/>
      <c r="U223" s="136"/>
      <c r="V223" s="136"/>
    </row>
    <row r="224" spans="14:22" x14ac:dyDescent="0.35">
      <c r="N224" s="135"/>
      <c r="O224" s="136"/>
      <c r="P224" s="136"/>
      <c r="Q224" s="136"/>
      <c r="R224" s="136"/>
      <c r="S224" s="136"/>
      <c r="T224" s="136"/>
      <c r="U224" s="136"/>
      <c r="V224" s="136"/>
    </row>
    <row r="225" spans="14:22" x14ac:dyDescent="0.35">
      <c r="N225" s="135"/>
      <c r="O225" s="136"/>
      <c r="P225" s="136"/>
      <c r="Q225" s="136"/>
      <c r="R225" s="136"/>
      <c r="S225" s="136"/>
      <c r="T225" s="136"/>
      <c r="U225" s="136"/>
      <c r="V225" s="136"/>
    </row>
    <row r="226" spans="14:22" x14ac:dyDescent="0.35">
      <c r="N226" s="135"/>
      <c r="O226" s="136"/>
      <c r="P226" s="136"/>
      <c r="Q226" s="136"/>
      <c r="R226" s="136"/>
      <c r="S226" s="136"/>
      <c r="T226" s="136"/>
      <c r="U226" s="136"/>
      <c r="V226" s="136"/>
    </row>
    <row r="227" spans="14:22" x14ac:dyDescent="0.35">
      <c r="N227" s="135"/>
      <c r="O227" s="136"/>
      <c r="P227" s="136"/>
      <c r="Q227" s="136"/>
      <c r="R227" s="136"/>
      <c r="S227" s="136"/>
      <c r="T227" s="136"/>
      <c r="U227" s="136"/>
      <c r="V227" s="136"/>
    </row>
    <row r="228" spans="14:22" x14ac:dyDescent="0.35">
      <c r="N228" s="135"/>
      <c r="O228" s="136"/>
      <c r="P228" s="136"/>
      <c r="Q228" s="136"/>
      <c r="R228" s="136"/>
      <c r="S228" s="136"/>
      <c r="T228" s="136"/>
      <c r="U228" s="136"/>
      <c r="V228" s="136"/>
    </row>
    <row r="229" spans="14:22" x14ac:dyDescent="0.35">
      <c r="N229" s="135"/>
      <c r="O229" s="136"/>
      <c r="P229" s="136"/>
      <c r="Q229" s="136"/>
      <c r="R229" s="136"/>
      <c r="S229" s="136"/>
      <c r="T229" s="136"/>
      <c r="U229" s="136"/>
      <c r="V229" s="136"/>
    </row>
    <row r="230" spans="14:22" x14ac:dyDescent="0.35">
      <c r="N230" s="135"/>
      <c r="O230" s="136"/>
      <c r="P230" s="136"/>
      <c r="Q230" s="136"/>
      <c r="R230" s="136"/>
      <c r="S230" s="136"/>
      <c r="T230" s="136"/>
      <c r="U230" s="136"/>
      <c r="V230" s="136"/>
    </row>
    <row r="231" spans="14:22" x14ac:dyDescent="0.35">
      <c r="N231" s="135"/>
      <c r="O231" s="136"/>
      <c r="P231" s="136"/>
      <c r="Q231" s="136"/>
      <c r="R231" s="136"/>
      <c r="S231" s="136"/>
      <c r="T231" s="136"/>
      <c r="U231" s="136"/>
      <c r="V231" s="136"/>
    </row>
    <row r="232" spans="14:22" x14ac:dyDescent="0.35">
      <c r="N232" s="135"/>
      <c r="O232" s="136"/>
      <c r="P232" s="136"/>
      <c r="Q232" s="136"/>
      <c r="R232" s="136"/>
      <c r="S232" s="136"/>
      <c r="T232" s="136"/>
      <c r="U232" s="136"/>
      <c r="V232" s="136"/>
    </row>
    <row r="233" spans="14:22" x14ac:dyDescent="0.35">
      <c r="N233" s="135"/>
      <c r="O233" s="136"/>
      <c r="P233" s="136"/>
      <c r="Q233" s="136"/>
      <c r="R233" s="136"/>
      <c r="S233" s="136"/>
      <c r="T233" s="136"/>
      <c r="U233" s="136"/>
      <c r="V233" s="136"/>
    </row>
    <row r="234" spans="14:22" x14ac:dyDescent="0.35">
      <c r="N234" s="135"/>
      <c r="O234" s="136"/>
      <c r="P234" s="136"/>
      <c r="Q234" s="136"/>
      <c r="R234" s="136"/>
      <c r="S234" s="136"/>
      <c r="T234" s="136"/>
      <c r="U234" s="136"/>
      <c r="V234" s="136"/>
    </row>
    <row r="235" spans="14:22" x14ac:dyDescent="0.35">
      <c r="N235" s="135"/>
      <c r="O235" s="136"/>
      <c r="P235" s="136"/>
      <c r="Q235" s="136"/>
      <c r="R235" s="136"/>
      <c r="S235" s="136"/>
      <c r="T235" s="136"/>
      <c r="U235" s="136"/>
      <c r="V235" s="136"/>
    </row>
    <row r="236" spans="14:22" x14ac:dyDescent="0.35">
      <c r="N236" s="135"/>
      <c r="O236" s="136"/>
      <c r="P236" s="136"/>
      <c r="Q236" s="136"/>
      <c r="R236" s="136"/>
      <c r="S236" s="136"/>
      <c r="T236" s="136"/>
      <c r="U236" s="136"/>
      <c r="V236" s="136"/>
    </row>
    <row r="237" spans="14:22" x14ac:dyDescent="0.35">
      <c r="N237" s="135"/>
      <c r="O237" s="136"/>
      <c r="P237" s="136"/>
      <c r="Q237" s="136"/>
      <c r="R237" s="136"/>
      <c r="S237" s="136"/>
      <c r="T237" s="136"/>
      <c r="U237" s="136"/>
      <c r="V237" s="136"/>
    </row>
    <row r="238" spans="14:22" x14ac:dyDescent="0.35">
      <c r="N238" s="135"/>
      <c r="O238" s="136"/>
      <c r="P238" s="136"/>
      <c r="Q238" s="136"/>
      <c r="R238" s="136"/>
      <c r="S238" s="136"/>
      <c r="T238" s="136"/>
      <c r="U238" s="136"/>
      <c r="V238" s="136"/>
    </row>
    <row r="239" spans="14:22" x14ac:dyDescent="0.35">
      <c r="N239" s="135"/>
      <c r="O239" s="136"/>
      <c r="P239" s="136"/>
      <c r="Q239" s="136"/>
      <c r="R239" s="136"/>
      <c r="S239" s="136"/>
      <c r="T239" s="136"/>
      <c r="U239" s="136"/>
      <c r="V239" s="136"/>
    </row>
    <row r="240" spans="14:22" x14ac:dyDescent="0.35">
      <c r="N240" s="135"/>
      <c r="O240" s="136"/>
      <c r="P240" s="136"/>
      <c r="Q240" s="136"/>
      <c r="R240" s="136"/>
      <c r="S240" s="136"/>
      <c r="T240" s="136"/>
      <c r="U240" s="136"/>
      <c r="V240" s="136"/>
    </row>
    <row r="241" spans="14:22" x14ac:dyDescent="0.35">
      <c r="N241" s="135"/>
      <c r="O241" s="136"/>
      <c r="P241" s="136"/>
      <c r="Q241" s="136"/>
      <c r="R241" s="136"/>
      <c r="S241" s="136"/>
      <c r="T241" s="136"/>
      <c r="U241" s="136"/>
      <c r="V241" s="136"/>
    </row>
    <row r="242" spans="14:22" x14ac:dyDescent="0.35">
      <c r="N242" s="135"/>
      <c r="O242" s="136"/>
      <c r="P242" s="136"/>
      <c r="Q242" s="136"/>
      <c r="R242" s="136"/>
      <c r="S242" s="136"/>
      <c r="T242" s="136"/>
      <c r="U242" s="136"/>
      <c r="V242" s="136"/>
    </row>
    <row r="243" spans="14:22" x14ac:dyDescent="0.35">
      <c r="N243" s="135"/>
      <c r="O243" s="136"/>
      <c r="P243" s="136"/>
      <c r="Q243" s="136"/>
      <c r="R243" s="136"/>
      <c r="S243" s="136"/>
      <c r="T243" s="136"/>
      <c r="U243" s="136"/>
      <c r="V243" s="136"/>
    </row>
    <row r="244" spans="14:22" x14ac:dyDescent="0.35">
      <c r="N244" s="135"/>
      <c r="O244" s="136"/>
      <c r="P244" s="136"/>
      <c r="Q244" s="136"/>
      <c r="R244" s="136"/>
      <c r="S244" s="136"/>
      <c r="T244" s="136"/>
      <c r="U244" s="136"/>
      <c r="V244" s="136"/>
    </row>
    <row r="245" spans="14:22" x14ac:dyDescent="0.35">
      <c r="N245" s="135"/>
      <c r="O245" s="136"/>
      <c r="P245" s="136"/>
      <c r="Q245" s="136"/>
      <c r="R245" s="136"/>
      <c r="S245" s="136"/>
      <c r="T245" s="136"/>
      <c r="U245" s="136"/>
      <c r="V245" s="136"/>
    </row>
    <row r="246" spans="14:22" x14ac:dyDescent="0.35">
      <c r="N246" s="135"/>
      <c r="O246" s="136"/>
      <c r="P246" s="136"/>
      <c r="Q246" s="136"/>
      <c r="R246" s="136"/>
      <c r="S246" s="136"/>
      <c r="T246" s="136"/>
      <c r="U246" s="136"/>
      <c r="V246" s="136"/>
    </row>
    <row r="247" spans="14:22" x14ac:dyDescent="0.35">
      <c r="N247" s="135"/>
      <c r="O247" s="136"/>
      <c r="P247" s="136"/>
      <c r="Q247" s="136"/>
      <c r="R247" s="136"/>
      <c r="S247" s="136"/>
      <c r="T247" s="136"/>
      <c r="U247" s="136"/>
      <c r="V247" s="136"/>
    </row>
    <row r="248" spans="14:22" x14ac:dyDescent="0.35">
      <c r="N248" s="135"/>
      <c r="O248" s="136"/>
      <c r="P248" s="136"/>
      <c r="Q248" s="136"/>
      <c r="R248" s="136"/>
      <c r="S248" s="136"/>
      <c r="T248" s="136"/>
      <c r="U248" s="136"/>
      <c r="V248" s="136"/>
    </row>
    <row r="249" spans="14:22" x14ac:dyDescent="0.35">
      <c r="N249" s="135"/>
      <c r="O249" s="136"/>
      <c r="P249" s="136"/>
      <c r="Q249" s="136"/>
      <c r="R249" s="136"/>
      <c r="S249" s="136"/>
      <c r="T249" s="136"/>
      <c r="U249" s="136"/>
      <c r="V249" s="136"/>
    </row>
    <row r="250" spans="14:22" x14ac:dyDescent="0.35">
      <c r="N250" s="135"/>
      <c r="O250" s="136"/>
      <c r="P250" s="136"/>
      <c r="Q250" s="136"/>
      <c r="R250" s="136"/>
      <c r="S250" s="136"/>
      <c r="T250" s="136"/>
      <c r="U250" s="136"/>
      <c r="V250" s="136"/>
    </row>
    <row r="251" spans="14:22" x14ac:dyDescent="0.35">
      <c r="N251" s="135"/>
      <c r="O251" s="136"/>
      <c r="P251" s="136"/>
      <c r="Q251" s="136"/>
      <c r="R251" s="136"/>
      <c r="S251" s="136"/>
      <c r="T251" s="136"/>
      <c r="U251" s="136"/>
      <c r="V251" s="136"/>
    </row>
    <row r="252" spans="14:22" x14ac:dyDescent="0.35">
      <c r="N252" s="135"/>
      <c r="O252" s="136"/>
      <c r="P252" s="136"/>
      <c r="Q252" s="136"/>
      <c r="R252" s="136"/>
      <c r="S252" s="136"/>
      <c r="T252" s="136"/>
      <c r="U252" s="136"/>
      <c r="V252" s="136"/>
    </row>
    <row r="253" spans="14:22" x14ac:dyDescent="0.35">
      <c r="N253" s="135"/>
      <c r="O253" s="136"/>
      <c r="P253" s="136"/>
      <c r="Q253" s="136"/>
      <c r="R253" s="136"/>
      <c r="S253" s="136"/>
      <c r="T253" s="136"/>
      <c r="U253" s="136"/>
      <c r="V253" s="136"/>
    </row>
    <row r="254" spans="14:22" x14ac:dyDescent="0.35">
      <c r="N254" s="135"/>
      <c r="O254" s="136"/>
      <c r="P254" s="136"/>
      <c r="Q254" s="136"/>
      <c r="R254" s="136"/>
      <c r="S254" s="136"/>
      <c r="T254" s="136"/>
      <c r="U254" s="136"/>
      <c r="V254" s="136"/>
    </row>
    <row r="255" spans="14:22" x14ac:dyDescent="0.35">
      <c r="N255" s="135"/>
      <c r="O255" s="136"/>
      <c r="P255" s="136"/>
      <c r="Q255" s="136"/>
      <c r="R255" s="136"/>
      <c r="S255" s="136"/>
      <c r="T255" s="136"/>
      <c r="U255" s="136"/>
      <c r="V255" s="136"/>
    </row>
    <row r="256" spans="14:22" x14ac:dyDescent="0.35">
      <c r="N256" s="135"/>
      <c r="O256" s="136"/>
      <c r="P256" s="136"/>
      <c r="Q256" s="136"/>
      <c r="R256" s="136"/>
      <c r="S256" s="136"/>
      <c r="T256" s="136"/>
      <c r="U256" s="136"/>
      <c r="V256" s="136"/>
    </row>
    <row r="257" spans="14:22" x14ac:dyDescent="0.35">
      <c r="N257" s="135"/>
      <c r="O257" s="136"/>
      <c r="P257" s="136"/>
      <c r="Q257" s="136"/>
      <c r="R257" s="136"/>
      <c r="S257" s="136"/>
      <c r="T257" s="136"/>
      <c r="U257" s="136"/>
      <c r="V257" s="136"/>
    </row>
    <row r="258" spans="14:22" x14ac:dyDescent="0.35">
      <c r="N258" s="135"/>
      <c r="O258" s="136"/>
      <c r="P258" s="136"/>
      <c r="Q258" s="136"/>
      <c r="R258" s="136"/>
      <c r="S258" s="136"/>
      <c r="T258" s="136"/>
      <c r="U258" s="136"/>
      <c r="V258" s="136"/>
    </row>
    <row r="259" spans="14:22" x14ac:dyDescent="0.35">
      <c r="N259" s="135"/>
      <c r="O259" s="136"/>
      <c r="P259" s="136"/>
      <c r="Q259" s="136"/>
      <c r="R259" s="136"/>
      <c r="S259" s="136"/>
      <c r="T259" s="136"/>
      <c r="U259" s="136"/>
      <c r="V259" s="136"/>
    </row>
    <row r="260" spans="14:22" x14ac:dyDescent="0.35">
      <c r="N260" s="135"/>
      <c r="O260" s="136"/>
      <c r="P260" s="136"/>
      <c r="Q260" s="136"/>
      <c r="R260" s="136"/>
      <c r="S260" s="136"/>
      <c r="T260" s="136"/>
      <c r="U260" s="136"/>
      <c r="V260" s="136"/>
    </row>
    <row r="261" spans="14:22" x14ac:dyDescent="0.35">
      <c r="N261" s="135"/>
      <c r="O261" s="136"/>
      <c r="P261" s="136"/>
      <c r="Q261" s="136"/>
      <c r="R261" s="136"/>
      <c r="S261" s="136"/>
      <c r="T261" s="136"/>
      <c r="U261" s="136"/>
      <c r="V261" s="136"/>
    </row>
    <row r="262" spans="14:22" x14ac:dyDescent="0.35">
      <c r="N262" s="135"/>
      <c r="O262" s="136"/>
      <c r="P262" s="136"/>
      <c r="Q262" s="136"/>
      <c r="R262" s="136"/>
      <c r="S262" s="136"/>
      <c r="T262" s="136"/>
      <c r="U262" s="136"/>
      <c r="V262" s="136"/>
    </row>
    <row r="263" spans="14:22" x14ac:dyDescent="0.35">
      <c r="N263" s="135"/>
      <c r="O263" s="136"/>
      <c r="P263" s="136"/>
      <c r="Q263" s="136"/>
      <c r="R263" s="136"/>
      <c r="S263" s="136"/>
      <c r="T263" s="136"/>
      <c r="U263" s="136"/>
      <c r="V263" s="136"/>
    </row>
    <row r="264" spans="14:22" x14ac:dyDescent="0.35">
      <c r="N264" s="135"/>
      <c r="O264" s="136"/>
      <c r="P264" s="136"/>
      <c r="Q264" s="136"/>
      <c r="R264" s="136"/>
      <c r="S264" s="136"/>
      <c r="T264" s="136"/>
      <c r="U264" s="136"/>
      <c r="V264" s="136"/>
    </row>
    <row r="265" spans="14:22" x14ac:dyDescent="0.35">
      <c r="N265" s="135"/>
      <c r="O265" s="136"/>
      <c r="P265" s="136"/>
      <c r="Q265" s="136"/>
      <c r="R265" s="136"/>
      <c r="S265" s="136"/>
      <c r="T265" s="136"/>
      <c r="U265" s="136"/>
      <c r="V265" s="136"/>
    </row>
    <row r="266" spans="14:22" x14ac:dyDescent="0.35">
      <c r="N266" s="135"/>
      <c r="O266" s="136"/>
      <c r="P266" s="136"/>
      <c r="Q266" s="136"/>
      <c r="R266" s="136"/>
      <c r="S266" s="136"/>
      <c r="T266" s="136"/>
      <c r="U266" s="136"/>
      <c r="V266" s="136"/>
    </row>
    <row r="267" spans="14:22" x14ac:dyDescent="0.35">
      <c r="N267" s="135"/>
      <c r="O267" s="136"/>
      <c r="P267" s="136"/>
      <c r="Q267" s="136"/>
      <c r="R267" s="136"/>
      <c r="S267" s="136"/>
      <c r="T267" s="136"/>
      <c r="U267" s="136"/>
      <c r="V267" s="136"/>
    </row>
    <row r="268" spans="14:22" x14ac:dyDescent="0.35">
      <c r="N268" s="135"/>
      <c r="O268" s="136"/>
      <c r="P268" s="136"/>
      <c r="Q268" s="136"/>
      <c r="R268" s="136"/>
      <c r="S268" s="136"/>
      <c r="T268" s="136"/>
      <c r="U268" s="136"/>
      <c r="V268" s="136"/>
    </row>
    <row r="269" spans="14:22" x14ac:dyDescent="0.35">
      <c r="N269" s="135"/>
      <c r="O269" s="136"/>
      <c r="P269" s="136"/>
      <c r="Q269" s="136"/>
      <c r="R269" s="136"/>
      <c r="S269" s="136"/>
      <c r="T269" s="136"/>
      <c r="U269" s="136"/>
      <c r="V269" s="136"/>
    </row>
    <row r="270" spans="14:22" x14ac:dyDescent="0.35">
      <c r="N270" s="135"/>
      <c r="O270" s="136"/>
      <c r="P270" s="136"/>
      <c r="Q270" s="136"/>
      <c r="R270" s="136"/>
      <c r="S270" s="136"/>
      <c r="T270" s="136"/>
      <c r="U270" s="136"/>
      <c r="V270" s="136"/>
    </row>
    <row r="271" spans="14:22" x14ac:dyDescent="0.35">
      <c r="N271" s="135"/>
      <c r="O271" s="136"/>
      <c r="P271" s="136"/>
      <c r="Q271" s="136"/>
      <c r="R271" s="136"/>
      <c r="S271" s="136"/>
      <c r="T271" s="136"/>
      <c r="U271" s="136"/>
      <c r="V271" s="136"/>
    </row>
    <row r="272" spans="14:22" x14ac:dyDescent="0.35">
      <c r="N272" s="135"/>
      <c r="O272" s="136"/>
      <c r="P272" s="136"/>
      <c r="Q272" s="136"/>
      <c r="R272" s="136"/>
      <c r="S272" s="136"/>
      <c r="T272" s="136"/>
      <c r="U272" s="136"/>
      <c r="V272" s="136"/>
    </row>
    <row r="273" spans="14:22" x14ac:dyDescent="0.35">
      <c r="N273" s="135"/>
      <c r="O273" s="136"/>
      <c r="P273" s="136"/>
      <c r="Q273" s="136"/>
      <c r="R273" s="136"/>
      <c r="S273" s="136"/>
      <c r="T273" s="136"/>
      <c r="U273" s="136"/>
      <c r="V273" s="136"/>
    </row>
    <row r="274" spans="14:22" x14ac:dyDescent="0.35">
      <c r="N274" s="135"/>
      <c r="O274" s="136"/>
      <c r="P274" s="136"/>
      <c r="Q274" s="136"/>
      <c r="R274" s="136"/>
      <c r="S274" s="136"/>
      <c r="T274" s="136"/>
      <c r="U274" s="136"/>
      <c r="V274" s="136"/>
    </row>
    <row r="275" spans="14:22" x14ac:dyDescent="0.35">
      <c r="N275" s="135"/>
      <c r="O275" s="136"/>
      <c r="P275" s="136"/>
      <c r="Q275" s="136"/>
      <c r="R275" s="136"/>
      <c r="S275" s="136"/>
      <c r="T275" s="136"/>
      <c r="U275" s="136"/>
      <c r="V275" s="136"/>
    </row>
    <row r="276" spans="14:22" x14ac:dyDescent="0.35">
      <c r="N276" s="135"/>
      <c r="O276" s="136"/>
      <c r="P276" s="136"/>
      <c r="Q276" s="136"/>
      <c r="R276" s="136"/>
      <c r="S276" s="136"/>
      <c r="T276" s="136"/>
      <c r="U276" s="136"/>
      <c r="V276" s="136"/>
    </row>
    <row r="277" spans="14:22" x14ac:dyDescent="0.35">
      <c r="N277" s="135"/>
      <c r="O277" s="136"/>
      <c r="P277" s="136"/>
      <c r="Q277" s="136"/>
      <c r="R277" s="136"/>
      <c r="S277" s="136"/>
      <c r="T277" s="136"/>
      <c r="U277" s="136"/>
      <c r="V277" s="136"/>
    </row>
    <row r="278" spans="14:22" x14ac:dyDescent="0.35">
      <c r="N278" s="135"/>
      <c r="O278" s="136"/>
      <c r="P278" s="136"/>
      <c r="Q278" s="136"/>
      <c r="R278" s="136"/>
      <c r="S278" s="136"/>
      <c r="T278" s="136"/>
      <c r="U278" s="136"/>
      <c r="V278" s="136"/>
    </row>
    <row r="279" spans="14:22" x14ac:dyDescent="0.35">
      <c r="N279" s="135"/>
      <c r="O279" s="136"/>
      <c r="P279" s="136"/>
      <c r="Q279" s="136"/>
      <c r="R279" s="136"/>
      <c r="S279" s="136"/>
      <c r="T279" s="136"/>
      <c r="U279" s="136"/>
      <c r="V279" s="136"/>
    </row>
    <row r="280" spans="14:22" x14ac:dyDescent="0.35">
      <c r="N280" s="135"/>
      <c r="O280" s="136"/>
      <c r="P280" s="136"/>
      <c r="Q280" s="136"/>
      <c r="R280" s="136"/>
      <c r="S280" s="136"/>
      <c r="T280" s="136"/>
      <c r="U280" s="136"/>
      <c r="V280" s="136"/>
    </row>
    <row r="281" spans="14:22" x14ac:dyDescent="0.35">
      <c r="N281" s="135"/>
      <c r="O281" s="136"/>
      <c r="P281" s="136"/>
      <c r="Q281" s="136"/>
      <c r="R281" s="136"/>
      <c r="S281" s="136"/>
      <c r="T281" s="136"/>
      <c r="U281" s="136"/>
      <c r="V281" s="136"/>
    </row>
    <row r="282" spans="14:22" x14ac:dyDescent="0.35">
      <c r="N282" s="135"/>
      <c r="O282" s="136"/>
      <c r="P282" s="136"/>
      <c r="Q282" s="136"/>
      <c r="R282" s="136"/>
      <c r="S282" s="136"/>
      <c r="T282" s="136"/>
      <c r="U282" s="136"/>
      <c r="V282" s="136"/>
    </row>
    <row r="283" spans="14:22" x14ac:dyDescent="0.35">
      <c r="N283" s="135"/>
      <c r="O283" s="136"/>
      <c r="P283" s="136"/>
      <c r="Q283" s="136"/>
      <c r="R283" s="136"/>
      <c r="S283" s="136"/>
      <c r="T283" s="136"/>
      <c r="U283" s="136"/>
      <c r="V283" s="136"/>
    </row>
    <row r="284" spans="14:22" x14ac:dyDescent="0.35">
      <c r="N284" s="135"/>
      <c r="O284" s="136"/>
      <c r="P284" s="136"/>
      <c r="Q284" s="136"/>
      <c r="R284" s="136"/>
      <c r="S284" s="136"/>
      <c r="T284" s="136"/>
      <c r="U284" s="136"/>
      <c r="V284" s="136"/>
    </row>
    <row r="285" spans="14:22" x14ac:dyDescent="0.35">
      <c r="N285" s="135"/>
      <c r="O285" s="136"/>
      <c r="P285" s="136"/>
      <c r="Q285" s="136"/>
      <c r="R285" s="136"/>
      <c r="S285" s="136"/>
      <c r="T285" s="136"/>
      <c r="U285" s="136"/>
      <c r="V285" s="136"/>
    </row>
    <row r="286" spans="14:22" x14ac:dyDescent="0.35">
      <c r="N286" s="135"/>
      <c r="O286" s="136"/>
      <c r="P286" s="136"/>
      <c r="Q286" s="136"/>
      <c r="R286" s="136"/>
      <c r="S286" s="136"/>
      <c r="T286" s="136"/>
      <c r="U286" s="136"/>
      <c r="V286" s="136"/>
    </row>
    <row r="287" spans="14:22" x14ac:dyDescent="0.35">
      <c r="N287" s="135"/>
      <c r="O287" s="136"/>
      <c r="P287" s="136"/>
      <c r="Q287" s="136"/>
      <c r="R287" s="136"/>
      <c r="S287" s="136"/>
      <c r="T287" s="136"/>
      <c r="U287" s="136"/>
      <c r="V287" s="136"/>
    </row>
    <row r="288" spans="14:22" x14ac:dyDescent="0.35">
      <c r="N288" s="135"/>
      <c r="O288" s="136"/>
      <c r="P288" s="136"/>
      <c r="Q288" s="136"/>
      <c r="R288" s="136"/>
      <c r="S288" s="136"/>
      <c r="T288" s="136"/>
      <c r="U288" s="136"/>
      <c r="V288" s="136"/>
    </row>
    <row r="289" spans="14:22" x14ac:dyDescent="0.35">
      <c r="N289" s="135"/>
      <c r="O289" s="136"/>
      <c r="P289" s="136"/>
      <c r="Q289" s="136"/>
      <c r="R289" s="136"/>
      <c r="S289" s="136"/>
      <c r="T289" s="136"/>
      <c r="U289" s="136"/>
      <c r="V289" s="136"/>
    </row>
    <row r="290" spans="14:22" x14ac:dyDescent="0.35">
      <c r="N290" s="135"/>
      <c r="O290" s="136"/>
      <c r="P290" s="136"/>
      <c r="Q290" s="136"/>
      <c r="R290" s="136"/>
      <c r="S290" s="136"/>
      <c r="T290" s="136"/>
      <c r="U290" s="136"/>
      <c r="V290" s="136"/>
    </row>
    <row r="291" spans="14:22" x14ac:dyDescent="0.35">
      <c r="N291" s="135"/>
      <c r="O291" s="136"/>
      <c r="P291" s="136"/>
      <c r="Q291" s="136"/>
      <c r="R291" s="136"/>
      <c r="S291" s="136"/>
      <c r="T291" s="136"/>
      <c r="U291" s="136"/>
      <c r="V291" s="136"/>
    </row>
    <row r="292" spans="14:22" x14ac:dyDescent="0.35">
      <c r="N292" s="135"/>
      <c r="O292" s="136"/>
      <c r="P292" s="136"/>
      <c r="Q292" s="136"/>
      <c r="R292" s="136"/>
      <c r="S292" s="136"/>
      <c r="T292" s="136"/>
      <c r="U292" s="136"/>
      <c r="V292" s="136"/>
    </row>
    <row r="293" spans="14:22" x14ac:dyDescent="0.35">
      <c r="N293" s="135"/>
      <c r="O293" s="136"/>
      <c r="P293" s="136"/>
      <c r="Q293" s="136"/>
      <c r="R293" s="136"/>
      <c r="S293" s="136"/>
      <c r="T293" s="136"/>
      <c r="U293" s="136"/>
      <c r="V293" s="136"/>
    </row>
    <row r="294" spans="14:22" x14ac:dyDescent="0.35">
      <c r="N294" s="135"/>
      <c r="O294" s="136"/>
      <c r="P294" s="136"/>
      <c r="Q294" s="136"/>
      <c r="R294" s="136"/>
      <c r="S294" s="136"/>
      <c r="T294" s="136"/>
      <c r="U294" s="136"/>
      <c r="V294" s="136"/>
    </row>
    <row r="295" spans="14:22" x14ac:dyDescent="0.35">
      <c r="N295" s="135"/>
      <c r="O295" s="136"/>
      <c r="P295" s="136"/>
      <c r="Q295" s="136"/>
      <c r="R295" s="136"/>
      <c r="S295" s="136"/>
      <c r="T295" s="136"/>
      <c r="U295" s="136"/>
      <c r="V295" s="136"/>
    </row>
    <row r="296" spans="14:22" x14ac:dyDescent="0.35">
      <c r="N296" s="135"/>
      <c r="O296" s="136"/>
      <c r="P296" s="136"/>
      <c r="Q296" s="136"/>
      <c r="R296" s="136"/>
      <c r="S296" s="136"/>
      <c r="T296" s="136"/>
      <c r="U296" s="136"/>
      <c r="V296" s="136"/>
    </row>
    <row r="297" spans="14:22" x14ac:dyDescent="0.35">
      <c r="N297" s="135"/>
      <c r="O297" s="136"/>
      <c r="P297" s="136"/>
      <c r="Q297" s="136"/>
      <c r="R297" s="136"/>
      <c r="S297" s="136"/>
      <c r="T297" s="136"/>
      <c r="U297" s="136"/>
      <c r="V297" s="136"/>
    </row>
    <row r="298" spans="14:22" x14ac:dyDescent="0.35">
      <c r="N298" s="135"/>
      <c r="O298" s="136"/>
      <c r="P298" s="136"/>
      <c r="Q298" s="136"/>
      <c r="R298" s="136"/>
      <c r="S298" s="136"/>
      <c r="T298" s="136"/>
      <c r="U298" s="136"/>
      <c r="V298" s="136"/>
    </row>
    <row r="299" spans="14:22" x14ac:dyDescent="0.35">
      <c r="N299" s="135"/>
      <c r="O299" s="136"/>
      <c r="P299" s="136"/>
      <c r="Q299" s="136"/>
      <c r="R299" s="136"/>
      <c r="S299" s="136"/>
      <c r="T299" s="136"/>
      <c r="U299" s="136"/>
      <c r="V299" s="136"/>
    </row>
    <row r="300" spans="14:22" x14ac:dyDescent="0.35">
      <c r="N300" s="135"/>
      <c r="O300" s="136"/>
      <c r="P300" s="136"/>
      <c r="Q300" s="136"/>
      <c r="R300" s="136"/>
      <c r="S300" s="136"/>
      <c r="T300" s="136"/>
      <c r="U300" s="136"/>
      <c r="V300" s="136"/>
    </row>
    <row r="301" spans="14:22" x14ac:dyDescent="0.35">
      <c r="N301" s="135"/>
      <c r="O301" s="136"/>
      <c r="P301" s="136"/>
      <c r="Q301" s="136"/>
      <c r="R301" s="136"/>
      <c r="S301" s="136"/>
      <c r="T301" s="136"/>
      <c r="U301" s="136"/>
      <c r="V301" s="136"/>
    </row>
    <row r="302" spans="14:22" x14ac:dyDescent="0.35">
      <c r="N302" s="135"/>
      <c r="O302" s="136"/>
      <c r="P302" s="136"/>
      <c r="Q302" s="136"/>
      <c r="R302" s="136"/>
      <c r="S302" s="136"/>
      <c r="T302" s="136"/>
      <c r="U302" s="136"/>
      <c r="V302" s="136"/>
    </row>
    <row r="303" spans="14:22" x14ac:dyDescent="0.35">
      <c r="N303" s="135"/>
      <c r="O303" s="136"/>
      <c r="P303" s="136"/>
      <c r="Q303" s="136"/>
      <c r="R303" s="136"/>
      <c r="S303" s="136"/>
      <c r="T303" s="136"/>
      <c r="U303" s="136"/>
      <c r="V303" s="136"/>
    </row>
    <row r="304" spans="14:22" x14ac:dyDescent="0.35">
      <c r="N304" s="135"/>
      <c r="O304" s="136"/>
      <c r="P304" s="136"/>
      <c r="Q304" s="136"/>
      <c r="R304" s="136"/>
      <c r="S304" s="136"/>
      <c r="T304" s="136"/>
      <c r="U304" s="136"/>
      <c r="V304" s="136"/>
    </row>
    <row r="305" spans="14:22" x14ac:dyDescent="0.35">
      <c r="N305" s="135"/>
      <c r="O305" s="136"/>
      <c r="P305" s="136"/>
      <c r="Q305" s="136"/>
      <c r="R305" s="136"/>
      <c r="S305" s="136"/>
      <c r="T305" s="136"/>
      <c r="U305" s="136"/>
      <c r="V305" s="136"/>
    </row>
    <row r="306" spans="14:22" x14ac:dyDescent="0.35">
      <c r="N306" s="135"/>
      <c r="O306" s="136"/>
      <c r="P306" s="136"/>
      <c r="Q306" s="136"/>
      <c r="R306" s="136"/>
      <c r="S306" s="136"/>
      <c r="T306" s="136"/>
      <c r="U306" s="136"/>
      <c r="V306" s="136"/>
    </row>
    <row r="307" spans="14:22" x14ac:dyDescent="0.35">
      <c r="N307" s="135"/>
      <c r="O307" s="136"/>
      <c r="P307" s="136"/>
      <c r="Q307" s="136"/>
      <c r="R307" s="136"/>
      <c r="S307" s="136"/>
      <c r="T307" s="136"/>
      <c r="U307" s="136"/>
      <c r="V307" s="136"/>
    </row>
    <row r="308" spans="14:22" x14ac:dyDescent="0.35">
      <c r="N308" s="135"/>
      <c r="O308" s="136"/>
      <c r="P308" s="136"/>
      <c r="Q308" s="136"/>
      <c r="R308" s="136"/>
      <c r="S308" s="136"/>
      <c r="T308" s="136"/>
      <c r="U308" s="136"/>
      <c r="V308" s="136"/>
    </row>
    <row r="309" spans="14:22" x14ac:dyDescent="0.35">
      <c r="N309" s="135"/>
      <c r="O309" s="136"/>
      <c r="P309" s="136"/>
      <c r="Q309" s="136"/>
      <c r="R309" s="136"/>
      <c r="S309" s="136"/>
      <c r="T309" s="136"/>
      <c r="U309" s="136"/>
      <c r="V309" s="136"/>
    </row>
    <row r="310" spans="14:22" x14ac:dyDescent="0.35">
      <c r="N310" s="135"/>
      <c r="O310" s="136"/>
      <c r="P310" s="136"/>
      <c r="Q310" s="136"/>
      <c r="R310" s="136"/>
      <c r="S310" s="136"/>
      <c r="T310" s="136"/>
      <c r="U310" s="136"/>
      <c r="V310" s="136"/>
    </row>
    <row r="311" spans="14:22" x14ac:dyDescent="0.35">
      <c r="N311" s="135"/>
      <c r="O311" s="136"/>
      <c r="P311" s="136"/>
      <c r="Q311" s="136"/>
      <c r="R311" s="136"/>
      <c r="S311" s="136"/>
      <c r="T311" s="136"/>
      <c r="U311" s="136"/>
      <c r="V311" s="136"/>
    </row>
    <row r="312" spans="14:22" x14ac:dyDescent="0.35">
      <c r="N312" s="135"/>
      <c r="O312" s="136"/>
      <c r="P312" s="136"/>
      <c r="Q312" s="136"/>
      <c r="R312" s="136"/>
      <c r="S312" s="136"/>
      <c r="T312" s="136"/>
      <c r="U312" s="136"/>
      <c r="V312" s="136"/>
    </row>
    <row r="313" spans="14:22" x14ac:dyDescent="0.35">
      <c r="N313" s="135"/>
      <c r="O313" s="136"/>
      <c r="P313" s="136"/>
      <c r="Q313" s="136"/>
      <c r="R313" s="136"/>
      <c r="S313" s="136"/>
      <c r="T313" s="136"/>
      <c r="U313" s="136"/>
      <c r="V313" s="136"/>
    </row>
    <row r="314" spans="14:22" x14ac:dyDescent="0.35">
      <c r="N314" s="135"/>
      <c r="O314" s="136"/>
      <c r="P314" s="136"/>
      <c r="Q314" s="136"/>
      <c r="R314" s="136"/>
      <c r="S314" s="136"/>
      <c r="T314" s="136"/>
      <c r="U314" s="136"/>
      <c r="V314" s="136"/>
    </row>
    <row r="315" spans="14:22" x14ac:dyDescent="0.35">
      <c r="N315" s="135"/>
      <c r="O315" s="136"/>
      <c r="P315" s="136"/>
      <c r="Q315" s="136"/>
      <c r="R315" s="136"/>
      <c r="S315" s="136"/>
      <c r="T315" s="136"/>
      <c r="U315" s="136"/>
      <c r="V315" s="136"/>
    </row>
    <row r="316" spans="14:22" x14ac:dyDescent="0.35">
      <c r="N316" s="135"/>
      <c r="O316" s="136"/>
      <c r="P316" s="136"/>
      <c r="Q316" s="136"/>
      <c r="R316" s="136"/>
      <c r="S316" s="136"/>
      <c r="T316" s="136"/>
      <c r="U316" s="136"/>
      <c r="V316" s="136"/>
    </row>
    <row r="317" spans="14:22" x14ac:dyDescent="0.35">
      <c r="N317" s="135"/>
      <c r="O317" s="136"/>
      <c r="P317" s="136"/>
      <c r="Q317" s="136"/>
      <c r="R317" s="136"/>
      <c r="S317" s="136"/>
      <c r="T317" s="136"/>
      <c r="U317" s="136"/>
      <c r="V317" s="136"/>
    </row>
    <row r="318" spans="14:22" x14ac:dyDescent="0.35">
      <c r="N318" s="135"/>
      <c r="O318" s="136"/>
      <c r="P318" s="136"/>
      <c r="Q318" s="136"/>
      <c r="R318" s="136"/>
      <c r="S318" s="136"/>
      <c r="T318" s="136"/>
      <c r="U318" s="136"/>
      <c r="V318" s="136"/>
    </row>
    <row r="319" spans="14:22" x14ac:dyDescent="0.35">
      <c r="N319" s="135"/>
      <c r="O319" s="136"/>
      <c r="P319" s="136"/>
      <c r="Q319" s="136"/>
      <c r="R319" s="136"/>
      <c r="S319" s="136"/>
      <c r="T319" s="136"/>
      <c r="U319" s="136"/>
      <c r="V319" s="136"/>
    </row>
    <row r="320" spans="14:22" x14ac:dyDescent="0.35">
      <c r="N320" s="135"/>
      <c r="O320" s="136"/>
      <c r="P320" s="136"/>
      <c r="Q320" s="136"/>
      <c r="R320" s="136"/>
      <c r="S320" s="136"/>
      <c r="T320" s="136"/>
      <c r="U320" s="136"/>
      <c r="V320" s="136"/>
    </row>
    <row r="321" spans="14:22" x14ac:dyDescent="0.35">
      <c r="N321" s="135"/>
      <c r="O321" s="136"/>
      <c r="P321" s="136"/>
      <c r="Q321" s="136"/>
      <c r="R321" s="136"/>
      <c r="S321" s="136"/>
      <c r="T321" s="136"/>
      <c r="U321" s="136"/>
      <c r="V321" s="136"/>
    </row>
    <row r="322" spans="14:22" x14ac:dyDescent="0.35">
      <c r="N322" s="135"/>
      <c r="O322" s="136"/>
      <c r="P322" s="136"/>
      <c r="Q322" s="136"/>
      <c r="R322" s="136"/>
      <c r="S322" s="136"/>
      <c r="T322" s="136"/>
      <c r="U322" s="136"/>
      <c r="V322" s="136"/>
    </row>
    <row r="323" spans="14:22" x14ac:dyDescent="0.35">
      <c r="N323" s="135"/>
      <c r="O323" s="136"/>
      <c r="P323" s="136"/>
      <c r="Q323" s="136"/>
      <c r="R323" s="136"/>
      <c r="S323" s="136"/>
      <c r="T323" s="136"/>
      <c r="U323" s="136"/>
      <c r="V323" s="136"/>
    </row>
    <row r="324" spans="14:22" x14ac:dyDescent="0.35">
      <c r="N324" s="135"/>
      <c r="O324" s="136"/>
      <c r="P324" s="136"/>
      <c r="Q324" s="136"/>
      <c r="R324" s="136"/>
      <c r="S324" s="136"/>
      <c r="T324" s="136"/>
      <c r="U324" s="136"/>
      <c r="V324" s="136"/>
    </row>
    <row r="325" spans="14:22" x14ac:dyDescent="0.35">
      <c r="N325" s="135"/>
      <c r="O325" s="136"/>
      <c r="P325" s="136"/>
      <c r="Q325" s="136"/>
      <c r="R325" s="136"/>
      <c r="S325" s="136"/>
      <c r="T325" s="136"/>
      <c r="U325" s="136"/>
      <c r="V325" s="136"/>
    </row>
    <row r="326" spans="14:22" x14ac:dyDescent="0.35">
      <c r="N326" s="135"/>
      <c r="O326" s="136"/>
      <c r="P326" s="136"/>
      <c r="Q326" s="136"/>
      <c r="R326" s="136"/>
      <c r="S326" s="136"/>
      <c r="T326" s="136"/>
      <c r="U326" s="136"/>
      <c r="V326" s="136"/>
    </row>
    <row r="327" spans="14:22" x14ac:dyDescent="0.35">
      <c r="N327" s="135"/>
      <c r="O327" s="136"/>
      <c r="P327" s="136"/>
      <c r="Q327" s="136"/>
      <c r="R327" s="136"/>
      <c r="S327" s="136"/>
      <c r="T327" s="136"/>
      <c r="U327" s="136"/>
      <c r="V327" s="136"/>
    </row>
    <row r="328" spans="14:22" x14ac:dyDescent="0.35">
      <c r="N328" s="135"/>
      <c r="O328" s="136"/>
      <c r="P328" s="136"/>
      <c r="Q328" s="136"/>
      <c r="R328" s="136"/>
      <c r="S328" s="136"/>
      <c r="T328" s="136"/>
      <c r="U328" s="136"/>
      <c r="V328" s="136"/>
    </row>
    <row r="329" spans="14:22" x14ac:dyDescent="0.35">
      <c r="N329" s="135"/>
      <c r="O329" s="136"/>
      <c r="P329" s="136"/>
      <c r="Q329" s="136"/>
      <c r="R329" s="136"/>
      <c r="S329" s="136"/>
      <c r="T329" s="136"/>
      <c r="U329" s="136"/>
      <c r="V329" s="136"/>
    </row>
    <row r="330" spans="14:22" x14ac:dyDescent="0.35">
      <c r="N330" s="135"/>
      <c r="O330" s="136"/>
      <c r="P330" s="136"/>
      <c r="Q330" s="136"/>
      <c r="R330" s="136"/>
      <c r="S330" s="136"/>
      <c r="T330" s="136"/>
      <c r="U330" s="136"/>
      <c r="V330" s="136"/>
    </row>
    <row r="331" spans="14:22" x14ac:dyDescent="0.35">
      <c r="N331" s="135"/>
      <c r="O331" s="136"/>
      <c r="P331" s="136"/>
      <c r="Q331" s="136"/>
      <c r="R331" s="136"/>
      <c r="S331" s="136"/>
      <c r="T331" s="136"/>
      <c r="U331" s="136"/>
      <c r="V331" s="136"/>
    </row>
    <row r="332" spans="14:22" x14ac:dyDescent="0.35">
      <c r="N332" s="135"/>
      <c r="O332" s="136"/>
      <c r="P332" s="136"/>
      <c r="Q332" s="136"/>
      <c r="R332" s="136"/>
      <c r="S332" s="136"/>
      <c r="T332" s="136"/>
      <c r="U332" s="136"/>
      <c r="V332" s="136"/>
    </row>
    <row r="333" spans="14:22" x14ac:dyDescent="0.35">
      <c r="N333" s="135"/>
      <c r="O333" s="136"/>
      <c r="P333" s="136"/>
      <c r="Q333" s="136"/>
      <c r="R333" s="136"/>
      <c r="S333" s="136"/>
      <c r="T333" s="136"/>
      <c r="U333" s="136"/>
      <c r="V333" s="136"/>
    </row>
    <row r="334" spans="14:22" x14ac:dyDescent="0.35">
      <c r="N334" s="135"/>
      <c r="O334" s="136"/>
      <c r="P334" s="136"/>
      <c r="Q334" s="136"/>
      <c r="R334" s="136"/>
      <c r="S334" s="136"/>
      <c r="T334" s="136"/>
      <c r="U334" s="136"/>
      <c r="V334" s="136"/>
    </row>
    <row r="335" spans="14:22" x14ac:dyDescent="0.35">
      <c r="N335" s="135"/>
      <c r="O335" s="136"/>
      <c r="P335" s="136"/>
      <c r="Q335" s="136"/>
      <c r="R335" s="136"/>
      <c r="S335" s="136"/>
      <c r="T335" s="136"/>
      <c r="U335" s="136"/>
      <c r="V335" s="136"/>
    </row>
    <row r="336" spans="14:22" x14ac:dyDescent="0.35">
      <c r="N336" s="135"/>
      <c r="O336" s="136"/>
      <c r="P336" s="136"/>
      <c r="Q336" s="136"/>
      <c r="R336" s="136"/>
      <c r="S336" s="136"/>
      <c r="T336" s="136"/>
      <c r="U336" s="136"/>
      <c r="V336" s="136"/>
    </row>
    <row r="337" spans="14:22" x14ac:dyDescent="0.35">
      <c r="N337" s="135"/>
      <c r="O337" s="136"/>
      <c r="P337" s="136"/>
      <c r="Q337" s="136"/>
      <c r="R337" s="136"/>
      <c r="S337" s="136"/>
      <c r="T337" s="136"/>
      <c r="U337" s="136"/>
      <c r="V337" s="136"/>
    </row>
    <row r="338" spans="14:22" x14ac:dyDescent="0.35">
      <c r="N338" s="135"/>
      <c r="O338" s="136"/>
      <c r="P338" s="136"/>
      <c r="Q338" s="136"/>
      <c r="R338" s="136"/>
      <c r="S338" s="136"/>
      <c r="T338" s="136"/>
      <c r="U338" s="136"/>
      <c r="V338" s="136"/>
    </row>
    <row r="339" spans="14:22" x14ac:dyDescent="0.35">
      <c r="N339" s="135"/>
      <c r="O339" s="136"/>
      <c r="P339" s="136"/>
      <c r="Q339" s="136"/>
      <c r="R339" s="136"/>
      <c r="S339" s="136"/>
      <c r="T339" s="136"/>
      <c r="U339" s="136"/>
      <c r="V339" s="136"/>
    </row>
    <row r="340" spans="14:22" x14ac:dyDescent="0.35">
      <c r="N340" s="135"/>
      <c r="O340" s="136"/>
      <c r="P340" s="136"/>
      <c r="Q340" s="136"/>
      <c r="R340" s="136"/>
      <c r="S340" s="136"/>
      <c r="T340" s="136"/>
      <c r="U340" s="136"/>
      <c r="V340" s="136"/>
    </row>
    <row r="341" spans="14:22" x14ac:dyDescent="0.35">
      <c r="N341" s="135"/>
      <c r="O341" s="136"/>
      <c r="P341" s="136"/>
      <c r="Q341" s="136"/>
      <c r="R341" s="136"/>
      <c r="S341" s="136"/>
      <c r="T341" s="136"/>
      <c r="U341" s="136"/>
      <c r="V341" s="136"/>
    </row>
    <row r="342" spans="14:22" x14ac:dyDescent="0.35">
      <c r="N342" s="135"/>
      <c r="O342" s="136"/>
      <c r="P342" s="136"/>
      <c r="Q342" s="136"/>
      <c r="R342" s="136"/>
      <c r="S342" s="136"/>
      <c r="T342" s="136"/>
      <c r="U342" s="136"/>
      <c r="V342" s="136"/>
    </row>
    <row r="343" spans="14:22" x14ac:dyDescent="0.35">
      <c r="N343" s="135"/>
      <c r="O343" s="136"/>
      <c r="P343" s="136"/>
      <c r="Q343" s="136"/>
      <c r="R343" s="136"/>
      <c r="S343" s="136"/>
      <c r="T343" s="136"/>
      <c r="U343" s="136"/>
      <c r="V343" s="136"/>
    </row>
    <row r="344" spans="14:22" x14ac:dyDescent="0.35">
      <c r="N344" s="135"/>
      <c r="O344" s="136"/>
      <c r="P344" s="136"/>
      <c r="Q344" s="136"/>
      <c r="R344" s="136"/>
      <c r="S344" s="136"/>
      <c r="T344" s="136"/>
      <c r="U344" s="136"/>
      <c r="V344" s="136"/>
    </row>
    <row r="345" spans="14:22" x14ac:dyDescent="0.35">
      <c r="N345" s="135"/>
      <c r="O345" s="136"/>
      <c r="P345" s="136"/>
      <c r="Q345" s="136"/>
      <c r="R345" s="136"/>
      <c r="S345" s="136"/>
      <c r="T345" s="136"/>
      <c r="U345" s="136"/>
      <c r="V345" s="136"/>
    </row>
    <row r="346" spans="14:22" x14ac:dyDescent="0.35">
      <c r="N346" s="135"/>
      <c r="O346" s="136"/>
      <c r="P346" s="136"/>
      <c r="Q346" s="136"/>
      <c r="R346" s="136"/>
      <c r="S346" s="136"/>
      <c r="T346" s="136"/>
      <c r="U346" s="136"/>
      <c r="V346" s="136"/>
    </row>
    <row r="347" spans="14:22" x14ac:dyDescent="0.35">
      <c r="N347" s="135"/>
      <c r="O347" s="136"/>
      <c r="P347" s="136"/>
      <c r="Q347" s="136"/>
      <c r="R347" s="136"/>
      <c r="S347" s="136"/>
      <c r="T347" s="136"/>
      <c r="U347" s="136"/>
      <c r="V347" s="136"/>
    </row>
    <row r="348" spans="14:22" x14ac:dyDescent="0.35">
      <c r="N348" s="135"/>
      <c r="O348" s="136"/>
      <c r="P348" s="136"/>
      <c r="Q348" s="136"/>
      <c r="R348" s="136"/>
      <c r="S348" s="136"/>
      <c r="T348" s="136"/>
      <c r="U348" s="136"/>
      <c r="V348" s="136"/>
    </row>
    <row r="349" spans="14:22" x14ac:dyDescent="0.35">
      <c r="N349" s="135"/>
      <c r="O349" s="136"/>
      <c r="P349" s="136"/>
      <c r="Q349" s="136"/>
      <c r="R349" s="136"/>
      <c r="S349" s="136"/>
      <c r="T349" s="136"/>
      <c r="U349" s="136"/>
      <c r="V349" s="136"/>
    </row>
    <row r="350" spans="14:22" x14ac:dyDescent="0.35">
      <c r="N350" s="135"/>
      <c r="O350" s="136"/>
      <c r="P350" s="136"/>
      <c r="Q350" s="136"/>
      <c r="R350" s="136"/>
      <c r="S350" s="136"/>
      <c r="T350" s="136"/>
      <c r="U350" s="136"/>
      <c r="V350" s="136"/>
    </row>
    <row r="351" spans="14:22" x14ac:dyDescent="0.35">
      <c r="N351" s="135"/>
      <c r="O351" s="136"/>
      <c r="P351" s="136"/>
      <c r="Q351" s="136"/>
      <c r="R351" s="136"/>
      <c r="S351" s="136"/>
      <c r="T351" s="136"/>
      <c r="U351" s="136"/>
      <c r="V351" s="136"/>
    </row>
    <row r="352" spans="14:22" x14ac:dyDescent="0.35">
      <c r="N352" s="135"/>
      <c r="O352" s="136"/>
      <c r="P352" s="136"/>
      <c r="Q352" s="136"/>
      <c r="R352" s="136"/>
      <c r="S352" s="136"/>
      <c r="T352" s="136"/>
      <c r="U352" s="136"/>
      <c r="V352" s="136"/>
    </row>
    <row r="353" spans="14:22" x14ac:dyDescent="0.35">
      <c r="N353" s="135"/>
      <c r="O353" s="136"/>
      <c r="P353" s="136"/>
      <c r="Q353" s="136"/>
      <c r="R353" s="136"/>
      <c r="S353" s="136"/>
      <c r="T353" s="136"/>
      <c r="U353" s="136"/>
      <c r="V353" s="136"/>
    </row>
    <row r="354" spans="14:22" x14ac:dyDescent="0.35">
      <c r="N354" s="135"/>
      <c r="O354" s="136"/>
      <c r="P354" s="136"/>
      <c r="Q354" s="136"/>
      <c r="R354" s="136"/>
      <c r="S354" s="136"/>
      <c r="T354" s="136"/>
      <c r="U354" s="136"/>
      <c r="V354" s="136"/>
    </row>
    <row r="355" spans="14:22" x14ac:dyDescent="0.35">
      <c r="N355" s="135"/>
      <c r="O355" s="136"/>
      <c r="P355" s="136"/>
      <c r="Q355" s="136"/>
      <c r="R355" s="136"/>
      <c r="S355" s="136"/>
      <c r="T355" s="136"/>
      <c r="U355" s="136"/>
      <c r="V355" s="136"/>
    </row>
    <row r="356" spans="14:22" x14ac:dyDescent="0.35">
      <c r="N356" s="135"/>
      <c r="O356" s="136"/>
      <c r="P356" s="136"/>
      <c r="Q356" s="136"/>
      <c r="R356" s="136"/>
      <c r="S356" s="136"/>
      <c r="T356" s="136"/>
      <c r="U356" s="136"/>
      <c r="V356" s="136"/>
    </row>
    <row r="357" spans="14:22" x14ac:dyDescent="0.35">
      <c r="N357" s="135"/>
      <c r="O357" s="136"/>
      <c r="P357" s="136"/>
      <c r="Q357" s="136"/>
      <c r="R357" s="136"/>
      <c r="S357" s="136"/>
      <c r="T357" s="136"/>
      <c r="U357" s="136"/>
      <c r="V357" s="136"/>
    </row>
    <row r="358" spans="14:22" x14ac:dyDescent="0.35">
      <c r="N358" s="135"/>
      <c r="O358" s="136"/>
      <c r="P358" s="136"/>
      <c r="Q358" s="136"/>
      <c r="R358" s="136"/>
      <c r="S358" s="136"/>
      <c r="T358" s="136"/>
      <c r="U358" s="136"/>
      <c r="V358" s="136"/>
    </row>
    <row r="359" spans="14:22" x14ac:dyDescent="0.35">
      <c r="N359" s="135"/>
      <c r="O359" s="136"/>
      <c r="P359" s="136"/>
      <c r="Q359" s="136"/>
      <c r="R359" s="136"/>
      <c r="S359" s="136"/>
      <c r="T359" s="136"/>
      <c r="U359" s="136"/>
      <c r="V359" s="136"/>
    </row>
    <row r="360" spans="14:22" x14ac:dyDescent="0.35">
      <c r="N360" s="135"/>
      <c r="O360" s="136"/>
      <c r="P360" s="136"/>
      <c r="Q360" s="136"/>
      <c r="R360" s="136"/>
      <c r="S360" s="136"/>
      <c r="T360" s="136"/>
      <c r="U360" s="136"/>
      <c r="V360" s="136"/>
    </row>
    <row r="361" spans="14:22" x14ac:dyDescent="0.35">
      <c r="N361" s="135"/>
      <c r="O361" s="136"/>
      <c r="P361" s="136"/>
      <c r="Q361" s="136"/>
      <c r="R361" s="136"/>
      <c r="S361" s="136"/>
      <c r="T361" s="136"/>
      <c r="U361" s="136"/>
      <c r="V361" s="136"/>
    </row>
    <row r="362" spans="14:22" x14ac:dyDescent="0.35">
      <c r="N362" s="135"/>
      <c r="O362" s="136"/>
      <c r="P362" s="136"/>
      <c r="Q362" s="136"/>
      <c r="R362" s="136"/>
      <c r="S362" s="136"/>
      <c r="T362" s="136"/>
      <c r="U362" s="136"/>
      <c r="V362" s="136"/>
    </row>
    <row r="363" spans="14:22" x14ac:dyDescent="0.35">
      <c r="N363" s="135"/>
      <c r="O363" s="136"/>
      <c r="P363" s="136"/>
      <c r="Q363" s="136"/>
      <c r="R363" s="136"/>
      <c r="S363" s="136"/>
      <c r="T363" s="136"/>
      <c r="U363" s="136"/>
      <c r="V363" s="136"/>
    </row>
    <row r="364" spans="14:22" x14ac:dyDescent="0.35">
      <c r="N364" s="135"/>
      <c r="O364" s="136"/>
      <c r="P364" s="136"/>
      <c r="Q364" s="136"/>
      <c r="R364" s="136"/>
      <c r="S364" s="136"/>
      <c r="T364" s="136"/>
      <c r="U364" s="136"/>
      <c r="V364" s="136"/>
    </row>
    <row r="365" spans="14:22" x14ac:dyDescent="0.35">
      <c r="N365" s="135"/>
      <c r="O365" s="136"/>
      <c r="P365" s="136"/>
      <c r="Q365" s="136"/>
      <c r="R365" s="136"/>
      <c r="S365" s="136"/>
      <c r="T365" s="136"/>
      <c r="U365" s="136"/>
      <c r="V365" s="136"/>
    </row>
    <row r="366" spans="14:22" x14ac:dyDescent="0.35">
      <c r="N366" s="135"/>
      <c r="O366" s="136"/>
      <c r="P366" s="136"/>
      <c r="Q366" s="136"/>
      <c r="R366" s="136"/>
      <c r="S366" s="136"/>
      <c r="T366" s="136"/>
      <c r="U366" s="136"/>
      <c r="V366" s="136"/>
    </row>
    <row r="367" spans="14:22" x14ac:dyDescent="0.35">
      <c r="N367" s="135"/>
      <c r="O367" s="136"/>
      <c r="P367" s="136"/>
      <c r="Q367" s="136"/>
      <c r="R367" s="136"/>
      <c r="S367" s="136"/>
      <c r="T367" s="136"/>
      <c r="U367" s="136"/>
      <c r="V367" s="136"/>
    </row>
    <row r="368" spans="14:22" x14ac:dyDescent="0.35">
      <c r="N368" s="135"/>
      <c r="O368" s="136"/>
      <c r="P368" s="136"/>
      <c r="Q368" s="136"/>
      <c r="R368" s="136"/>
      <c r="S368" s="136"/>
      <c r="T368" s="136"/>
      <c r="U368" s="136"/>
      <c r="V368" s="136"/>
    </row>
    <row r="369" spans="14:22" x14ac:dyDescent="0.35">
      <c r="N369" s="135"/>
      <c r="O369" s="136"/>
      <c r="P369" s="136"/>
      <c r="Q369" s="136"/>
      <c r="R369" s="136"/>
      <c r="S369" s="136"/>
      <c r="T369" s="136"/>
      <c r="U369" s="136"/>
      <c r="V369" s="136"/>
    </row>
    <row r="370" spans="14:22" x14ac:dyDescent="0.35">
      <c r="N370" s="135"/>
      <c r="O370" s="136"/>
      <c r="P370" s="136"/>
      <c r="Q370" s="136"/>
      <c r="R370" s="136"/>
      <c r="S370" s="136"/>
      <c r="T370" s="136"/>
      <c r="U370" s="136"/>
      <c r="V370" s="136"/>
    </row>
    <row r="371" spans="14:22" x14ac:dyDescent="0.35">
      <c r="N371" s="135"/>
      <c r="O371" s="136"/>
      <c r="P371" s="136"/>
      <c r="Q371" s="136"/>
      <c r="R371" s="136"/>
      <c r="S371" s="136"/>
      <c r="T371" s="136"/>
      <c r="U371" s="136"/>
      <c r="V371" s="136"/>
    </row>
    <row r="372" spans="14:22" x14ac:dyDescent="0.35">
      <c r="N372" s="135"/>
      <c r="O372" s="136"/>
      <c r="P372" s="136"/>
      <c r="Q372" s="136"/>
      <c r="R372" s="136"/>
      <c r="S372" s="136"/>
      <c r="T372" s="136"/>
      <c r="U372" s="136"/>
      <c r="V372" s="136"/>
    </row>
    <row r="373" spans="14:22" x14ac:dyDescent="0.35">
      <c r="N373" s="135"/>
      <c r="O373" s="136"/>
      <c r="P373" s="136"/>
      <c r="Q373" s="136"/>
      <c r="R373" s="136"/>
      <c r="S373" s="136"/>
      <c r="T373" s="136"/>
      <c r="U373" s="136"/>
      <c r="V373" s="136"/>
    </row>
    <row r="374" spans="14:22" x14ac:dyDescent="0.35">
      <c r="N374" s="135"/>
      <c r="O374" s="136"/>
      <c r="P374" s="136"/>
      <c r="Q374" s="136"/>
      <c r="R374" s="136"/>
      <c r="S374" s="136"/>
      <c r="T374" s="136"/>
      <c r="U374" s="136"/>
      <c r="V374" s="136"/>
    </row>
    <row r="375" spans="14:22" x14ac:dyDescent="0.35">
      <c r="N375" s="135"/>
      <c r="O375" s="136"/>
      <c r="P375" s="136"/>
      <c r="Q375" s="136"/>
      <c r="R375" s="136"/>
      <c r="S375" s="136"/>
      <c r="T375" s="136"/>
      <c r="U375" s="136"/>
      <c r="V375" s="136"/>
    </row>
    <row r="376" spans="14:22" x14ac:dyDescent="0.35">
      <c r="N376" s="135"/>
      <c r="O376" s="136"/>
      <c r="P376" s="136"/>
      <c r="Q376" s="136"/>
      <c r="R376" s="136"/>
      <c r="S376" s="136"/>
      <c r="T376" s="136"/>
      <c r="U376" s="136"/>
      <c r="V376" s="136"/>
    </row>
    <row r="377" spans="14:22" x14ac:dyDescent="0.35">
      <c r="N377" s="135"/>
      <c r="O377" s="136"/>
      <c r="P377" s="136"/>
      <c r="Q377" s="136"/>
      <c r="R377" s="136"/>
      <c r="S377" s="136"/>
      <c r="T377" s="136"/>
      <c r="U377" s="136"/>
      <c r="V377" s="136"/>
    </row>
    <row r="378" spans="14:22" x14ac:dyDescent="0.35">
      <c r="N378" s="135"/>
      <c r="O378" s="136"/>
      <c r="P378" s="136"/>
      <c r="Q378" s="136"/>
      <c r="R378" s="136"/>
      <c r="S378" s="136"/>
      <c r="T378" s="136"/>
      <c r="U378" s="136"/>
      <c r="V378" s="136"/>
    </row>
    <row r="379" spans="14:22" x14ac:dyDescent="0.35">
      <c r="N379" s="135"/>
      <c r="O379" s="136"/>
      <c r="P379" s="136"/>
      <c r="Q379" s="136"/>
      <c r="R379" s="136"/>
      <c r="S379" s="136"/>
      <c r="T379" s="136"/>
      <c r="U379" s="136"/>
      <c r="V379" s="136"/>
    </row>
    <row r="380" spans="14:22" x14ac:dyDescent="0.35">
      <c r="N380" s="135"/>
      <c r="O380" s="136"/>
      <c r="P380" s="136"/>
      <c r="Q380" s="136"/>
      <c r="R380" s="136"/>
      <c r="S380" s="136"/>
      <c r="T380" s="136"/>
      <c r="U380" s="136"/>
      <c r="V380" s="136"/>
    </row>
    <row r="381" spans="14:22" x14ac:dyDescent="0.35">
      <c r="N381" s="135"/>
      <c r="O381" s="136"/>
      <c r="P381" s="136"/>
      <c r="Q381" s="136"/>
      <c r="R381" s="136"/>
      <c r="S381" s="136"/>
      <c r="T381" s="136"/>
      <c r="U381" s="136"/>
      <c r="V381" s="136"/>
    </row>
    <row r="382" spans="14:22" x14ac:dyDescent="0.35">
      <c r="N382" s="135"/>
      <c r="O382" s="136"/>
      <c r="P382" s="136"/>
      <c r="Q382" s="136"/>
      <c r="R382" s="136"/>
      <c r="S382" s="136"/>
      <c r="T382" s="136"/>
      <c r="U382" s="136"/>
      <c r="V382" s="136"/>
    </row>
    <row r="383" spans="14:22" x14ac:dyDescent="0.35">
      <c r="N383" s="135"/>
      <c r="O383" s="136"/>
      <c r="P383" s="136"/>
      <c r="Q383" s="136"/>
      <c r="R383" s="136"/>
      <c r="S383" s="136"/>
      <c r="T383" s="136"/>
      <c r="U383" s="136"/>
      <c r="V383" s="136"/>
    </row>
    <row r="384" spans="14:22" x14ac:dyDescent="0.35">
      <c r="N384" s="135"/>
      <c r="O384" s="136"/>
      <c r="P384" s="136"/>
      <c r="Q384" s="136"/>
      <c r="R384" s="136"/>
      <c r="S384" s="136"/>
      <c r="T384" s="136"/>
      <c r="U384" s="136"/>
      <c r="V384" s="136"/>
    </row>
    <row r="385" spans="14:22" x14ac:dyDescent="0.35">
      <c r="N385" s="135"/>
      <c r="O385" s="136"/>
      <c r="P385" s="136"/>
      <c r="Q385" s="136"/>
      <c r="R385" s="136"/>
      <c r="S385" s="136"/>
      <c r="T385" s="136"/>
      <c r="U385" s="136"/>
      <c r="V385" s="136"/>
    </row>
    <row r="386" spans="14:22" x14ac:dyDescent="0.35">
      <c r="N386" s="135"/>
      <c r="O386" s="136"/>
      <c r="P386" s="136"/>
      <c r="Q386" s="136"/>
      <c r="R386" s="136"/>
      <c r="S386" s="136"/>
      <c r="T386" s="136"/>
      <c r="U386" s="136"/>
      <c r="V386" s="136"/>
    </row>
    <row r="387" spans="14:22" x14ac:dyDescent="0.35">
      <c r="N387" s="135"/>
      <c r="O387" s="136"/>
      <c r="P387" s="136"/>
      <c r="Q387" s="136"/>
      <c r="R387" s="136"/>
      <c r="S387" s="136"/>
      <c r="T387" s="136"/>
      <c r="U387" s="136"/>
      <c r="V387" s="136"/>
    </row>
    <row r="388" spans="14:22" x14ac:dyDescent="0.35">
      <c r="N388" s="135"/>
      <c r="O388" s="136"/>
      <c r="P388" s="136"/>
      <c r="Q388" s="136"/>
      <c r="R388" s="136"/>
      <c r="S388" s="136"/>
      <c r="T388" s="136"/>
      <c r="U388" s="136"/>
      <c r="V388" s="136"/>
    </row>
    <row r="389" spans="14:22" x14ac:dyDescent="0.35">
      <c r="N389" s="135"/>
      <c r="O389" s="136"/>
      <c r="P389" s="136"/>
      <c r="Q389" s="136"/>
      <c r="R389" s="136"/>
      <c r="S389" s="136"/>
      <c r="T389" s="136"/>
      <c r="U389" s="136"/>
      <c r="V389" s="136"/>
    </row>
    <row r="390" spans="14:22" x14ac:dyDescent="0.35">
      <c r="N390" s="135"/>
      <c r="O390" s="136"/>
      <c r="P390" s="136"/>
      <c r="Q390" s="136"/>
      <c r="R390" s="136"/>
      <c r="S390" s="136"/>
      <c r="T390" s="136"/>
      <c r="U390" s="136"/>
      <c r="V390" s="136"/>
    </row>
    <row r="391" spans="14:22" x14ac:dyDescent="0.35">
      <c r="N391" s="135"/>
      <c r="O391" s="136"/>
      <c r="P391" s="136"/>
      <c r="Q391" s="136"/>
      <c r="R391" s="136"/>
      <c r="S391" s="136"/>
      <c r="T391" s="136"/>
      <c r="U391" s="136"/>
      <c r="V391" s="136"/>
    </row>
    <row r="392" spans="14:22" x14ac:dyDescent="0.35">
      <c r="N392" s="135"/>
      <c r="O392" s="136"/>
      <c r="P392" s="136"/>
      <c r="Q392" s="136"/>
      <c r="R392" s="136"/>
      <c r="S392" s="136"/>
      <c r="T392" s="136"/>
      <c r="U392" s="136"/>
      <c r="V392" s="136"/>
    </row>
    <row r="393" spans="14:22" x14ac:dyDescent="0.35">
      <c r="N393" s="135"/>
      <c r="O393" s="136"/>
      <c r="P393" s="136"/>
      <c r="Q393" s="136"/>
      <c r="R393" s="136"/>
      <c r="S393" s="136"/>
      <c r="T393" s="136"/>
      <c r="U393" s="136"/>
      <c r="V393" s="136"/>
    </row>
    <row r="394" spans="14:22" x14ac:dyDescent="0.35">
      <c r="N394" s="135"/>
      <c r="O394" s="136"/>
      <c r="P394" s="136"/>
      <c r="Q394" s="136"/>
      <c r="R394" s="136"/>
      <c r="S394" s="136"/>
      <c r="T394" s="136"/>
      <c r="U394" s="136"/>
      <c r="V394" s="136"/>
    </row>
    <row r="395" spans="14:22" x14ac:dyDescent="0.35">
      <c r="N395" s="135"/>
      <c r="O395" s="136"/>
      <c r="P395" s="136"/>
      <c r="Q395" s="136"/>
      <c r="R395" s="136"/>
      <c r="S395" s="136"/>
      <c r="T395" s="136"/>
      <c r="U395" s="136"/>
      <c r="V395" s="136"/>
    </row>
    <row r="396" spans="14:22" x14ac:dyDescent="0.35">
      <c r="N396" s="135"/>
      <c r="O396" s="136"/>
      <c r="P396" s="136"/>
      <c r="Q396" s="136"/>
      <c r="R396" s="136"/>
      <c r="S396" s="136"/>
      <c r="T396" s="136"/>
      <c r="U396" s="136"/>
      <c r="V396" s="136"/>
    </row>
    <row r="397" spans="14:22" x14ac:dyDescent="0.35">
      <c r="N397" s="135"/>
      <c r="O397" s="136"/>
      <c r="P397" s="136"/>
      <c r="Q397" s="136"/>
      <c r="R397" s="136"/>
      <c r="S397" s="136"/>
      <c r="T397" s="136"/>
      <c r="U397" s="136"/>
      <c r="V397" s="136"/>
    </row>
    <row r="398" spans="14:22" x14ac:dyDescent="0.35">
      <c r="N398" s="135"/>
      <c r="O398" s="136"/>
      <c r="P398" s="136"/>
      <c r="Q398" s="136"/>
      <c r="R398" s="136"/>
      <c r="S398" s="136"/>
      <c r="T398" s="136"/>
      <c r="U398" s="136"/>
      <c r="V398" s="136"/>
    </row>
    <row r="399" spans="14:22" x14ac:dyDescent="0.35">
      <c r="N399" s="135"/>
      <c r="O399" s="136"/>
      <c r="P399" s="136"/>
      <c r="Q399" s="136"/>
      <c r="R399" s="136"/>
      <c r="S399" s="136"/>
      <c r="T399" s="136"/>
      <c r="U399" s="136"/>
      <c r="V399" s="136"/>
    </row>
    <row r="400" spans="14:22" x14ac:dyDescent="0.35">
      <c r="N400" s="135"/>
      <c r="O400" s="136"/>
      <c r="P400" s="136"/>
      <c r="Q400" s="136"/>
      <c r="R400" s="136"/>
      <c r="S400" s="136"/>
      <c r="T400" s="136"/>
      <c r="U400" s="136"/>
      <c r="V400" s="136"/>
    </row>
    <row r="401" spans="14:22" x14ac:dyDescent="0.35">
      <c r="N401" s="135"/>
      <c r="O401" s="136"/>
      <c r="P401" s="136"/>
      <c r="Q401" s="136"/>
      <c r="R401" s="136"/>
      <c r="S401" s="136"/>
      <c r="T401" s="136"/>
      <c r="U401" s="136"/>
      <c r="V401" s="136"/>
    </row>
    <row r="402" spans="14:22" x14ac:dyDescent="0.35">
      <c r="N402" s="135"/>
      <c r="O402" s="136"/>
      <c r="P402" s="136"/>
      <c r="Q402" s="136"/>
      <c r="R402" s="136"/>
      <c r="S402" s="136"/>
      <c r="T402" s="136"/>
      <c r="U402" s="136"/>
      <c r="V402" s="136"/>
    </row>
    <row r="403" spans="14:22" x14ac:dyDescent="0.35">
      <c r="N403" s="135"/>
      <c r="O403" s="136"/>
      <c r="P403" s="136"/>
      <c r="Q403" s="136"/>
      <c r="R403" s="136"/>
      <c r="S403" s="136"/>
      <c r="T403" s="136"/>
      <c r="U403" s="136"/>
      <c r="V403" s="136"/>
    </row>
    <row r="404" spans="14:22" x14ac:dyDescent="0.35">
      <c r="N404" s="135"/>
      <c r="O404" s="136"/>
      <c r="P404" s="136"/>
      <c r="Q404" s="136"/>
      <c r="R404" s="136"/>
      <c r="S404" s="136"/>
      <c r="T404" s="136"/>
      <c r="U404" s="136"/>
      <c r="V404" s="136"/>
    </row>
    <row r="405" spans="14:22" x14ac:dyDescent="0.35">
      <c r="N405" s="135"/>
      <c r="O405" s="136"/>
      <c r="P405" s="136"/>
      <c r="Q405" s="136"/>
      <c r="R405" s="136"/>
      <c r="S405" s="136"/>
      <c r="T405" s="136"/>
      <c r="U405" s="136"/>
      <c r="V405" s="136"/>
    </row>
    <row r="406" spans="14:22" x14ac:dyDescent="0.35">
      <c r="N406" s="135"/>
      <c r="O406" s="136"/>
      <c r="P406" s="136"/>
      <c r="Q406" s="136"/>
      <c r="R406" s="136"/>
      <c r="S406" s="136"/>
      <c r="T406" s="136"/>
      <c r="U406" s="136"/>
      <c r="V406" s="136"/>
    </row>
    <row r="407" spans="14:22" x14ac:dyDescent="0.35">
      <c r="N407" s="135"/>
      <c r="O407" s="136"/>
      <c r="P407" s="136"/>
      <c r="Q407" s="136"/>
      <c r="R407" s="136"/>
      <c r="S407" s="136"/>
      <c r="T407" s="136"/>
      <c r="U407" s="136"/>
      <c r="V407" s="136"/>
    </row>
    <row r="408" spans="14:22" x14ac:dyDescent="0.35">
      <c r="N408" s="135"/>
      <c r="O408" s="136"/>
      <c r="P408" s="136"/>
      <c r="Q408" s="136"/>
      <c r="R408" s="136"/>
      <c r="S408" s="136"/>
      <c r="T408" s="136"/>
      <c r="U408" s="136"/>
      <c r="V408" s="136"/>
    </row>
    <row r="409" spans="14:22" x14ac:dyDescent="0.35">
      <c r="N409" s="135"/>
      <c r="O409" s="136"/>
      <c r="P409" s="136"/>
      <c r="Q409" s="136"/>
      <c r="R409" s="136"/>
      <c r="S409" s="136"/>
      <c r="T409" s="136"/>
      <c r="U409" s="136"/>
      <c r="V409" s="136"/>
    </row>
    <row r="410" spans="14:22" x14ac:dyDescent="0.35">
      <c r="N410" s="135"/>
      <c r="O410" s="136"/>
      <c r="P410" s="136"/>
      <c r="Q410" s="136"/>
      <c r="R410" s="136"/>
      <c r="S410" s="136"/>
      <c r="T410" s="136"/>
      <c r="U410" s="136"/>
      <c r="V410" s="136"/>
    </row>
    <row r="411" spans="14:22" x14ac:dyDescent="0.35">
      <c r="N411" s="135"/>
      <c r="O411" s="136"/>
      <c r="P411" s="136"/>
      <c r="Q411" s="136"/>
      <c r="R411" s="136"/>
      <c r="S411" s="136"/>
      <c r="T411" s="136"/>
      <c r="U411" s="136"/>
      <c r="V411" s="136"/>
    </row>
    <row r="412" spans="14:22" x14ac:dyDescent="0.35">
      <c r="N412" s="135"/>
      <c r="O412" s="136"/>
      <c r="P412" s="136"/>
      <c r="Q412" s="136"/>
      <c r="R412" s="136"/>
      <c r="S412" s="136"/>
      <c r="T412" s="136"/>
      <c r="U412" s="136"/>
      <c r="V412" s="136"/>
    </row>
    <row r="413" spans="14:22" x14ac:dyDescent="0.35">
      <c r="N413" s="135"/>
      <c r="O413" s="136"/>
      <c r="P413" s="136"/>
      <c r="Q413" s="136"/>
      <c r="R413" s="136"/>
      <c r="S413" s="136"/>
      <c r="T413" s="136"/>
      <c r="U413" s="136"/>
      <c r="V413" s="136"/>
    </row>
    <row r="414" spans="14:22" x14ac:dyDescent="0.35">
      <c r="N414" s="135"/>
      <c r="O414" s="136"/>
      <c r="P414" s="136"/>
      <c r="Q414" s="136"/>
      <c r="R414" s="136"/>
      <c r="S414" s="136"/>
      <c r="T414" s="136"/>
      <c r="U414" s="136"/>
      <c r="V414" s="136"/>
    </row>
    <row r="415" spans="14:22" x14ac:dyDescent="0.35">
      <c r="N415" s="135"/>
      <c r="O415" s="136"/>
      <c r="P415" s="136"/>
      <c r="Q415" s="136"/>
      <c r="R415" s="136"/>
      <c r="S415" s="136"/>
      <c r="T415" s="136"/>
      <c r="U415" s="136"/>
      <c r="V415" s="136"/>
    </row>
    <row r="416" spans="14:22" x14ac:dyDescent="0.35">
      <c r="N416" s="135"/>
      <c r="O416" s="136"/>
      <c r="P416" s="136"/>
      <c r="Q416" s="136"/>
      <c r="R416" s="136"/>
      <c r="S416" s="136"/>
      <c r="T416" s="136"/>
      <c r="U416" s="136"/>
      <c r="V416" s="136"/>
    </row>
    <row r="417" spans="14:22" x14ac:dyDescent="0.35">
      <c r="N417" s="135"/>
      <c r="O417" s="136"/>
      <c r="P417" s="136"/>
      <c r="Q417" s="136"/>
      <c r="R417" s="136"/>
      <c r="S417" s="136"/>
      <c r="T417" s="136"/>
      <c r="U417" s="136"/>
      <c r="V417" s="136"/>
    </row>
    <row r="418" spans="14:22" x14ac:dyDescent="0.35">
      <c r="N418" s="135"/>
      <c r="O418" s="136"/>
      <c r="P418" s="136"/>
      <c r="Q418" s="136"/>
      <c r="R418" s="136"/>
      <c r="S418" s="136"/>
      <c r="T418" s="136"/>
      <c r="U418" s="136"/>
      <c r="V418" s="136"/>
    </row>
    <row r="419" spans="14:22" x14ac:dyDescent="0.35">
      <c r="N419" s="135"/>
      <c r="O419" s="136"/>
      <c r="P419" s="136"/>
      <c r="Q419" s="136"/>
      <c r="R419" s="136"/>
      <c r="S419" s="136"/>
      <c r="T419" s="136"/>
      <c r="U419" s="136"/>
      <c r="V419" s="136"/>
    </row>
    <row r="420" spans="14:22" x14ac:dyDescent="0.35">
      <c r="N420" s="135"/>
      <c r="O420" s="136"/>
      <c r="P420" s="136"/>
      <c r="Q420" s="136"/>
      <c r="R420" s="136"/>
      <c r="S420" s="136"/>
      <c r="T420" s="136"/>
      <c r="U420" s="136"/>
      <c r="V420" s="136"/>
    </row>
    <row r="421" spans="14:22" x14ac:dyDescent="0.35">
      <c r="N421" s="135"/>
      <c r="O421" s="136"/>
      <c r="P421" s="136"/>
      <c r="Q421" s="136"/>
      <c r="R421" s="136"/>
      <c r="S421" s="136"/>
      <c r="T421" s="136"/>
      <c r="U421" s="136"/>
      <c r="V421" s="136"/>
    </row>
    <row r="422" spans="14:22" x14ac:dyDescent="0.35">
      <c r="N422" s="135"/>
      <c r="O422" s="136"/>
      <c r="P422" s="136"/>
      <c r="Q422" s="136"/>
      <c r="R422" s="136"/>
      <c r="S422" s="136"/>
      <c r="T422" s="136"/>
      <c r="U422" s="136"/>
      <c r="V422" s="136"/>
    </row>
    <row r="423" spans="14:22" x14ac:dyDescent="0.35">
      <c r="N423" s="135"/>
      <c r="O423" s="136"/>
      <c r="P423" s="136"/>
      <c r="Q423" s="136"/>
      <c r="R423" s="136"/>
      <c r="S423" s="136"/>
      <c r="T423" s="136"/>
      <c r="U423" s="136"/>
      <c r="V423" s="136"/>
    </row>
    <row r="424" spans="14:22" x14ac:dyDescent="0.35">
      <c r="N424" s="135"/>
      <c r="O424" s="136"/>
      <c r="P424" s="136"/>
      <c r="Q424" s="136"/>
      <c r="R424" s="136"/>
      <c r="S424" s="136"/>
      <c r="T424" s="136"/>
      <c r="U424" s="136"/>
      <c r="V424" s="136"/>
    </row>
    <row r="425" spans="14:22" x14ac:dyDescent="0.35">
      <c r="N425" s="135"/>
      <c r="O425" s="136"/>
      <c r="P425" s="136"/>
      <c r="Q425" s="136"/>
      <c r="R425" s="136"/>
      <c r="S425" s="136"/>
      <c r="T425" s="136"/>
      <c r="U425" s="136"/>
      <c r="V425" s="136"/>
    </row>
    <row r="426" spans="14:22" x14ac:dyDescent="0.35">
      <c r="N426" s="135"/>
      <c r="O426" s="136"/>
      <c r="P426" s="136"/>
      <c r="Q426" s="136"/>
      <c r="R426" s="136"/>
      <c r="S426" s="136"/>
      <c r="T426" s="136"/>
      <c r="U426" s="136"/>
      <c r="V426" s="136"/>
    </row>
    <row r="427" spans="14:22" x14ac:dyDescent="0.35">
      <c r="N427" s="135"/>
      <c r="O427" s="136"/>
      <c r="P427" s="136"/>
      <c r="Q427" s="136"/>
      <c r="R427" s="136"/>
      <c r="S427" s="136"/>
      <c r="T427" s="136"/>
      <c r="U427" s="136"/>
      <c r="V427" s="136"/>
    </row>
    <row r="428" spans="14:22" x14ac:dyDescent="0.35">
      <c r="N428" s="135"/>
      <c r="O428" s="136"/>
      <c r="P428" s="136"/>
      <c r="Q428" s="136"/>
      <c r="R428" s="136"/>
      <c r="S428" s="136"/>
      <c r="T428" s="136"/>
      <c r="U428" s="136"/>
      <c r="V428" s="136"/>
    </row>
    <row r="429" spans="14:22" x14ac:dyDescent="0.35">
      <c r="N429" s="135"/>
      <c r="O429" s="136"/>
      <c r="P429" s="136"/>
      <c r="Q429" s="136"/>
      <c r="R429" s="136"/>
      <c r="S429" s="136"/>
      <c r="T429" s="136"/>
      <c r="U429" s="136"/>
      <c r="V429" s="136"/>
    </row>
    <row r="430" spans="14:22" x14ac:dyDescent="0.35">
      <c r="N430" s="135"/>
      <c r="O430" s="136"/>
      <c r="P430" s="136"/>
      <c r="Q430" s="136"/>
      <c r="R430" s="136"/>
      <c r="S430" s="136"/>
      <c r="T430" s="136"/>
      <c r="U430" s="136"/>
      <c r="V430" s="136"/>
    </row>
    <row r="431" spans="14:22" x14ac:dyDescent="0.35">
      <c r="N431" s="135"/>
      <c r="O431" s="136"/>
      <c r="P431" s="136"/>
      <c r="Q431" s="136"/>
      <c r="R431" s="136"/>
      <c r="S431" s="136"/>
      <c r="T431" s="136"/>
      <c r="U431" s="136"/>
      <c r="V431" s="136"/>
    </row>
    <row r="432" spans="14:22" x14ac:dyDescent="0.35">
      <c r="N432" s="135"/>
      <c r="O432" s="136"/>
      <c r="P432" s="136"/>
      <c r="Q432" s="136"/>
      <c r="R432" s="136"/>
      <c r="S432" s="136"/>
      <c r="T432" s="136"/>
      <c r="U432" s="136"/>
      <c r="V432" s="136"/>
    </row>
    <row r="433" spans="14:22" x14ac:dyDescent="0.35">
      <c r="N433" s="135"/>
      <c r="O433" s="136"/>
      <c r="P433" s="136"/>
      <c r="Q433" s="136"/>
      <c r="R433" s="136"/>
      <c r="S433" s="136"/>
      <c r="T433" s="136"/>
      <c r="U433" s="136"/>
      <c r="V433" s="136"/>
    </row>
    <row r="434" spans="14:22" x14ac:dyDescent="0.35">
      <c r="N434" s="135"/>
      <c r="O434" s="136"/>
      <c r="P434" s="136"/>
      <c r="Q434" s="136"/>
      <c r="R434" s="136"/>
      <c r="S434" s="136"/>
      <c r="T434" s="136"/>
      <c r="U434" s="136"/>
      <c r="V434" s="136"/>
    </row>
    <row r="435" spans="14:22" x14ac:dyDescent="0.35">
      <c r="N435" s="135"/>
      <c r="O435" s="136"/>
      <c r="P435" s="136"/>
      <c r="Q435" s="136"/>
      <c r="R435" s="136"/>
      <c r="S435" s="136"/>
      <c r="T435" s="136"/>
      <c r="U435" s="136"/>
      <c r="V435" s="136"/>
    </row>
    <row r="436" spans="14:22" x14ac:dyDescent="0.35">
      <c r="N436" s="135"/>
      <c r="O436" s="136"/>
      <c r="P436" s="136"/>
      <c r="Q436" s="136"/>
      <c r="R436" s="136"/>
      <c r="S436" s="136"/>
      <c r="T436" s="136"/>
      <c r="U436" s="136"/>
      <c r="V436" s="136"/>
    </row>
    <row r="437" spans="14:22" x14ac:dyDescent="0.35">
      <c r="N437" s="135"/>
      <c r="O437" s="136"/>
      <c r="P437" s="136"/>
      <c r="Q437" s="136"/>
      <c r="R437" s="136"/>
      <c r="S437" s="136"/>
      <c r="T437" s="136"/>
      <c r="U437" s="136"/>
      <c r="V437" s="136"/>
    </row>
    <row r="438" spans="14:22" x14ac:dyDescent="0.35">
      <c r="N438" s="135"/>
      <c r="O438" s="136"/>
      <c r="P438" s="136"/>
      <c r="Q438" s="136"/>
      <c r="R438" s="136"/>
      <c r="S438" s="136"/>
      <c r="T438" s="136"/>
      <c r="U438" s="136"/>
      <c r="V438" s="136"/>
    </row>
    <row r="439" spans="14:22" x14ac:dyDescent="0.35">
      <c r="N439" s="135"/>
      <c r="O439" s="136"/>
      <c r="P439" s="136"/>
      <c r="Q439" s="136"/>
      <c r="R439" s="136"/>
      <c r="S439" s="136"/>
      <c r="T439" s="136"/>
      <c r="U439" s="136"/>
      <c r="V439" s="136"/>
    </row>
    <row r="440" spans="14:22" x14ac:dyDescent="0.35">
      <c r="N440" s="135"/>
      <c r="O440" s="136"/>
      <c r="P440" s="136"/>
      <c r="Q440" s="136"/>
      <c r="R440" s="136"/>
      <c r="S440" s="136"/>
      <c r="T440" s="136"/>
      <c r="U440" s="136"/>
      <c r="V440" s="136"/>
    </row>
    <row r="441" spans="14:22" x14ac:dyDescent="0.35">
      <c r="N441" s="135"/>
      <c r="O441" s="136"/>
      <c r="P441" s="136"/>
      <c r="Q441" s="136"/>
      <c r="R441" s="136"/>
      <c r="S441" s="136"/>
      <c r="T441" s="136"/>
      <c r="U441" s="136"/>
      <c r="V441" s="136"/>
    </row>
    <row r="442" spans="14:22" x14ac:dyDescent="0.35">
      <c r="N442" s="135"/>
      <c r="O442" s="136"/>
      <c r="P442" s="136"/>
      <c r="Q442" s="136"/>
      <c r="R442" s="136"/>
      <c r="S442" s="136"/>
      <c r="T442" s="136"/>
      <c r="U442" s="136"/>
      <c r="V442" s="136"/>
    </row>
    <row r="443" spans="14:22" x14ac:dyDescent="0.35">
      <c r="N443" s="135"/>
      <c r="O443" s="136"/>
      <c r="P443" s="136"/>
      <c r="Q443" s="136"/>
      <c r="R443" s="136"/>
      <c r="S443" s="136"/>
      <c r="T443" s="136"/>
      <c r="U443" s="136"/>
      <c r="V443" s="136"/>
    </row>
    <row r="444" spans="14:22" x14ac:dyDescent="0.35">
      <c r="N444" s="135"/>
      <c r="O444" s="136"/>
      <c r="P444" s="136"/>
      <c r="Q444" s="136"/>
      <c r="R444" s="136"/>
      <c r="S444" s="136"/>
      <c r="T444" s="136"/>
      <c r="U444" s="136"/>
      <c r="V444" s="136"/>
    </row>
    <row r="445" spans="14:22" x14ac:dyDescent="0.35">
      <c r="N445" s="135"/>
      <c r="O445" s="136"/>
      <c r="P445" s="136"/>
      <c r="Q445" s="136"/>
      <c r="R445" s="136"/>
      <c r="S445" s="136"/>
      <c r="T445" s="136"/>
      <c r="U445" s="136"/>
      <c r="V445" s="136"/>
    </row>
    <row r="446" spans="14:22" x14ac:dyDescent="0.35">
      <c r="N446" s="135"/>
      <c r="O446" s="136"/>
      <c r="P446" s="136"/>
      <c r="Q446" s="136"/>
      <c r="R446" s="136"/>
      <c r="S446" s="136"/>
      <c r="T446" s="136"/>
      <c r="U446" s="136"/>
      <c r="V446" s="136"/>
    </row>
    <row r="447" spans="14:22" x14ac:dyDescent="0.35">
      <c r="N447" s="135"/>
      <c r="O447" s="136"/>
      <c r="P447" s="136"/>
      <c r="Q447" s="136"/>
      <c r="R447" s="136"/>
      <c r="S447" s="136"/>
      <c r="T447" s="136"/>
      <c r="U447" s="136"/>
      <c r="V447" s="136"/>
    </row>
    <row r="448" spans="14:22" x14ac:dyDescent="0.35">
      <c r="N448" s="135"/>
      <c r="O448" s="136"/>
      <c r="P448" s="136"/>
      <c r="Q448" s="136"/>
      <c r="R448" s="136"/>
      <c r="S448" s="136"/>
      <c r="T448" s="136"/>
      <c r="U448" s="136"/>
      <c r="V448" s="136"/>
    </row>
    <row r="449" spans="14:22" x14ac:dyDescent="0.35">
      <c r="N449" s="135"/>
      <c r="O449" s="136"/>
      <c r="P449" s="136"/>
      <c r="Q449" s="136"/>
      <c r="R449" s="136"/>
      <c r="S449" s="136"/>
      <c r="T449" s="136"/>
      <c r="U449" s="136"/>
      <c r="V449" s="136"/>
    </row>
    <row r="450" spans="14:22" x14ac:dyDescent="0.35">
      <c r="N450" s="135"/>
      <c r="O450" s="136"/>
      <c r="P450" s="136"/>
      <c r="Q450" s="136"/>
      <c r="R450" s="136"/>
      <c r="S450" s="136"/>
      <c r="T450" s="136"/>
      <c r="U450" s="136"/>
      <c r="V450" s="136"/>
    </row>
    <row r="451" spans="14:22" x14ac:dyDescent="0.35">
      <c r="N451" s="135"/>
      <c r="O451" s="136"/>
      <c r="P451" s="136"/>
      <c r="Q451" s="136"/>
      <c r="R451" s="136"/>
      <c r="S451" s="136"/>
      <c r="T451" s="136"/>
      <c r="U451" s="136"/>
      <c r="V451" s="136"/>
    </row>
    <row r="452" spans="14:22" x14ac:dyDescent="0.35">
      <c r="N452" s="135"/>
      <c r="O452" s="136"/>
      <c r="P452" s="136"/>
      <c r="Q452" s="136"/>
      <c r="R452" s="136"/>
      <c r="S452" s="136"/>
      <c r="T452" s="136"/>
      <c r="U452" s="136"/>
      <c r="V452" s="136"/>
    </row>
    <row r="453" spans="14:22" x14ac:dyDescent="0.35">
      <c r="N453" s="135"/>
      <c r="O453" s="136"/>
      <c r="P453" s="136"/>
      <c r="Q453" s="136"/>
      <c r="R453" s="136"/>
      <c r="S453" s="136"/>
      <c r="T453" s="136"/>
      <c r="U453" s="136"/>
      <c r="V453" s="136"/>
    </row>
    <row r="454" spans="14:22" x14ac:dyDescent="0.35">
      <c r="N454" s="135"/>
      <c r="O454" s="136"/>
      <c r="P454" s="136"/>
      <c r="Q454" s="136"/>
      <c r="R454" s="136"/>
      <c r="S454" s="136"/>
      <c r="T454" s="136"/>
      <c r="U454" s="136"/>
      <c r="V454" s="136"/>
    </row>
    <row r="455" spans="14:22" x14ac:dyDescent="0.35">
      <c r="N455" s="135"/>
      <c r="O455" s="136"/>
      <c r="P455" s="136"/>
      <c r="Q455" s="136"/>
      <c r="R455" s="136"/>
      <c r="S455" s="136"/>
      <c r="T455" s="136"/>
      <c r="U455" s="136"/>
      <c r="V455" s="136"/>
    </row>
    <row r="456" spans="14:22" x14ac:dyDescent="0.35">
      <c r="N456" s="135"/>
      <c r="O456" s="136"/>
      <c r="P456" s="136"/>
      <c r="Q456" s="136"/>
      <c r="R456" s="136"/>
      <c r="S456" s="136"/>
      <c r="T456" s="136"/>
      <c r="U456" s="136"/>
      <c r="V456" s="136"/>
    </row>
    <row r="457" spans="14:22" x14ac:dyDescent="0.35">
      <c r="N457" s="135"/>
      <c r="O457" s="136"/>
      <c r="P457" s="136"/>
      <c r="Q457" s="136"/>
      <c r="R457" s="136"/>
      <c r="S457" s="136"/>
      <c r="T457" s="136"/>
      <c r="U457" s="136"/>
      <c r="V457" s="136"/>
    </row>
    <row r="458" spans="14:22" x14ac:dyDescent="0.35">
      <c r="N458" s="135"/>
      <c r="O458" s="136"/>
      <c r="P458" s="136"/>
      <c r="Q458" s="136"/>
      <c r="R458" s="136"/>
      <c r="S458" s="136"/>
      <c r="T458" s="136"/>
      <c r="U458" s="136"/>
      <c r="V458" s="136"/>
    </row>
    <row r="459" spans="14:22" x14ac:dyDescent="0.35">
      <c r="N459" s="135"/>
      <c r="O459" s="136"/>
      <c r="P459" s="136"/>
      <c r="Q459" s="136"/>
      <c r="R459" s="136"/>
      <c r="S459" s="136"/>
      <c r="T459" s="136"/>
      <c r="U459" s="136"/>
      <c r="V459" s="136"/>
    </row>
    <row r="460" spans="14:22" x14ac:dyDescent="0.35">
      <c r="N460" s="135"/>
      <c r="O460" s="136"/>
      <c r="P460" s="136"/>
      <c r="Q460" s="136"/>
      <c r="R460" s="136"/>
      <c r="S460" s="136"/>
      <c r="T460" s="136"/>
      <c r="U460" s="136"/>
      <c r="V460" s="136"/>
    </row>
    <row r="461" spans="14:22" x14ac:dyDescent="0.35">
      <c r="N461" s="135"/>
      <c r="O461" s="136"/>
      <c r="P461" s="136"/>
      <c r="Q461" s="136"/>
      <c r="R461" s="136"/>
      <c r="S461" s="136"/>
      <c r="T461" s="136"/>
      <c r="U461" s="136"/>
      <c r="V461" s="136"/>
    </row>
    <row r="462" spans="14:22" x14ac:dyDescent="0.35">
      <c r="N462" s="135"/>
      <c r="O462" s="136"/>
      <c r="P462" s="136"/>
      <c r="Q462" s="136"/>
      <c r="R462" s="136"/>
      <c r="S462" s="136"/>
      <c r="T462" s="136"/>
      <c r="U462" s="136"/>
      <c r="V462" s="136"/>
    </row>
    <row r="463" spans="14:22" x14ac:dyDescent="0.35">
      <c r="N463" s="135"/>
      <c r="O463" s="136"/>
      <c r="P463" s="136"/>
      <c r="Q463" s="136"/>
      <c r="R463" s="136"/>
      <c r="S463" s="136"/>
      <c r="T463" s="136"/>
      <c r="U463" s="136"/>
      <c r="V463" s="136"/>
    </row>
    <row r="464" spans="14:22" x14ac:dyDescent="0.35">
      <c r="N464" s="135"/>
      <c r="O464" s="136"/>
      <c r="P464" s="136"/>
      <c r="Q464" s="136"/>
      <c r="R464" s="136"/>
      <c r="S464" s="136"/>
      <c r="T464" s="136"/>
      <c r="U464" s="136"/>
      <c r="V464" s="136"/>
    </row>
    <row r="465" spans="14:22" x14ac:dyDescent="0.35">
      <c r="N465" s="135"/>
      <c r="O465" s="136"/>
      <c r="P465" s="136"/>
      <c r="Q465" s="136"/>
      <c r="R465" s="136"/>
      <c r="S465" s="136"/>
      <c r="T465" s="136"/>
      <c r="U465" s="136"/>
      <c r="V465" s="136"/>
    </row>
    <row r="466" spans="14:22" x14ac:dyDescent="0.35">
      <c r="N466" s="135"/>
      <c r="O466" s="136"/>
      <c r="P466" s="136"/>
      <c r="Q466" s="136"/>
      <c r="R466" s="136"/>
      <c r="S466" s="136"/>
      <c r="T466" s="136"/>
      <c r="U466" s="136"/>
      <c r="V466" s="136"/>
    </row>
    <row r="467" spans="14:22" x14ac:dyDescent="0.35">
      <c r="N467" s="135"/>
      <c r="O467" s="136"/>
      <c r="P467" s="136"/>
      <c r="Q467" s="136"/>
      <c r="R467" s="136"/>
      <c r="S467" s="136"/>
      <c r="T467" s="136"/>
      <c r="U467" s="136"/>
      <c r="V467" s="136"/>
    </row>
    <row r="468" spans="14:22" x14ac:dyDescent="0.35">
      <c r="N468" s="135"/>
      <c r="O468" s="136"/>
      <c r="P468" s="136"/>
      <c r="Q468" s="136"/>
      <c r="R468" s="136"/>
      <c r="S468" s="136"/>
      <c r="T468" s="136"/>
      <c r="U468" s="136"/>
      <c r="V468" s="136"/>
    </row>
    <row r="469" spans="14:22" x14ac:dyDescent="0.35">
      <c r="N469" s="135"/>
      <c r="O469" s="136"/>
      <c r="P469" s="136"/>
      <c r="Q469" s="136"/>
      <c r="R469" s="136"/>
      <c r="S469" s="136"/>
      <c r="T469" s="136"/>
      <c r="U469" s="136"/>
      <c r="V469" s="136"/>
    </row>
    <row r="470" spans="14:22" x14ac:dyDescent="0.35">
      <c r="N470" s="135"/>
      <c r="O470" s="136"/>
      <c r="P470" s="136"/>
      <c r="Q470" s="136"/>
      <c r="R470" s="136"/>
      <c r="S470" s="136"/>
      <c r="T470" s="136"/>
      <c r="U470" s="136"/>
      <c r="V470" s="136"/>
    </row>
    <row r="471" spans="14:22" x14ac:dyDescent="0.35">
      <c r="N471" s="135"/>
      <c r="O471" s="136"/>
      <c r="P471" s="136"/>
      <c r="Q471" s="136"/>
      <c r="R471" s="136"/>
      <c r="S471" s="136"/>
      <c r="T471" s="136"/>
      <c r="U471" s="136"/>
      <c r="V471" s="136"/>
    </row>
    <row r="472" spans="14:22" x14ac:dyDescent="0.35">
      <c r="N472" s="135"/>
      <c r="O472" s="136"/>
      <c r="P472" s="136"/>
      <c r="Q472" s="136"/>
      <c r="R472" s="136"/>
      <c r="S472" s="136"/>
      <c r="T472" s="136"/>
      <c r="U472" s="136"/>
      <c r="V472" s="136"/>
    </row>
    <row r="473" spans="14:22" x14ac:dyDescent="0.35">
      <c r="N473" s="135"/>
      <c r="O473" s="136"/>
      <c r="P473" s="136"/>
      <c r="Q473" s="136"/>
      <c r="R473" s="136"/>
      <c r="S473" s="136"/>
      <c r="T473" s="136"/>
      <c r="U473" s="136"/>
      <c r="V473" s="136"/>
    </row>
    <row r="474" spans="14:22" x14ac:dyDescent="0.35">
      <c r="N474" s="135"/>
      <c r="O474" s="136"/>
      <c r="P474" s="136"/>
      <c r="Q474" s="136"/>
      <c r="R474" s="136"/>
      <c r="S474" s="136"/>
      <c r="T474" s="136"/>
      <c r="U474" s="136"/>
      <c r="V474" s="136"/>
    </row>
    <row r="475" spans="14:22" x14ac:dyDescent="0.35">
      <c r="N475" s="135"/>
      <c r="O475" s="136"/>
      <c r="P475" s="136"/>
      <c r="Q475" s="136"/>
      <c r="R475" s="136"/>
      <c r="S475" s="136"/>
      <c r="T475" s="136"/>
      <c r="U475" s="136"/>
      <c r="V475" s="136"/>
    </row>
    <row r="476" spans="14:22" x14ac:dyDescent="0.35">
      <c r="N476" s="135"/>
      <c r="O476" s="136"/>
      <c r="P476" s="136"/>
      <c r="Q476" s="136"/>
      <c r="R476" s="136"/>
      <c r="S476" s="136"/>
      <c r="T476" s="136"/>
      <c r="U476" s="136"/>
      <c r="V476" s="136"/>
    </row>
    <row r="477" spans="14:22" x14ac:dyDescent="0.35">
      <c r="N477" s="135"/>
      <c r="O477" s="136"/>
      <c r="P477" s="136"/>
      <c r="Q477" s="136"/>
      <c r="R477" s="136"/>
      <c r="S477" s="136"/>
      <c r="T477" s="136"/>
      <c r="U477" s="136"/>
      <c r="V477" s="136"/>
    </row>
    <row r="478" spans="14:22" x14ac:dyDescent="0.35">
      <c r="N478" s="135"/>
      <c r="O478" s="136"/>
      <c r="P478" s="136"/>
      <c r="Q478" s="136"/>
      <c r="R478" s="136"/>
      <c r="S478" s="136"/>
      <c r="T478" s="136"/>
      <c r="U478" s="136"/>
      <c r="V478" s="136"/>
    </row>
    <row r="479" spans="14:22" x14ac:dyDescent="0.35">
      <c r="N479" s="135"/>
      <c r="O479" s="136"/>
      <c r="P479" s="136"/>
      <c r="Q479" s="136"/>
      <c r="R479" s="136"/>
      <c r="S479" s="136"/>
      <c r="T479" s="136"/>
      <c r="U479" s="136"/>
      <c r="V479" s="136"/>
    </row>
    <row r="480" spans="14:22" x14ac:dyDescent="0.35">
      <c r="N480" s="135"/>
      <c r="O480" s="136"/>
      <c r="P480" s="136"/>
      <c r="Q480" s="136"/>
      <c r="R480" s="136"/>
      <c r="S480" s="136"/>
      <c r="T480" s="136"/>
      <c r="U480" s="136"/>
      <c r="V480" s="136"/>
    </row>
    <row r="481" spans="14:22" x14ac:dyDescent="0.35">
      <c r="N481" s="135"/>
      <c r="O481" s="136"/>
      <c r="P481" s="136"/>
      <c r="Q481" s="136"/>
      <c r="R481" s="136"/>
      <c r="S481" s="136"/>
      <c r="T481" s="136"/>
      <c r="U481" s="136"/>
      <c r="V481" s="136"/>
    </row>
    <row r="482" spans="14:22" x14ac:dyDescent="0.35">
      <c r="N482" s="135"/>
      <c r="O482" s="136"/>
      <c r="P482" s="136"/>
      <c r="Q482" s="136"/>
      <c r="R482" s="136"/>
      <c r="S482" s="136"/>
      <c r="T482" s="136"/>
      <c r="U482" s="136"/>
      <c r="V482" s="136"/>
    </row>
    <row r="483" spans="14:22" x14ac:dyDescent="0.35">
      <c r="N483" s="135"/>
      <c r="O483" s="136"/>
      <c r="P483" s="136"/>
      <c r="Q483" s="136"/>
      <c r="R483" s="136"/>
      <c r="S483" s="136"/>
      <c r="T483" s="136"/>
      <c r="U483" s="136"/>
      <c r="V483" s="136"/>
    </row>
    <row r="484" spans="14:22" x14ac:dyDescent="0.35">
      <c r="N484" s="135"/>
      <c r="O484" s="136"/>
      <c r="P484" s="136"/>
      <c r="Q484" s="136"/>
      <c r="R484" s="136"/>
      <c r="S484" s="136"/>
      <c r="T484" s="136"/>
      <c r="U484" s="136"/>
      <c r="V484" s="136"/>
    </row>
    <row r="485" spans="14:22" x14ac:dyDescent="0.35">
      <c r="N485" s="135"/>
      <c r="O485" s="136"/>
      <c r="P485" s="136"/>
      <c r="Q485" s="136"/>
      <c r="R485" s="136"/>
      <c r="S485" s="136"/>
      <c r="T485" s="136"/>
      <c r="U485" s="136"/>
      <c r="V485" s="136"/>
    </row>
    <row r="486" spans="14:22" x14ac:dyDescent="0.35">
      <c r="N486" s="135"/>
      <c r="O486" s="136"/>
      <c r="P486" s="136"/>
      <c r="Q486" s="136"/>
      <c r="R486" s="136"/>
      <c r="S486" s="136"/>
      <c r="T486" s="136"/>
      <c r="U486" s="136"/>
      <c r="V486" s="136"/>
    </row>
    <row r="487" spans="14:22" x14ac:dyDescent="0.35">
      <c r="N487" s="135"/>
      <c r="O487" s="136"/>
      <c r="P487" s="136"/>
      <c r="Q487" s="136"/>
      <c r="R487" s="136"/>
      <c r="S487" s="136"/>
      <c r="T487" s="136"/>
      <c r="U487" s="136"/>
      <c r="V487" s="136"/>
    </row>
    <row r="488" spans="14:22" x14ac:dyDescent="0.35">
      <c r="N488" s="135"/>
      <c r="O488" s="136"/>
      <c r="P488" s="136"/>
      <c r="Q488" s="136"/>
      <c r="R488" s="136"/>
      <c r="S488" s="136"/>
      <c r="T488" s="136"/>
      <c r="U488" s="136"/>
      <c r="V488" s="136"/>
    </row>
    <row r="489" spans="14:22" x14ac:dyDescent="0.35">
      <c r="N489" s="135"/>
      <c r="O489" s="136"/>
      <c r="P489" s="136"/>
      <c r="Q489" s="136"/>
      <c r="R489" s="136"/>
      <c r="S489" s="136"/>
      <c r="T489" s="136"/>
      <c r="U489" s="136"/>
      <c r="V489" s="136"/>
    </row>
    <row r="490" spans="14:22" x14ac:dyDescent="0.35">
      <c r="N490" s="135"/>
      <c r="O490" s="136"/>
      <c r="P490" s="136"/>
      <c r="Q490" s="136"/>
      <c r="R490" s="136"/>
      <c r="S490" s="136"/>
      <c r="T490" s="136"/>
      <c r="U490" s="136"/>
      <c r="V490" s="136"/>
    </row>
    <row r="491" spans="14:22" x14ac:dyDescent="0.35">
      <c r="N491" s="135"/>
      <c r="O491" s="136"/>
      <c r="P491" s="136"/>
      <c r="Q491" s="136"/>
      <c r="R491" s="136"/>
      <c r="S491" s="136"/>
      <c r="T491" s="136"/>
      <c r="U491" s="136"/>
      <c r="V491" s="136"/>
    </row>
    <row r="492" spans="14:22" x14ac:dyDescent="0.35">
      <c r="N492" s="135"/>
      <c r="O492" s="136"/>
      <c r="P492" s="136"/>
      <c r="Q492" s="136"/>
      <c r="R492" s="136"/>
      <c r="S492" s="136"/>
      <c r="T492" s="136"/>
      <c r="U492" s="136"/>
      <c r="V492" s="136"/>
    </row>
    <row r="493" spans="14:22" x14ac:dyDescent="0.35">
      <c r="N493" s="135"/>
      <c r="O493" s="136"/>
      <c r="P493" s="136"/>
      <c r="Q493" s="136"/>
      <c r="R493" s="136"/>
      <c r="S493" s="136"/>
      <c r="T493" s="136"/>
      <c r="U493" s="136"/>
      <c r="V493" s="136"/>
    </row>
    <row r="494" spans="14:22" x14ac:dyDescent="0.35">
      <c r="N494" s="135"/>
      <c r="O494" s="136"/>
      <c r="P494" s="136"/>
      <c r="Q494" s="136"/>
      <c r="R494" s="136"/>
      <c r="S494" s="136"/>
      <c r="T494" s="136"/>
      <c r="U494" s="136"/>
      <c r="V494" s="136"/>
    </row>
    <row r="495" spans="14:22" x14ac:dyDescent="0.35">
      <c r="N495" s="135"/>
      <c r="O495" s="136"/>
      <c r="P495" s="136"/>
      <c r="Q495" s="136"/>
      <c r="R495" s="136"/>
      <c r="S495" s="136"/>
      <c r="T495" s="136"/>
      <c r="U495" s="136"/>
      <c r="V495" s="136"/>
    </row>
    <row r="496" spans="14:22" x14ac:dyDescent="0.35">
      <c r="N496" s="135"/>
      <c r="O496" s="136"/>
      <c r="P496" s="136"/>
      <c r="Q496" s="136"/>
      <c r="R496" s="136"/>
      <c r="S496" s="136"/>
      <c r="T496" s="136"/>
      <c r="U496" s="136"/>
      <c r="V496" s="136"/>
    </row>
    <row r="497" spans="14:22" x14ac:dyDescent="0.35">
      <c r="N497" s="135"/>
      <c r="O497" s="136"/>
      <c r="P497" s="136"/>
      <c r="Q497" s="136"/>
      <c r="R497" s="136"/>
      <c r="S497" s="136"/>
      <c r="T497" s="136"/>
      <c r="U497" s="136"/>
      <c r="V497" s="136"/>
    </row>
    <row r="498" spans="14:22" x14ac:dyDescent="0.35">
      <c r="N498" s="135"/>
      <c r="O498" s="136"/>
      <c r="P498" s="136"/>
      <c r="Q498" s="136"/>
      <c r="R498" s="136"/>
      <c r="S498" s="136"/>
      <c r="T498" s="136"/>
      <c r="U498" s="136"/>
      <c r="V498" s="136"/>
    </row>
    <row r="499" spans="14:22" x14ac:dyDescent="0.35">
      <c r="N499" s="135"/>
      <c r="O499" s="136"/>
      <c r="P499" s="136"/>
      <c r="Q499" s="136"/>
      <c r="R499" s="136"/>
      <c r="S499" s="136"/>
      <c r="T499" s="136"/>
      <c r="U499" s="136"/>
      <c r="V499" s="136"/>
    </row>
    <row r="500" spans="14:22" x14ac:dyDescent="0.35">
      <c r="N500" s="135"/>
      <c r="O500" s="136"/>
      <c r="P500" s="136"/>
      <c r="Q500" s="136"/>
      <c r="R500" s="136"/>
      <c r="S500" s="136"/>
      <c r="T500" s="136"/>
      <c r="U500" s="136"/>
      <c r="V500" s="136"/>
    </row>
    <row r="501" spans="14:22" x14ac:dyDescent="0.35">
      <c r="N501" s="135"/>
      <c r="O501" s="136"/>
      <c r="P501" s="136"/>
      <c r="Q501" s="136"/>
      <c r="R501" s="136"/>
      <c r="S501" s="136"/>
      <c r="T501" s="136"/>
      <c r="U501" s="136"/>
      <c r="V501" s="136"/>
    </row>
    <row r="502" spans="14:22" x14ac:dyDescent="0.35">
      <c r="N502" s="135"/>
      <c r="O502" s="136"/>
      <c r="P502" s="136"/>
      <c r="Q502" s="136"/>
      <c r="R502" s="136"/>
      <c r="S502" s="136"/>
      <c r="T502" s="136"/>
      <c r="U502" s="136"/>
      <c r="V502" s="136"/>
    </row>
    <row r="503" spans="14:22" x14ac:dyDescent="0.35">
      <c r="N503" s="135"/>
      <c r="O503" s="136"/>
      <c r="P503" s="136"/>
      <c r="Q503" s="136"/>
      <c r="R503" s="136"/>
      <c r="S503" s="136"/>
      <c r="T503" s="136"/>
      <c r="U503" s="136"/>
      <c r="V503" s="136"/>
    </row>
    <row r="504" spans="14:22" x14ac:dyDescent="0.35">
      <c r="N504" s="135"/>
      <c r="O504" s="136"/>
      <c r="P504" s="136"/>
      <c r="Q504" s="136"/>
      <c r="R504" s="136"/>
      <c r="S504" s="136"/>
      <c r="T504" s="136"/>
      <c r="U504" s="136"/>
      <c r="V504" s="136"/>
    </row>
    <row r="505" spans="14:22" x14ac:dyDescent="0.35">
      <c r="N505" s="135"/>
      <c r="O505" s="136"/>
      <c r="P505" s="136"/>
      <c r="Q505" s="136"/>
      <c r="R505" s="136"/>
      <c r="S505" s="136"/>
      <c r="T505" s="136"/>
      <c r="U505" s="136"/>
      <c r="V505" s="136"/>
    </row>
    <row r="506" spans="14:22" x14ac:dyDescent="0.35">
      <c r="N506" s="135"/>
      <c r="O506" s="136"/>
      <c r="P506" s="136"/>
      <c r="Q506" s="136"/>
      <c r="R506" s="136"/>
      <c r="S506" s="136"/>
      <c r="T506" s="136"/>
      <c r="U506" s="136"/>
      <c r="V506" s="136"/>
    </row>
    <row r="507" spans="14:22" x14ac:dyDescent="0.35">
      <c r="N507" s="135"/>
      <c r="O507" s="136"/>
      <c r="P507" s="136"/>
      <c r="Q507" s="136"/>
      <c r="R507" s="136"/>
      <c r="S507" s="136"/>
      <c r="T507" s="136"/>
      <c r="U507" s="136"/>
      <c r="V507" s="136"/>
    </row>
    <row r="508" spans="14:22" x14ac:dyDescent="0.35">
      <c r="N508" s="135"/>
      <c r="O508" s="136"/>
      <c r="P508" s="136"/>
      <c r="Q508" s="136"/>
      <c r="R508" s="136"/>
      <c r="S508" s="136"/>
      <c r="T508" s="136"/>
      <c r="U508" s="136"/>
      <c r="V508" s="136"/>
    </row>
    <row r="509" spans="14:22" x14ac:dyDescent="0.35">
      <c r="N509" s="135"/>
      <c r="O509" s="136"/>
      <c r="P509" s="136"/>
      <c r="Q509" s="136"/>
      <c r="R509" s="136"/>
      <c r="S509" s="136"/>
      <c r="T509" s="136"/>
      <c r="U509" s="136"/>
      <c r="V509" s="136"/>
    </row>
    <row r="510" spans="14:22" x14ac:dyDescent="0.35">
      <c r="N510" s="135"/>
      <c r="O510" s="136"/>
      <c r="P510" s="136"/>
      <c r="Q510" s="136"/>
      <c r="R510" s="136"/>
      <c r="S510" s="136"/>
      <c r="T510" s="136"/>
      <c r="U510" s="136"/>
      <c r="V510" s="136"/>
    </row>
    <row r="511" spans="14:22" x14ac:dyDescent="0.35">
      <c r="N511" s="135"/>
      <c r="O511" s="136"/>
      <c r="P511" s="136"/>
      <c r="Q511" s="136"/>
      <c r="R511" s="136"/>
      <c r="S511" s="136"/>
      <c r="T511" s="136"/>
      <c r="U511" s="136"/>
      <c r="V511" s="136"/>
    </row>
    <row r="512" spans="14:22" x14ac:dyDescent="0.35">
      <c r="N512" s="135"/>
      <c r="O512" s="136"/>
      <c r="P512" s="136"/>
      <c r="Q512" s="136"/>
      <c r="R512" s="136"/>
      <c r="S512" s="136"/>
      <c r="T512" s="136"/>
      <c r="U512" s="136"/>
      <c r="V512" s="136"/>
    </row>
    <row r="513" spans="14:22" x14ac:dyDescent="0.35">
      <c r="N513" s="135"/>
      <c r="O513" s="136"/>
      <c r="P513" s="136"/>
      <c r="Q513" s="136"/>
      <c r="R513" s="136"/>
      <c r="S513" s="136"/>
      <c r="T513" s="136"/>
      <c r="U513" s="136"/>
      <c r="V513" s="136"/>
    </row>
    <row r="514" spans="14:22" x14ac:dyDescent="0.35">
      <c r="N514" s="135"/>
      <c r="O514" s="136"/>
      <c r="P514" s="136"/>
      <c r="Q514" s="136"/>
      <c r="R514" s="136"/>
      <c r="S514" s="136"/>
      <c r="T514" s="136"/>
      <c r="U514" s="136"/>
      <c r="V514" s="136"/>
    </row>
    <row r="515" spans="14:22" x14ac:dyDescent="0.35">
      <c r="N515" s="135"/>
      <c r="O515" s="136"/>
      <c r="P515" s="136"/>
      <c r="Q515" s="136"/>
      <c r="R515" s="136"/>
      <c r="S515" s="136"/>
      <c r="T515" s="136"/>
      <c r="U515" s="136"/>
      <c r="V515" s="136"/>
    </row>
    <row r="516" spans="14:22" x14ac:dyDescent="0.35">
      <c r="N516" s="135"/>
      <c r="O516" s="136"/>
      <c r="P516" s="136"/>
      <c r="Q516" s="136"/>
      <c r="R516" s="136"/>
      <c r="S516" s="136"/>
      <c r="T516" s="136"/>
      <c r="U516" s="136"/>
      <c r="V516" s="136"/>
    </row>
    <row r="517" spans="14:22" x14ac:dyDescent="0.35">
      <c r="N517" s="135"/>
      <c r="O517" s="136"/>
      <c r="P517" s="136"/>
      <c r="Q517" s="136"/>
      <c r="R517" s="136"/>
      <c r="S517" s="136"/>
      <c r="T517" s="136"/>
      <c r="U517" s="136"/>
      <c r="V517" s="136"/>
    </row>
    <row r="518" spans="14:22" x14ac:dyDescent="0.35">
      <c r="N518" s="135"/>
      <c r="O518" s="136"/>
      <c r="P518" s="136"/>
      <c r="Q518" s="136"/>
      <c r="R518" s="136"/>
      <c r="S518" s="136"/>
      <c r="T518" s="136"/>
      <c r="U518" s="136"/>
      <c r="V518" s="136"/>
    </row>
    <row r="519" spans="14:22" x14ac:dyDescent="0.35">
      <c r="N519" s="135"/>
      <c r="O519" s="136"/>
      <c r="P519" s="136"/>
      <c r="Q519" s="136"/>
      <c r="R519" s="136"/>
      <c r="S519" s="136"/>
      <c r="T519" s="136"/>
      <c r="U519" s="136"/>
      <c r="V519" s="136"/>
    </row>
    <row r="520" spans="14:22" x14ac:dyDescent="0.35">
      <c r="N520" s="135"/>
      <c r="O520" s="136"/>
      <c r="P520" s="136"/>
      <c r="Q520" s="136"/>
      <c r="R520" s="136"/>
      <c r="S520" s="136"/>
      <c r="T520" s="136"/>
      <c r="U520" s="136"/>
      <c r="V520" s="136"/>
    </row>
    <row r="521" spans="14:22" x14ac:dyDescent="0.35">
      <c r="N521" s="135"/>
      <c r="O521" s="136"/>
      <c r="P521" s="136"/>
      <c r="Q521" s="136"/>
      <c r="R521" s="136"/>
      <c r="S521" s="136"/>
      <c r="T521" s="136"/>
      <c r="U521" s="136"/>
      <c r="V521" s="136"/>
    </row>
    <row r="522" spans="14:22" x14ac:dyDescent="0.35">
      <c r="N522" s="135"/>
      <c r="O522" s="136"/>
      <c r="P522" s="136"/>
      <c r="Q522" s="136"/>
      <c r="R522" s="136"/>
      <c r="S522" s="136"/>
      <c r="T522" s="136"/>
      <c r="U522" s="136"/>
      <c r="V522" s="136"/>
    </row>
    <row r="523" spans="14:22" x14ac:dyDescent="0.35">
      <c r="N523" s="135"/>
      <c r="O523" s="136"/>
      <c r="P523" s="136"/>
      <c r="Q523" s="136"/>
      <c r="R523" s="136"/>
      <c r="S523" s="136"/>
      <c r="T523" s="136"/>
      <c r="U523" s="136"/>
      <c r="V523" s="136"/>
    </row>
    <row r="524" spans="14:22" x14ac:dyDescent="0.35">
      <c r="N524" s="135"/>
      <c r="O524" s="136"/>
      <c r="P524" s="136"/>
      <c r="Q524" s="136"/>
      <c r="R524" s="136"/>
      <c r="S524" s="136"/>
      <c r="T524" s="136"/>
      <c r="U524" s="136"/>
      <c r="V524" s="136"/>
    </row>
    <row r="525" spans="14:22" x14ac:dyDescent="0.35">
      <c r="N525" s="135"/>
      <c r="O525" s="136"/>
      <c r="P525" s="136"/>
      <c r="Q525" s="136"/>
      <c r="R525" s="136"/>
      <c r="S525" s="136"/>
      <c r="T525" s="136"/>
      <c r="U525" s="136"/>
      <c r="V525" s="136"/>
    </row>
    <row r="526" spans="14:22" x14ac:dyDescent="0.35">
      <c r="N526" s="135"/>
      <c r="O526" s="136"/>
      <c r="P526" s="136"/>
      <c r="Q526" s="136"/>
      <c r="R526" s="136"/>
      <c r="S526" s="136"/>
      <c r="T526" s="136"/>
      <c r="U526" s="136"/>
      <c r="V526" s="136"/>
    </row>
    <row r="527" spans="14:22" x14ac:dyDescent="0.35">
      <c r="N527" s="135"/>
      <c r="O527" s="136"/>
      <c r="P527" s="136"/>
      <c r="Q527" s="136"/>
      <c r="R527" s="136"/>
      <c r="S527" s="136"/>
      <c r="T527" s="136"/>
      <c r="U527" s="136"/>
      <c r="V527" s="136"/>
    </row>
    <row r="528" spans="14:22" x14ac:dyDescent="0.35">
      <c r="N528" s="135"/>
      <c r="O528" s="136"/>
      <c r="P528" s="136"/>
      <c r="Q528" s="136"/>
      <c r="R528" s="136"/>
      <c r="S528" s="136"/>
      <c r="T528" s="136"/>
      <c r="U528" s="136"/>
      <c r="V528" s="136"/>
    </row>
    <row r="529" spans="14:22" x14ac:dyDescent="0.35">
      <c r="N529" s="135"/>
      <c r="O529" s="136"/>
      <c r="P529" s="136"/>
      <c r="Q529" s="136"/>
      <c r="R529" s="136"/>
      <c r="S529" s="136"/>
      <c r="T529" s="136"/>
      <c r="U529" s="136"/>
      <c r="V529" s="136"/>
    </row>
    <row r="530" spans="14:22" x14ac:dyDescent="0.35">
      <c r="N530" s="135"/>
      <c r="O530" s="136"/>
      <c r="P530" s="136"/>
      <c r="Q530" s="136"/>
      <c r="R530" s="136"/>
      <c r="S530" s="136"/>
      <c r="T530" s="136"/>
      <c r="U530" s="136"/>
      <c r="V530" s="136"/>
    </row>
    <row r="531" spans="14:22" x14ac:dyDescent="0.35">
      <c r="N531" s="135"/>
      <c r="O531" s="136"/>
      <c r="P531" s="136"/>
      <c r="Q531" s="136"/>
      <c r="R531" s="136"/>
      <c r="S531" s="136"/>
      <c r="T531" s="136"/>
      <c r="U531" s="136"/>
      <c r="V531" s="136"/>
    </row>
    <row r="532" spans="14:22" x14ac:dyDescent="0.35">
      <c r="N532" s="135"/>
      <c r="O532" s="136"/>
      <c r="P532" s="136"/>
      <c r="Q532" s="136"/>
      <c r="R532" s="136"/>
      <c r="S532" s="136"/>
      <c r="T532" s="136"/>
      <c r="U532" s="136"/>
      <c r="V532" s="136"/>
    </row>
    <row r="533" spans="14:22" x14ac:dyDescent="0.35">
      <c r="N533" s="135"/>
      <c r="O533" s="136"/>
      <c r="P533" s="136"/>
      <c r="Q533" s="136"/>
      <c r="R533" s="136"/>
      <c r="S533" s="136"/>
      <c r="T533" s="136"/>
      <c r="U533" s="136"/>
      <c r="V533" s="136"/>
    </row>
    <row r="534" spans="14:22" x14ac:dyDescent="0.35">
      <c r="N534" s="135"/>
      <c r="O534" s="136"/>
      <c r="P534" s="136"/>
      <c r="Q534" s="136"/>
      <c r="R534" s="136"/>
      <c r="S534" s="136"/>
      <c r="T534" s="136"/>
      <c r="U534" s="136"/>
      <c r="V534" s="136"/>
    </row>
    <row r="535" spans="14:22" x14ac:dyDescent="0.35">
      <c r="N535" s="135"/>
      <c r="O535" s="136"/>
      <c r="P535" s="136"/>
      <c r="Q535" s="136"/>
      <c r="R535" s="136"/>
      <c r="S535" s="136"/>
      <c r="T535" s="136"/>
      <c r="U535" s="136"/>
      <c r="V535" s="136"/>
    </row>
    <row r="536" spans="14:22" x14ac:dyDescent="0.35">
      <c r="N536" s="135"/>
      <c r="O536" s="136"/>
      <c r="P536" s="136"/>
      <c r="Q536" s="136"/>
      <c r="R536" s="136"/>
      <c r="S536" s="136"/>
      <c r="T536" s="136"/>
      <c r="U536" s="136"/>
      <c r="V536" s="136"/>
    </row>
    <row r="537" spans="14:22" x14ac:dyDescent="0.35">
      <c r="N537" s="135"/>
      <c r="O537" s="136"/>
      <c r="P537" s="136"/>
      <c r="Q537" s="136"/>
      <c r="R537" s="136"/>
      <c r="S537" s="136"/>
      <c r="T537" s="136"/>
      <c r="U537" s="136"/>
      <c r="V537" s="136"/>
    </row>
    <row r="538" spans="14:22" x14ac:dyDescent="0.35">
      <c r="N538" s="135"/>
      <c r="O538" s="136"/>
      <c r="P538" s="136"/>
      <c r="Q538" s="136"/>
      <c r="R538" s="136"/>
      <c r="S538" s="136"/>
      <c r="T538" s="136"/>
      <c r="U538" s="136"/>
      <c r="V538" s="136"/>
    </row>
    <row r="539" spans="14:22" x14ac:dyDescent="0.35">
      <c r="N539" s="135"/>
      <c r="O539" s="136"/>
      <c r="P539" s="136"/>
      <c r="Q539" s="136"/>
      <c r="R539" s="136"/>
      <c r="S539" s="136"/>
      <c r="T539" s="136"/>
      <c r="U539" s="136"/>
      <c r="V539" s="136"/>
    </row>
    <row r="540" spans="14:22" x14ac:dyDescent="0.35">
      <c r="N540" s="135"/>
      <c r="O540" s="136"/>
      <c r="P540" s="136"/>
      <c r="Q540" s="136"/>
      <c r="R540" s="136"/>
      <c r="S540" s="136"/>
      <c r="T540" s="136"/>
      <c r="U540" s="136"/>
      <c r="V540" s="136"/>
    </row>
    <row r="541" spans="14:22" x14ac:dyDescent="0.35">
      <c r="N541" s="135"/>
      <c r="O541" s="136"/>
      <c r="P541" s="136"/>
      <c r="Q541" s="136"/>
      <c r="R541" s="136"/>
      <c r="S541" s="136"/>
      <c r="T541" s="136"/>
      <c r="U541" s="136"/>
      <c r="V541" s="136"/>
    </row>
    <row r="542" spans="14:22" x14ac:dyDescent="0.35">
      <c r="N542" s="135"/>
      <c r="O542" s="136"/>
      <c r="P542" s="136"/>
      <c r="Q542" s="136"/>
      <c r="R542" s="136"/>
      <c r="S542" s="136"/>
      <c r="T542" s="136"/>
      <c r="U542" s="136"/>
      <c r="V542" s="136"/>
    </row>
    <row r="543" spans="14:22" x14ac:dyDescent="0.35">
      <c r="N543" s="135"/>
      <c r="O543" s="136"/>
      <c r="P543" s="136"/>
      <c r="Q543" s="136"/>
      <c r="R543" s="136"/>
      <c r="S543" s="136"/>
      <c r="T543" s="136"/>
      <c r="U543" s="136"/>
      <c r="V543" s="136"/>
    </row>
    <row r="544" spans="14:22" x14ac:dyDescent="0.35">
      <c r="N544" s="135"/>
      <c r="O544" s="136"/>
      <c r="P544" s="136"/>
      <c r="Q544" s="136"/>
      <c r="R544" s="136"/>
      <c r="S544" s="136"/>
      <c r="T544" s="136"/>
      <c r="U544" s="136"/>
      <c r="V544" s="136"/>
    </row>
    <row r="545" spans="14:22" x14ac:dyDescent="0.35">
      <c r="N545" s="135"/>
      <c r="O545" s="136"/>
      <c r="P545" s="136"/>
      <c r="Q545" s="136"/>
      <c r="R545" s="136"/>
      <c r="S545" s="136"/>
      <c r="T545" s="136"/>
      <c r="U545" s="136"/>
      <c r="V545" s="136"/>
    </row>
    <row r="546" spans="14:22" x14ac:dyDescent="0.35">
      <c r="N546" s="135"/>
      <c r="O546" s="136"/>
      <c r="P546" s="136"/>
      <c r="Q546" s="136"/>
      <c r="R546" s="136"/>
      <c r="S546" s="136"/>
      <c r="T546" s="136"/>
      <c r="U546" s="136"/>
      <c r="V546" s="136"/>
    </row>
    <row r="547" spans="14:22" x14ac:dyDescent="0.35">
      <c r="N547" s="135"/>
      <c r="O547" s="136"/>
      <c r="P547" s="136"/>
      <c r="Q547" s="136"/>
      <c r="R547" s="136"/>
      <c r="S547" s="136"/>
      <c r="T547" s="136"/>
      <c r="U547" s="136"/>
      <c r="V547" s="136"/>
    </row>
    <row r="548" spans="14:22" x14ac:dyDescent="0.35">
      <c r="N548" s="135"/>
      <c r="O548" s="136"/>
      <c r="P548" s="136"/>
      <c r="Q548" s="136"/>
      <c r="R548" s="136"/>
      <c r="S548" s="136"/>
      <c r="T548" s="136"/>
      <c r="U548" s="136"/>
      <c r="V548" s="136"/>
    </row>
    <row r="549" spans="14:22" x14ac:dyDescent="0.35">
      <c r="N549" s="135"/>
      <c r="O549" s="136"/>
      <c r="P549" s="136"/>
      <c r="Q549" s="136"/>
      <c r="R549" s="136"/>
      <c r="S549" s="136"/>
      <c r="T549" s="136"/>
      <c r="U549" s="136"/>
      <c r="V549" s="136"/>
    </row>
    <row r="550" spans="14:22" x14ac:dyDescent="0.35">
      <c r="N550" s="135"/>
      <c r="O550" s="136"/>
      <c r="P550" s="136"/>
      <c r="Q550" s="136"/>
      <c r="R550" s="136"/>
      <c r="S550" s="136"/>
      <c r="T550" s="136"/>
      <c r="U550" s="136"/>
      <c r="V550" s="136"/>
    </row>
    <row r="551" spans="14:22" x14ac:dyDescent="0.35">
      <c r="N551" s="135"/>
      <c r="O551" s="136"/>
      <c r="P551" s="136"/>
      <c r="Q551" s="136"/>
      <c r="R551" s="136"/>
      <c r="S551" s="136"/>
      <c r="T551" s="136"/>
      <c r="U551" s="136"/>
      <c r="V551" s="136"/>
    </row>
    <row r="552" spans="14:22" x14ac:dyDescent="0.35">
      <c r="N552" s="135"/>
      <c r="O552" s="136"/>
      <c r="P552" s="136"/>
      <c r="Q552" s="136"/>
      <c r="R552" s="136"/>
      <c r="S552" s="136"/>
      <c r="T552" s="136"/>
      <c r="U552" s="136"/>
      <c r="V552" s="136"/>
    </row>
    <row r="553" spans="14:22" x14ac:dyDescent="0.35">
      <c r="N553" s="135"/>
      <c r="O553" s="136"/>
      <c r="P553" s="136"/>
      <c r="Q553" s="136"/>
      <c r="R553" s="136"/>
      <c r="S553" s="136"/>
      <c r="T553" s="136"/>
      <c r="U553" s="136"/>
      <c r="V553" s="136"/>
    </row>
    <row r="554" spans="14:22" x14ac:dyDescent="0.35">
      <c r="N554" s="135"/>
      <c r="O554" s="136"/>
      <c r="P554" s="136"/>
      <c r="Q554" s="136"/>
      <c r="R554" s="136"/>
      <c r="S554" s="136"/>
      <c r="T554" s="136"/>
      <c r="U554" s="136"/>
      <c r="V554" s="136"/>
    </row>
    <row r="555" spans="14:22" x14ac:dyDescent="0.35">
      <c r="N555" s="135"/>
      <c r="O555" s="136"/>
      <c r="P555" s="136"/>
      <c r="Q555" s="136"/>
      <c r="R555" s="136"/>
      <c r="S555" s="136"/>
      <c r="T555" s="136"/>
      <c r="U555" s="136"/>
      <c r="V555" s="136"/>
    </row>
    <row r="556" spans="14:22" x14ac:dyDescent="0.35">
      <c r="N556" s="135"/>
      <c r="O556" s="136"/>
      <c r="P556" s="136"/>
      <c r="Q556" s="136"/>
      <c r="R556" s="136"/>
      <c r="S556" s="136"/>
      <c r="T556" s="136"/>
      <c r="U556" s="136"/>
      <c r="V556" s="136"/>
    </row>
    <row r="557" spans="14:22" x14ac:dyDescent="0.35">
      <c r="N557" s="135"/>
      <c r="O557" s="136"/>
      <c r="P557" s="136"/>
      <c r="Q557" s="136"/>
      <c r="R557" s="136"/>
      <c r="S557" s="136"/>
      <c r="T557" s="136"/>
      <c r="U557" s="136"/>
      <c r="V557" s="136"/>
    </row>
    <row r="558" spans="14:22" x14ac:dyDescent="0.35">
      <c r="N558" s="135"/>
      <c r="O558" s="136"/>
      <c r="P558" s="136"/>
      <c r="Q558" s="136"/>
      <c r="R558" s="136"/>
      <c r="S558" s="136"/>
      <c r="T558" s="136"/>
      <c r="U558" s="136"/>
      <c r="V558" s="136"/>
    </row>
    <row r="559" spans="14:22" x14ac:dyDescent="0.35">
      <c r="N559" s="135"/>
      <c r="O559" s="136"/>
      <c r="P559" s="136"/>
      <c r="Q559" s="136"/>
      <c r="R559" s="136"/>
      <c r="S559" s="136"/>
      <c r="T559" s="136"/>
      <c r="U559" s="136"/>
      <c r="V559" s="136"/>
    </row>
    <row r="560" spans="14:22" x14ac:dyDescent="0.35">
      <c r="N560" s="135"/>
      <c r="O560" s="136"/>
      <c r="P560" s="136"/>
      <c r="Q560" s="136"/>
      <c r="R560" s="136"/>
      <c r="S560" s="136"/>
      <c r="T560" s="136"/>
      <c r="U560" s="136"/>
      <c r="V560" s="136"/>
    </row>
    <row r="561" spans="14:22" x14ac:dyDescent="0.35">
      <c r="N561" s="135"/>
      <c r="O561" s="136"/>
      <c r="P561" s="136"/>
      <c r="Q561" s="136"/>
      <c r="R561" s="136"/>
      <c r="S561" s="136"/>
      <c r="T561" s="136"/>
      <c r="U561" s="136"/>
      <c r="V561" s="136"/>
    </row>
    <row r="562" spans="14:22" x14ac:dyDescent="0.35">
      <c r="N562" s="135"/>
      <c r="O562" s="136"/>
      <c r="P562" s="136"/>
      <c r="Q562" s="136"/>
      <c r="R562" s="136"/>
      <c r="S562" s="136"/>
      <c r="T562" s="136"/>
      <c r="U562" s="136"/>
      <c r="V562" s="136"/>
    </row>
    <row r="563" spans="14:22" x14ac:dyDescent="0.35">
      <c r="N563" s="135"/>
      <c r="O563" s="136"/>
      <c r="P563" s="136"/>
      <c r="Q563" s="136"/>
      <c r="R563" s="136"/>
      <c r="S563" s="136"/>
      <c r="T563" s="136"/>
      <c r="U563" s="136"/>
      <c r="V563" s="136"/>
    </row>
    <row r="564" spans="14:22" x14ac:dyDescent="0.35">
      <c r="N564" s="135"/>
      <c r="O564" s="136"/>
      <c r="P564" s="136"/>
      <c r="Q564" s="136"/>
      <c r="R564" s="136"/>
      <c r="S564" s="136"/>
      <c r="T564" s="136"/>
      <c r="U564" s="136"/>
      <c r="V564" s="136"/>
    </row>
    <row r="565" spans="14:22" x14ac:dyDescent="0.35">
      <c r="N565" s="135"/>
      <c r="O565" s="136"/>
      <c r="P565" s="136"/>
      <c r="Q565" s="136"/>
      <c r="R565" s="136"/>
      <c r="S565" s="136"/>
      <c r="T565" s="136"/>
      <c r="U565" s="136"/>
      <c r="V565" s="136"/>
    </row>
    <row r="566" spans="14:22" x14ac:dyDescent="0.35">
      <c r="N566" s="135"/>
      <c r="O566" s="136"/>
      <c r="P566" s="136"/>
      <c r="Q566" s="136"/>
      <c r="R566" s="136"/>
      <c r="S566" s="136"/>
      <c r="T566" s="136"/>
      <c r="U566" s="136"/>
      <c r="V566" s="136"/>
    </row>
    <row r="567" spans="14:22" x14ac:dyDescent="0.35">
      <c r="N567" s="135"/>
      <c r="O567" s="136"/>
      <c r="P567" s="136"/>
      <c r="Q567" s="136"/>
      <c r="R567" s="136"/>
      <c r="S567" s="136"/>
      <c r="T567" s="136"/>
      <c r="U567" s="136"/>
      <c r="V567" s="136"/>
    </row>
    <row r="568" spans="14:22" x14ac:dyDescent="0.35">
      <c r="N568" s="135"/>
      <c r="O568" s="136"/>
      <c r="P568" s="136"/>
      <c r="Q568" s="136"/>
      <c r="R568" s="136"/>
      <c r="S568" s="136"/>
      <c r="T568" s="136"/>
      <c r="U568" s="136"/>
      <c r="V568" s="136"/>
    </row>
    <row r="569" spans="14:22" x14ac:dyDescent="0.35">
      <c r="N569" s="135"/>
      <c r="O569" s="136"/>
      <c r="P569" s="136"/>
      <c r="Q569" s="136"/>
      <c r="R569" s="136"/>
      <c r="S569" s="136"/>
      <c r="T569" s="136"/>
      <c r="U569" s="136"/>
      <c r="V569" s="136"/>
    </row>
    <row r="570" spans="14:22" x14ac:dyDescent="0.35">
      <c r="N570" s="135"/>
      <c r="O570" s="136"/>
      <c r="P570" s="136"/>
      <c r="Q570" s="136"/>
      <c r="R570" s="136"/>
      <c r="S570" s="136"/>
      <c r="T570" s="136"/>
      <c r="U570" s="136"/>
      <c r="V570" s="136"/>
    </row>
    <row r="571" spans="14:22" x14ac:dyDescent="0.35">
      <c r="N571" s="135"/>
      <c r="O571" s="136"/>
      <c r="P571" s="136"/>
      <c r="Q571" s="136"/>
      <c r="R571" s="136"/>
      <c r="S571" s="136"/>
      <c r="T571" s="136"/>
      <c r="U571" s="136"/>
      <c r="V571" s="136"/>
    </row>
    <row r="572" spans="14:22" x14ac:dyDescent="0.35">
      <c r="N572" s="135"/>
      <c r="O572" s="136"/>
      <c r="P572" s="136"/>
      <c r="Q572" s="136"/>
      <c r="R572" s="136"/>
      <c r="S572" s="136"/>
      <c r="T572" s="136"/>
      <c r="U572" s="136"/>
      <c r="V572" s="136"/>
    </row>
    <row r="573" spans="14:22" x14ac:dyDescent="0.35">
      <c r="N573" s="135"/>
      <c r="O573" s="136"/>
      <c r="P573" s="136"/>
      <c r="Q573" s="136"/>
      <c r="R573" s="136"/>
      <c r="S573" s="136"/>
      <c r="T573" s="136"/>
      <c r="U573" s="136"/>
      <c r="V573" s="136"/>
    </row>
    <row r="574" spans="14:22" x14ac:dyDescent="0.35">
      <c r="N574" s="135"/>
      <c r="O574" s="136"/>
      <c r="P574" s="136"/>
      <c r="Q574" s="136"/>
      <c r="R574" s="136"/>
      <c r="S574" s="136"/>
      <c r="T574" s="136"/>
      <c r="U574" s="136"/>
      <c r="V574" s="136"/>
    </row>
    <row r="575" spans="14:22" x14ac:dyDescent="0.35">
      <c r="N575" s="135"/>
      <c r="O575" s="136"/>
      <c r="P575" s="136"/>
      <c r="Q575" s="136"/>
      <c r="R575" s="136"/>
      <c r="S575" s="136"/>
      <c r="T575" s="136"/>
      <c r="U575" s="136"/>
      <c r="V575" s="136"/>
    </row>
    <row r="576" spans="14:22" x14ac:dyDescent="0.35">
      <c r="N576" s="135"/>
      <c r="O576" s="136"/>
      <c r="P576" s="136"/>
      <c r="Q576" s="136"/>
      <c r="R576" s="136"/>
      <c r="S576" s="136"/>
      <c r="T576" s="136"/>
      <c r="U576" s="136"/>
      <c r="V576" s="136"/>
    </row>
    <row r="577" spans="14:22" x14ac:dyDescent="0.35">
      <c r="N577" s="135"/>
      <c r="O577" s="136"/>
      <c r="P577" s="136"/>
      <c r="Q577" s="136"/>
      <c r="R577" s="136"/>
      <c r="S577" s="136"/>
      <c r="T577" s="136"/>
      <c r="U577" s="136"/>
      <c r="V577" s="136"/>
    </row>
    <row r="578" spans="14:22" x14ac:dyDescent="0.35">
      <c r="N578" s="135"/>
      <c r="O578" s="136"/>
      <c r="P578" s="136"/>
      <c r="Q578" s="136"/>
      <c r="R578" s="136"/>
      <c r="S578" s="136"/>
      <c r="T578" s="136"/>
      <c r="U578" s="136"/>
      <c r="V578" s="136"/>
    </row>
    <row r="579" spans="14:22" x14ac:dyDescent="0.35">
      <c r="N579" s="135"/>
      <c r="O579" s="136"/>
      <c r="P579" s="136"/>
      <c r="Q579" s="136"/>
      <c r="R579" s="136"/>
      <c r="S579" s="136"/>
      <c r="T579" s="136"/>
      <c r="U579" s="136"/>
      <c r="V579" s="136"/>
    </row>
    <row r="580" spans="14:22" x14ac:dyDescent="0.35">
      <c r="N580" s="135"/>
      <c r="O580" s="136"/>
      <c r="P580" s="136"/>
      <c r="Q580" s="136"/>
      <c r="R580" s="136"/>
      <c r="S580" s="136"/>
      <c r="T580" s="136"/>
      <c r="U580" s="136"/>
      <c r="V580" s="136"/>
    </row>
    <row r="581" spans="14:22" x14ac:dyDescent="0.35">
      <c r="N581" s="135"/>
      <c r="O581" s="136"/>
      <c r="P581" s="136"/>
      <c r="Q581" s="136"/>
      <c r="R581" s="136"/>
      <c r="S581" s="136"/>
      <c r="T581" s="136"/>
      <c r="U581" s="136"/>
      <c r="V581" s="136"/>
    </row>
    <row r="582" spans="14:22" x14ac:dyDescent="0.35">
      <c r="N582" s="135"/>
      <c r="O582" s="136"/>
      <c r="P582" s="136"/>
      <c r="Q582" s="136"/>
      <c r="R582" s="136"/>
      <c r="S582" s="136"/>
      <c r="T582" s="136"/>
      <c r="U582" s="136"/>
      <c r="V582" s="136"/>
    </row>
    <row r="583" spans="14:22" x14ac:dyDescent="0.35">
      <c r="N583" s="135"/>
      <c r="O583" s="136"/>
      <c r="P583" s="136"/>
      <c r="Q583" s="136"/>
      <c r="R583" s="136"/>
      <c r="S583" s="136"/>
      <c r="T583" s="136"/>
      <c r="U583" s="136"/>
      <c r="V583" s="136"/>
    </row>
    <row r="584" spans="14:22" x14ac:dyDescent="0.35">
      <c r="N584" s="135"/>
      <c r="O584" s="136"/>
      <c r="P584" s="136"/>
      <c r="Q584" s="136"/>
      <c r="R584" s="136"/>
      <c r="S584" s="136"/>
      <c r="T584" s="136"/>
      <c r="U584" s="136"/>
      <c r="V584" s="136"/>
    </row>
    <row r="585" spans="14:22" x14ac:dyDescent="0.35">
      <c r="N585" s="135"/>
      <c r="O585" s="136"/>
      <c r="P585" s="136"/>
      <c r="Q585" s="136"/>
      <c r="R585" s="136"/>
      <c r="S585" s="136"/>
      <c r="T585" s="136"/>
      <c r="U585" s="136"/>
      <c r="V585" s="136"/>
    </row>
    <row r="586" spans="14:22" x14ac:dyDescent="0.35">
      <c r="N586" s="135"/>
      <c r="O586" s="136"/>
      <c r="P586" s="136"/>
      <c r="Q586" s="136"/>
      <c r="R586" s="136"/>
      <c r="S586" s="136"/>
      <c r="T586" s="136"/>
      <c r="U586" s="136"/>
      <c r="V586" s="136"/>
    </row>
    <row r="587" spans="14:22" x14ac:dyDescent="0.35">
      <c r="N587" s="135"/>
      <c r="O587" s="136"/>
      <c r="P587" s="136"/>
      <c r="Q587" s="136"/>
      <c r="R587" s="136"/>
      <c r="S587" s="136"/>
      <c r="T587" s="136"/>
      <c r="U587" s="136"/>
      <c r="V587" s="136"/>
    </row>
    <row r="588" spans="14:22" x14ac:dyDescent="0.35">
      <c r="N588" s="135"/>
      <c r="O588" s="136"/>
      <c r="P588" s="136"/>
      <c r="Q588" s="136"/>
      <c r="R588" s="136"/>
      <c r="S588" s="136"/>
      <c r="T588" s="136"/>
      <c r="U588" s="136"/>
      <c r="V588" s="136"/>
    </row>
    <row r="589" spans="14:22" x14ac:dyDescent="0.35">
      <c r="N589" s="135"/>
      <c r="O589" s="136"/>
      <c r="P589" s="136"/>
      <c r="Q589" s="136"/>
      <c r="R589" s="136"/>
      <c r="S589" s="136"/>
      <c r="T589" s="136"/>
      <c r="U589" s="136"/>
      <c r="V589" s="136"/>
    </row>
    <row r="590" spans="14:22" x14ac:dyDescent="0.35">
      <c r="N590" s="135"/>
      <c r="O590" s="136"/>
      <c r="P590" s="136"/>
      <c r="Q590" s="136"/>
      <c r="R590" s="136"/>
      <c r="S590" s="136"/>
      <c r="T590" s="136"/>
      <c r="U590" s="136"/>
      <c r="V590" s="136"/>
    </row>
    <row r="591" spans="14:22" x14ac:dyDescent="0.35">
      <c r="N591" s="135"/>
      <c r="O591" s="136"/>
      <c r="P591" s="136"/>
      <c r="Q591" s="136"/>
      <c r="R591" s="136"/>
      <c r="S591" s="136"/>
      <c r="T591" s="136"/>
      <c r="U591" s="136"/>
      <c r="V591" s="136"/>
    </row>
    <row r="592" spans="14:22" x14ac:dyDescent="0.35">
      <c r="N592" s="135"/>
      <c r="O592" s="136"/>
      <c r="P592" s="136"/>
      <c r="Q592" s="136"/>
      <c r="R592" s="136"/>
      <c r="S592" s="136"/>
      <c r="T592" s="136"/>
      <c r="U592" s="136"/>
      <c r="V592" s="136"/>
    </row>
    <row r="593" spans="14:22" x14ac:dyDescent="0.35">
      <c r="N593" s="135"/>
      <c r="O593" s="136"/>
      <c r="P593" s="136"/>
      <c r="Q593" s="136"/>
      <c r="R593" s="136"/>
      <c r="S593" s="136"/>
      <c r="T593" s="136"/>
      <c r="U593" s="136"/>
      <c r="V593" s="136"/>
    </row>
    <row r="594" spans="14:22" x14ac:dyDescent="0.35">
      <c r="N594" s="135"/>
      <c r="O594" s="136"/>
      <c r="P594" s="136"/>
      <c r="Q594" s="136"/>
      <c r="R594" s="136"/>
      <c r="S594" s="136"/>
      <c r="T594" s="136"/>
      <c r="U594" s="136"/>
      <c r="V594" s="136"/>
    </row>
    <row r="595" spans="14:22" x14ac:dyDescent="0.35">
      <c r="N595" s="135"/>
      <c r="O595" s="136"/>
      <c r="P595" s="136"/>
      <c r="Q595" s="136"/>
      <c r="R595" s="136"/>
      <c r="S595" s="136"/>
      <c r="T595" s="136"/>
      <c r="U595" s="136"/>
      <c r="V595" s="136"/>
    </row>
    <row r="596" spans="14:22" x14ac:dyDescent="0.35">
      <c r="N596" s="135"/>
      <c r="O596" s="136"/>
      <c r="P596" s="136"/>
      <c r="Q596" s="136"/>
      <c r="R596" s="136"/>
      <c r="S596" s="136"/>
      <c r="T596" s="136"/>
      <c r="U596" s="136"/>
      <c r="V596" s="136"/>
    </row>
    <row r="597" spans="14:22" x14ac:dyDescent="0.35">
      <c r="N597" s="135"/>
      <c r="O597" s="136"/>
      <c r="P597" s="136"/>
      <c r="Q597" s="136"/>
      <c r="R597" s="136"/>
      <c r="S597" s="136"/>
      <c r="T597" s="136"/>
      <c r="U597" s="136"/>
      <c r="V597" s="136"/>
    </row>
    <row r="598" spans="14:22" x14ac:dyDescent="0.35">
      <c r="N598" s="135"/>
      <c r="O598" s="136"/>
      <c r="P598" s="136"/>
      <c r="Q598" s="136"/>
      <c r="R598" s="136"/>
      <c r="S598" s="136"/>
      <c r="T598" s="136"/>
      <c r="U598" s="136"/>
      <c r="V598" s="136"/>
    </row>
    <row r="599" spans="14:22" x14ac:dyDescent="0.35">
      <c r="N599" s="135"/>
      <c r="O599" s="136"/>
      <c r="P599" s="136"/>
      <c r="Q599" s="136"/>
      <c r="R599" s="136"/>
      <c r="S599" s="136"/>
      <c r="T599" s="136"/>
      <c r="U599" s="136"/>
      <c r="V599" s="136"/>
    </row>
    <row r="600" spans="14:22" x14ac:dyDescent="0.35">
      <c r="N600" s="135"/>
      <c r="O600" s="136"/>
      <c r="P600" s="136"/>
      <c r="Q600" s="136"/>
      <c r="R600" s="136"/>
      <c r="S600" s="136"/>
      <c r="T600" s="136"/>
      <c r="U600" s="136"/>
      <c r="V600" s="136"/>
    </row>
    <row r="601" spans="14:22" x14ac:dyDescent="0.35">
      <c r="N601" s="135"/>
      <c r="O601" s="136"/>
      <c r="P601" s="136"/>
      <c r="Q601" s="136"/>
      <c r="R601" s="136"/>
      <c r="S601" s="136"/>
      <c r="T601" s="136"/>
      <c r="U601" s="136"/>
      <c r="V601" s="136"/>
    </row>
    <row r="602" spans="14:22" x14ac:dyDescent="0.35">
      <c r="N602" s="135"/>
      <c r="O602" s="136"/>
      <c r="P602" s="136"/>
      <c r="Q602" s="136"/>
      <c r="R602" s="136"/>
      <c r="S602" s="136"/>
      <c r="T602" s="136"/>
      <c r="U602" s="136"/>
      <c r="V602" s="136"/>
    </row>
    <row r="603" spans="14:22" x14ac:dyDescent="0.35">
      <c r="N603" s="135"/>
      <c r="O603" s="136"/>
      <c r="P603" s="136"/>
      <c r="Q603" s="136"/>
      <c r="R603" s="136"/>
      <c r="S603" s="136"/>
      <c r="T603" s="136"/>
      <c r="U603" s="136"/>
      <c r="V603" s="136"/>
    </row>
    <row r="604" spans="14:22" x14ac:dyDescent="0.35">
      <c r="N604" s="135"/>
      <c r="O604" s="136"/>
      <c r="P604" s="136"/>
      <c r="Q604" s="136"/>
      <c r="R604" s="136"/>
      <c r="S604" s="136"/>
      <c r="T604" s="136"/>
      <c r="U604" s="136"/>
      <c r="V604" s="136"/>
    </row>
    <row r="605" spans="14:22" x14ac:dyDescent="0.35">
      <c r="N605" s="135"/>
      <c r="O605" s="136"/>
      <c r="P605" s="136"/>
      <c r="Q605" s="136"/>
      <c r="R605" s="136"/>
      <c r="S605" s="136"/>
      <c r="T605" s="136"/>
      <c r="U605" s="136"/>
      <c r="V605" s="136"/>
    </row>
    <row r="606" spans="14:22" x14ac:dyDescent="0.35">
      <c r="N606" s="135"/>
      <c r="O606" s="136"/>
      <c r="P606" s="136"/>
      <c r="Q606" s="136"/>
      <c r="R606" s="136"/>
      <c r="S606" s="136"/>
      <c r="T606" s="136"/>
      <c r="U606" s="136"/>
      <c r="V606" s="136"/>
    </row>
    <row r="607" spans="14:22" x14ac:dyDescent="0.35">
      <c r="N607" s="135"/>
      <c r="O607" s="136"/>
      <c r="P607" s="136"/>
      <c r="Q607" s="136"/>
      <c r="R607" s="136"/>
      <c r="S607" s="136"/>
      <c r="T607" s="136"/>
      <c r="U607" s="136"/>
      <c r="V607" s="136"/>
    </row>
    <row r="608" spans="14:22" x14ac:dyDescent="0.35">
      <c r="N608" s="135"/>
      <c r="O608" s="136"/>
      <c r="P608" s="136"/>
      <c r="Q608" s="136"/>
      <c r="R608" s="136"/>
      <c r="S608" s="136"/>
      <c r="T608" s="136"/>
      <c r="U608" s="136"/>
      <c r="V608" s="136"/>
    </row>
    <row r="609" spans="14:22" x14ac:dyDescent="0.35">
      <c r="N609" s="135"/>
      <c r="O609" s="136"/>
      <c r="P609" s="136"/>
      <c r="Q609" s="136"/>
      <c r="R609" s="136"/>
      <c r="S609" s="136"/>
      <c r="T609" s="136"/>
      <c r="U609" s="136"/>
      <c r="V609" s="136"/>
    </row>
    <row r="610" spans="14:22" x14ac:dyDescent="0.35">
      <c r="N610" s="135"/>
      <c r="O610" s="136"/>
      <c r="P610" s="136"/>
      <c r="Q610" s="136"/>
      <c r="R610" s="136"/>
      <c r="S610" s="136"/>
      <c r="T610" s="136"/>
      <c r="U610" s="136"/>
      <c r="V610" s="136"/>
    </row>
    <row r="611" spans="14:22" x14ac:dyDescent="0.35">
      <c r="N611" s="135"/>
      <c r="O611" s="136"/>
      <c r="P611" s="136"/>
      <c r="Q611" s="136"/>
      <c r="R611" s="136"/>
      <c r="S611" s="136"/>
      <c r="T611" s="136"/>
      <c r="U611" s="136"/>
      <c r="V611" s="136"/>
    </row>
    <row r="612" spans="14:22" x14ac:dyDescent="0.35">
      <c r="N612" s="135"/>
      <c r="O612" s="136"/>
      <c r="P612" s="136"/>
      <c r="Q612" s="136"/>
      <c r="R612" s="136"/>
      <c r="S612" s="136"/>
      <c r="T612" s="136"/>
      <c r="U612" s="136"/>
      <c r="V612" s="136"/>
    </row>
    <row r="613" spans="14:22" x14ac:dyDescent="0.35">
      <c r="N613" s="135"/>
      <c r="O613" s="136"/>
      <c r="P613" s="136"/>
      <c r="Q613" s="136"/>
      <c r="R613" s="136"/>
      <c r="S613" s="136"/>
      <c r="T613" s="136"/>
      <c r="U613" s="136"/>
      <c r="V613" s="136"/>
    </row>
    <row r="614" spans="14:22" x14ac:dyDescent="0.35">
      <c r="N614" s="135"/>
      <c r="O614" s="136"/>
      <c r="P614" s="136"/>
      <c r="Q614" s="136"/>
      <c r="R614" s="136"/>
      <c r="S614" s="136"/>
      <c r="T614" s="136"/>
      <c r="U614" s="136"/>
      <c r="V614" s="136"/>
    </row>
    <row r="615" spans="14:22" x14ac:dyDescent="0.35">
      <c r="N615" s="135"/>
      <c r="O615" s="136"/>
      <c r="P615" s="136"/>
      <c r="Q615" s="136"/>
      <c r="R615" s="136"/>
      <c r="S615" s="136"/>
      <c r="T615" s="136"/>
      <c r="U615" s="136"/>
      <c r="V615" s="136"/>
    </row>
    <row r="616" spans="14:22" x14ac:dyDescent="0.35">
      <c r="N616" s="135"/>
      <c r="O616" s="136"/>
      <c r="P616" s="136"/>
      <c r="Q616" s="136"/>
      <c r="R616" s="136"/>
      <c r="S616" s="136"/>
      <c r="T616" s="136"/>
      <c r="U616" s="136"/>
      <c r="V616" s="136"/>
    </row>
    <row r="617" spans="14:22" x14ac:dyDescent="0.35">
      <c r="N617" s="135"/>
      <c r="O617" s="136"/>
      <c r="P617" s="136"/>
      <c r="Q617" s="136"/>
      <c r="R617" s="136"/>
      <c r="S617" s="136"/>
      <c r="T617" s="136"/>
      <c r="U617" s="136"/>
      <c r="V617" s="136"/>
    </row>
    <row r="618" spans="14:22" x14ac:dyDescent="0.35">
      <c r="N618" s="135"/>
      <c r="O618" s="136"/>
      <c r="P618" s="136"/>
      <c r="Q618" s="136"/>
      <c r="R618" s="136"/>
      <c r="S618" s="136"/>
      <c r="T618" s="136"/>
      <c r="U618" s="136"/>
      <c r="V618" s="136"/>
    </row>
    <row r="619" spans="14:22" x14ac:dyDescent="0.35">
      <c r="N619" s="135"/>
      <c r="O619" s="136"/>
      <c r="P619" s="136"/>
      <c r="Q619" s="136"/>
      <c r="R619" s="136"/>
      <c r="S619" s="136"/>
      <c r="T619" s="136"/>
      <c r="U619" s="136"/>
      <c r="V619" s="136"/>
    </row>
    <row r="620" spans="14:22" x14ac:dyDescent="0.35">
      <c r="N620" s="135"/>
      <c r="O620" s="136"/>
      <c r="P620" s="136"/>
      <c r="Q620" s="136"/>
      <c r="R620" s="136"/>
      <c r="S620" s="136"/>
      <c r="T620" s="136"/>
      <c r="U620" s="136"/>
      <c r="V620" s="136"/>
    </row>
    <row r="621" spans="14:22" x14ac:dyDescent="0.35">
      <c r="N621" s="135"/>
      <c r="O621" s="136"/>
      <c r="P621" s="136"/>
      <c r="Q621" s="136"/>
      <c r="R621" s="136"/>
      <c r="S621" s="136"/>
      <c r="T621" s="136"/>
      <c r="U621" s="136"/>
      <c r="V621" s="136"/>
    </row>
    <row r="622" spans="14:22" x14ac:dyDescent="0.35">
      <c r="N622" s="135"/>
      <c r="O622" s="136"/>
      <c r="P622" s="136"/>
      <c r="Q622" s="136"/>
      <c r="R622" s="136"/>
      <c r="S622" s="136"/>
      <c r="T622" s="136"/>
      <c r="U622" s="136"/>
      <c r="V622" s="136"/>
    </row>
    <row r="623" spans="14:22" x14ac:dyDescent="0.35">
      <c r="N623" s="135"/>
      <c r="O623" s="136"/>
      <c r="P623" s="136"/>
      <c r="Q623" s="136"/>
      <c r="R623" s="136"/>
      <c r="S623" s="136"/>
      <c r="T623" s="136"/>
      <c r="U623" s="136"/>
      <c r="V623" s="136"/>
    </row>
    <row r="624" spans="14:22" x14ac:dyDescent="0.35">
      <c r="N624" s="135"/>
      <c r="O624" s="136"/>
      <c r="P624" s="136"/>
      <c r="Q624" s="136"/>
      <c r="R624" s="136"/>
      <c r="S624" s="136"/>
      <c r="T624" s="136"/>
      <c r="U624" s="136"/>
      <c r="V624" s="136"/>
    </row>
    <row r="625" spans="14:22" x14ac:dyDescent="0.35">
      <c r="N625" s="135"/>
      <c r="O625" s="136"/>
      <c r="P625" s="136"/>
      <c r="Q625" s="136"/>
      <c r="R625" s="136"/>
      <c r="S625" s="136"/>
      <c r="T625" s="136"/>
      <c r="U625" s="136"/>
      <c r="V625" s="136"/>
    </row>
    <row r="626" spans="14:22" x14ac:dyDescent="0.35">
      <c r="N626" s="135"/>
      <c r="O626" s="136"/>
      <c r="P626" s="136"/>
      <c r="Q626" s="136"/>
      <c r="R626" s="136"/>
      <c r="S626" s="136"/>
      <c r="T626" s="136"/>
      <c r="U626" s="136"/>
      <c r="V626" s="136"/>
    </row>
    <row r="627" spans="14:22" x14ac:dyDescent="0.35">
      <c r="N627" s="135"/>
      <c r="O627" s="136"/>
      <c r="P627" s="136"/>
      <c r="Q627" s="136"/>
      <c r="R627" s="136"/>
      <c r="S627" s="136"/>
      <c r="T627" s="136"/>
      <c r="U627" s="136"/>
      <c r="V627" s="136"/>
    </row>
    <row r="628" spans="14:22" x14ac:dyDescent="0.35">
      <c r="N628" s="135"/>
      <c r="O628" s="136"/>
      <c r="P628" s="136"/>
      <c r="Q628" s="136"/>
      <c r="R628" s="136"/>
      <c r="S628" s="136"/>
      <c r="T628" s="136"/>
      <c r="U628" s="136"/>
      <c r="V628" s="136"/>
    </row>
    <row r="629" spans="14:22" x14ac:dyDescent="0.35">
      <c r="N629" s="135"/>
      <c r="O629" s="136"/>
      <c r="P629" s="136"/>
      <c r="Q629" s="136"/>
      <c r="R629" s="136"/>
      <c r="S629" s="136"/>
      <c r="T629" s="136"/>
      <c r="U629" s="136"/>
      <c r="V629" s="136"/>
    </row>
    <row r="630" spans="14:22" x14ac:dyDescent="0.35">
      <c r="N630" s="135"/>
      <c r="O630" s="136"/>
      <c r="P630" s="136"/>
      <c r="Q630" s="136"/>
      <c r="R630" s="136"/>
      <c r="S630" s="136"/>
      <c r="T630" s="136"/>
      <c r="U630" s="136"/>
      <c r="V630" s="136"/>
    </row>
    <row r="631" spans="14:22" x14ac:dyDescent="0.35">
      <c r="N631" s="135"/>
      <c r="O631" s="136"/>
      <c r="P631" s="136"/>
      <c r="Q631" s="136"/>
      <c r="R631" s="136"/>
      <c r="S631" s="136"/>
      <c r="T631" s="136"/>
      <c r="U631" s="136"/>
      <c r="V631" s="136"/>
    </row>
    <row r="632" spans="14:22" x14ac:dyDescent="0.35">
      <c r="N632" s="135"/>
      <c r="O632" s="136"/>
      <c r="P632" s="136"/>
      <c r="Q632" s="136"/>
      <c r="R632" s="136"/>
      <c r="S632" s="136"/>
      <c r="T632" s="136"/>
      <c r="U632" s="136"/>
      <c r="V632" s="136"/>
    </row>
    <row r="633" spans="14:22" x14ac:dyDescent="0.35">
      <c r="N633" s="135"/>
      <c r="O633" s="136"/>
      <c r="P633" s="136"/>
      <c r="Q633" s="136"/>
      <c r="R633" s="136"/>
      <c r="S633" s="136"/>
      <c r="T633" s="136"/>
      <c r="U633" s="136"/>
      <c r="V633" s="136"/>
    </row>
    <row r="634" spans="14:22" x14ac:dyDescent="0.35">
      <c r="N634" s="135"/>
      <c r="O634" s="136"/>
      <c r="P634" s="136"/>
      <c r="Q634" s="136"/>
      <c r="R634" s="136"/>
      <c r="S634" s="136"/>
      <c r="T634" s="136"/>
      <c r="U634" s="136"/>
      <c r="V634" s="136"/>
    </row>
    <row r="635" spans="14:22" x14ac:dyDescent="0.35">
      <c r="N635" s="135"/>
      <c r="O635" s="136"/>
      <c r="P635" s="136"/>
      <c r="Q635" s="136"/>
      <c r="R635" s="136"/>
      <c r="S635" s="136"/>
      <c r="T635" s="136"/>
      <c r="U635" s="136"/>
      <c r="V635" s="136"/>
    </row>
    <row r="636" spans="14:22" x14ac:dyDescent="0.35">
      <c r="N636" s="135"/>
      <c r="O636" s="136"/>
      <c r="P636" s="136"/>
      <c r="Q636" s="136"/>
      <c r="R636" s="136"/>
      <c r="S636" s="136"/>
      <c r="T636" s="136"/>
      <c r="U636" s="136"/>
      <c r="V636" s="136"/>
    </row>
    <row r="637" spans="14:22" x14ac:dyDescent="0.35">
      <c r="N637" s="135"/>
      <c r="O637" s="136"/>
      <c r="P637" s="136"/>
      <c r="Q637" s="136"/>
      <c r="R637" s="136"/>
      <c r="S637" s="136"/>
      <c r="T637" s="136"/>
      <c r="U637" s="136"/>
      <c r="V637" s="136"/>
    </row>
    <row r="638" spans="14:22" x14ac:dyDescent="0.35">
      <c r="N638" s="135"/>
      <c r="O638" s="136"/>
      <c r="P638" s="136"/>
      <c r="Q638" s="136"/>
      <c r="R638" s="136"/>
      <c r="S638" s="136"/>
      <c r="T638" s="136"/>
      <c r="U638" s="136"/>
      <c r="V638" s="136"/>
    </row>
    <row r="639" spans="14:22" x14ac:dyDescent="0.35">
      <c r="N639" s="135"/>
      <c r="O639" s="136"/>
      <c r="P639" s="136"/>
      <c r="Q639" s="136"/>
      <c r="R639" s="136"/>
      <c r="S639" s="136"/>
      <c r="T639" s="136"/>
      <c r="U639" s="136"/>
      <c r="V639" s="136"/>
    </row>
    <row r="640" spans="14:22" x14ac:dyDescent="0.35">
      <c r="N640" s="135"/>
      <c r="O640" s="136"/>
      <c r="P640" s="136"/>
      <c r="Q640" s="136"/>
      <c r="R640" s="136"/>
      <c r="S640" s="136"/>
      <c r="T640" s="136"/>
      <c r="U640" s="136"/>
      <c r="V640" s="136"/>
    </row>
    <row r="641" spans="14:22" x14ac:dyDescent="0.35">
      <c r="N641" s="135"/>
      <c r="O641" s="136"/>
      <c r="P641" s="136"/>
      <c r="Q641" s="136"/>
      <c r="R641" s="136"/>
      <c r="S641" s="136"/>
      <c r="T641" s="136"/>
      <c r="U641" s="136"/>
      <c r="V641" s="136"/>
    </row>
    <row r="642" spans="14:22" x14ac:dyDescent="0.35">
      <c r="N642" s="135"/>
      <c r="O642" s="136"/>
      <c r="P642" s="136"/>
      <c r="Q642" s="136"/>
      <c r="R642" s="136"/>
      <c r="S642" s="136"/>
      <c r="T642" s="136"/>
      <c r="U642" s="136"/>
      <c r="V642" s="136"/>
    </row>
    <row r="643" spans="14:22" x14ac:dyDescent="0.35">
      <c r="N643" s="135"/>
      <c r="O643" s="136"/>
      <c r="P643" s="136"/>
      <c r="Q643" s="136"/>
      <c r="R643" s="136"/>
      <c r="S643" s="136"/>
      <c r="T643" s="136"/>
      <c r="U643" s="136"/>
      <c r="V643" s="136"/>
    </row>
    <row r="644" spans="14:22" x14ac:dyDescent="0.35">
      <c r="N644" s="135"/>
      <c r="O644" s="136"/>
      <c r="P644" s="136"/>
      <c r="Q644" s="136"/>
      <c r="R644" s="136"/>
      <c r="S644" s="136"/>
      <c r="T644" s="136"/>
      <c r="U644" s="136"/>
      <c r="V644" s="136"/>
    </row>
    <row r="645" spans="14:22" x14ac:dyDescent="0.35">
      <c r="N645" s="135"/>
      <c r="O645" s="136"/>
      <c r="P645" s="136"/>
      <c r="Q645" s="136"/>
      <c r="R645" s="136"/>
      <c r="S645" s="136"/>
      <c r="T645" s="136"/>
      <c r="U645" s="136"/>
      <c r="V645" s="136"/>
    </row>
    <row r="646" spans="14:22" x14ac:dyDescent="0.35">
      <c r="N646" s="135"/>
      <c r="O646" s="136"/>
      <c r="P646" s="136"/>
      <c r="Q646" s="136"/>
      <c r="R646" s="136"/>
      <c r="S646" s="136"/>
      <c r="T646" s="136"/>
      <c r="U646" s="136"/>
      <c r="V646" s="136"/>
    </row>
    <row r="647" spans="14:22" x14ac:dyDescent="0.35">
      <c r="N647" s="135"/>
      <c r="O647" s="136"/>
      <c r="P647" s="136"/>
      <c r="Q647" s="136"/>
      <c r="R647" s="136"/>
      <c r="S647" s="136"/>
      <c r="T647" s="136"/>
      <c r="U647" s="136"/>
      <c r="V647" s="136"/>
    </row>
    <row r="648" spans="14:22" x14ac:dyDescent="0.35">
      <c r="N648" s="135"/>
      <c r="O648" s="136"/>
      <c r="P648" s="136"/>
      <c r="Q648" s="136"/>
      <c r="R648" s="136"/>
      <c r="S648" s="136"/>
      <c r="T648" s="136"/>
      <c r="U648" s="136"/>
      <c r="V648" s="136"/>
    </row>
    <row r="649" spans="14:22" x14ac:dyDescent="0.35">
      <c r="N649" s="135"/>
      <c r="O649" s="136"/>
      <c r="P649" s="136"/>
      <c r="Q649" s="136"/>
      <c r="R649" s="136"/>
      <c r="S649" s="136"/>
      <c r="T649" s="136"/>
      <c r="U649" s="136"/>
      <c r="V649" s="136"/>
    </row>
    <row r="650" spans="14:22" x14ac:dyDescent="0.35">
      <c r="N650" s="135"/>
      <c r="O650" s="136"/>
      <c r="P650" s="136"/>
      <c r="Q650" s="136"/>
      <c r="R650" s="136"/>
      <c r="S650" s="136"/>
      <c r="T650" s="136"/>
      <c r="U650" s="136"/>
      <c r="V650" s="136"/>
    </row>
    <row r="651" spans="14:22" x14ac:dyDescent="0.35">
      <c r="N651" s="135"/>
      <c r="O651" s="136"/>
      <c r="P651" s="136"/>
      <c r="Q651" s="136"/>
      <c r="R651" s="136"/>
      <c r="S651" s="136"/>
      <c r="T651" s="136"/>
      <c r="U651" s="136"/>
      <c r="V651" s="136"/>
    </row>
    <row r="652" spans="14:22" x14ac:dyDescent="0.35">
      <c r="N652" s="135"/>
      <c r="O652" s="136"/>
      <c r="P652" s="136"/>
      <c r="Q652" s="136"/>
      <c r="R652" s="136"/>
      <c r="S652" s="136"/>
      <c r="T652" s="136"/>
      <c r="U652" s="136"/>
      <c r="V652" s="136"/>
    </row>
    <row r="653" spans="14:22" x14ac:dyDescent="0.35">
      <c r="N653" s="135"/>
      <c r="O653" s="136"/>
      <c r="P653" s="136"/>
      <c r="Q653" s="136"/>
      <c r="R653" s="136"/>
      <c r="S653" s="136"/>
      <c r="T653" s="136"/>
      <c r="U653" s="136"/>
      <c r="V653" s="136"/>
    </row>
    <row r="654" spans="14:22" x14ac:dyDescent="0.35">
      <c r="N654" s="135"/>
      <c r="O654" s="136"/>
      <c r="P654" s="136"/>
      <c r="Q654" s="136"/>
      <c r="R654" s="136"/>
      <c r="S654" s="136"/>
      <c r="T654" s="136"/>
      <c r="U654" s="136"/>
      <c r="V654" s="136"/>
    </row>
    <row r="655" spans="14:22" x14ac:dyDescent="0.35">
      <c r="N655" s="135"/>
      <c r="O655" s="136"/>
      <c r="P655" s="136"/>
      <c r="Q655" s="136"/>
      <c r="R655" s="136"/>
      <c r="S655" s="136"/>
      <c r="T655" s="136"/>
      <c r="U655" s="136"/>
      <c r="V655" s="136"/>
    </row>
    <row r="656" spans="14:22" x14ac:dyDescent="0.35">
      <c r="N656" s="135"/>
      <c r="O656" s="136"/>
      <c r="P656" s="136"/>
      <c r="Q656" s="136"/>
      <c r="R656" s="136"/>
      <c r="S656" s="136"/>
      <c r="T656" s="136"/>
      <c r="U656" s="136"/>
      <c r="V656" s="136"/>
    </row>
    <row r="657" spans="14:22" x14ac:dyDescent="0.35">
      <c r="N657" s="135"/>
      <c r="O657" s="136"/>
      <c r="P657" s="136"/>
      <c r="Q657" s="136"/>
      <c r="R657" s="136"/>
      <c r="S657" s="136"/>
      <c r="T657" s="136"/>
      <c r="U657" s="136"/>
      <c r="V657" s="136"/>
    </row>
    <row r="658" spans="14:22" x14ac:dyDescent="0.35">
      <c r="N658" s="135"/>
      <c r="O658" s="136"/>
      <c r="P658" s="136"/>
      <c r="Q658" s="136"/>
      <c r="R658" s="136"/>
      <c r="S658" s="136"/>
      <c r="T658" s="136"/>
      <c r="U658" s="136"/>
      <c r="V658" s="136"/>
    </row>
    <row r="659" spans="14:22" x14ac:dyDescent="0.35">
      <c r="N659" s="135"/>
      <c r="O659" s="136"/>
      <c r="P659" s="136"/>
      <c r="Q659" s="136"/>
      <c r="R659" s="136"/>
      <c r="S659" s="136"/>
      <c r="T659" s="136"/>
      <c r="U659" s="136"/>
      <c r="V659" s="136"/>
    </row>
    <row r="660" spans="14:22" x14ac:dyDescent="0.35">
      <c r="N660" s="135"/>
      <c r="O660" s="136"/>
      <c r="P660" s="136"/>
      <c r="Q660" s="136"/>
      <c r="R660" s="136"/>
      <c r="S660" s="136"/>
      <c r="T660" s="136"/>
      <c r="U660" s="136"/>
      <c r="V660" s="136"/>
    </row>
    <row r="661" spans="14:22" x14ac:dyDescent="0.35">
      <c r="N661" s="135"/>
      <c r="O661" s="136"/>
      <c r="P661" s="136"/>
      <c r="Q661" s="136"/>
      <c r="R661" s="136"/>
      <c r="S661" s="136"/>
      <c r="T661" s="136"/>
      <c r="U661" s="136"/>
      <c r="V661" s="136"/>
    </row>
    <row r="662" spans="14:22" x14ac:dyDescent="0.35">
      <c r="N662" s="135"/>
      <c r="O662" s="136"/>
      <c r="P662" s="136"/>
      <c r="Q662" s="136"/>
      <c r="R662" s="136"/>
      <c r="S662" s="136"/>
      <c r="T662" s="136"/>
      <c r="U662" s="136"/>
      <c r="V662" s="136"/>
    </row>
    <row r="663" spans="14:22" x14ac:dyDescent="0.35">
      <c r="N663" s="135"/>
      <c r="O663" s="136"/>
      <c r="P663" s="136"/>
      <c r="Q663" s="136"/>
      <c r="R663" s="136"/>
      <c r="S663" s="136"/>
      <c r="T663" s="136"/>
      <c r="U663" s="136"/>
      <c r="V663" s="136"/>
    </row>
    <row r="664" spans="14:22" x14ac:dyDescent="0.35">
      <c r="N664" s="135"/>
      <c r="O664" s="136"/>
      <c r="P664" s="136"/>
      <c r="Q664" s="136"/>
      <c r="R664" s="136"/>
      <c r="S664" s="136"/>
      <c r="T664" s="136"/>
      <c r="U664" s="136"/>
      <c r="V664" s="136"/>
    </row>
    <row r="665" spans="14:22" x14ac:dyDescent="0.35">
      <c r="N665" s="135"/>
      <c r="O665" s="136"/>
      <c r="P665" s="136"/>
      <c r="Q665" s="136"/>
      <c r="R665" s="136"/>
      <c r="S665" s="136"/>
      <c r="T665" s="136"/>
      <c r="U665" s="136"/>
      <c r="V665" s="136"/>
    </row>
    <row r="666" spans="14:22" x14ac:dyDescent="0.35">
      <c r="N666" s="135"/>
      <c r="O666" s="136"/>
      <c r="P666" s="136"/>
      <c r="Q666" s="136"/>
      <c r="R666" s="136"/>
      <c r="S666" s="136"/>
      <c r="T666" s="136"/>
      <c r="U666" s="136"/>
      <c r="V666" s="136"/>
    </row>
    <row r="667" spans="14:22" x14ac:dyDescent="0.35">
      <c r="N667" s="135"/>
      <c r="O667" s="136"/>
      <c r="P667" s="136"/>
      <c r="Q667" s="136"/>
      <c r="R667" s="136"/>
      <c r="S667" s="136"/>
      <c r="T667" s="136"/>
      <c r="U667" s="136"/>
      <c r="V667" s="136"/>
    </row>
    <row r="668" spans="14:22" x14ac:dyDescent="0.35">
      <c r="N668" s="135"/>
      <c r="O668" s="136"/>
      <c r="P668" s="136"/>
      <c r="Q668" s="136"/>
      <c r="R668" s="136"/>
      <c r="S668" s="136"/>
      <c r="T668" s="136"/>
      <c r="U668" s="136"/>
      <c r="V668" s="136"/>
    </row>
    <row r="669" spans="14:22" x14ac:dyDescent="0.35">
      <c r="N669" s="135"/>
      <c r="O669" s="136"/>
      <c r="P669" s="136"/>
      <c r="Q669" s="136"/>
      <c r="R669" s="136"/>
      <c r="S669" s="136"/>
      <c r="T669" s="136"/>
      <c r="U669" s="136"/>
      <c r="V669" s="136"/>
    </row>
    <row r="670" spans="14:22" x14ac:dyDescent="0.35">
      <c r="N670" s="135"/>
      <c r="O670" s="136"/>
      <c r="P670" s="136"/>
      <c r="Q670" s="136"/>
      <c r="R670" s="136"/>
      <c r="S670" s="136"/>
      <c r="T670" s="136"/>
      <c r="U670" s="136"/>
      <c r="V670" s="136"/>
    </row>
    <row r="671" spans="14:22" x14ac:dyDescent="0.35">
      <c r="N671" s="135"/>
      <c r="O671" s="136"/>
      <c r="P671" s="136"/>
      <c r="Q671" s="136"/>
      <c r="R671" s="136"/>
      <c r="S671" s="136"/>
      <c r="T671" s="136"/>
      <c r="U671" s="136"/>
      <c r="V671" s="136"/>
    </row>
    <row r="672" spans="14:22" x14ac:dyDescent="0.35">
      <c r="N672" s="135"/>
      <c r="O672" s="136"/>
      <c r="P672" s="136"/>
      <c r="Q672" s="136"/>
      <c r="R672" s="136"/>
      <c r="S672" s="136"/>
      <c r="T672" s="136"/>
      <c r="U672" s="136"/>
      <c r="V672" s="136"/>
    </row>
    <row r="673" spans="14:22" x14ac:dyDescent="0.35">
      <c r="N673" s="135"/>
      <c r="O673" s="136"/>
      <c r="P673" s="136"/>
      <c r="Q673" s="136"/>
      <c r="R673" s="136"/>
      <c r="S673" s="136"/>
      <c r="T673" s="136"/>
      <c r="U673" s="136"/>
      <c r="V673" s="136"/>
    </row>
    <row r="674" spans="14:22" x14ac:dyDescent="0.35">
      <c r="N674" s="135"/>
      <c r="O674" s="136"/>
      <c r="P674" s="136"/>
      <c r="Q674" s="136"/>
      <c r="R674" s="136"/>
      <c r="S674" s="136"/>
      <c r="T674" s="136"/>
      <c r="U674" s="136"/>
      <c r="V674" s="136"/>
    </row>
    <row r="675" spans="14:22" x14ac:dyDescent="0.35">
      <c r="N675" s="135"/>
      <c r="O675" s="136"/>
      <c r="P675" s="136"/>
      <c r="Q675" s="136"/>
      <c r="R675" s="136"/>
      <c r="S675" s="136"/>
      <c r="T675" s="136"/>
      <c r="U675" s="136"/>
      <c r="V675" s="136"/>
    </row>
    <row r="676" spans="14:22" x14ac:dyDescent="0.35">
      <c r="N676" s="135"/>
      <c r="O676" s="136"/>
      <c r="P676" s="136"/>
      <c r="Q676" s="136"/>
      <c r="R676" s="136"/>
      <c r="S676" s="136"/>
      <c r="T676" s="136"/>
      <c r="U676" s="136"/>
      <c r="V676" s="136"/>
    </row>
    <row r="677" spans="14:22" x14ac:dyDescent="0.35">
      <c r="N677" s="135"/>
      <c r="O677" s="136"/>
      <c r="P677" s="136"/>
      <c r="Q677" s="136"/>
      <c r="R677" s="136"/>
      <c r="S677" s="136"/>
      <c r="T677" s="136"/>
      <c r="U677" s="136"/>
      <c r="V677" s="136"/>
    </row>
    <row r="678" spans="14:22" x14ac:dyDescent="0.35">
      <c r="N678" s="135"/>
      <c r="O678" s="136"/>
      <c r="P678" s="136"/>
      <c r="Q678" s="136"/>
      <c r="R678" s="136"/>
      <c r="S678" s="136"/>
      <c r="T678" s="136"/>
      <c r="U678" s="136"/>
      <c r="V678" s="136"/>
    </row>
    <row r="679" spans="14:22" x14ac:dyDescent="0.35">
      <c r="N679" s="135"/>
      <c r="O679" s="136"/>
      <c r="P679" s="136"/>
      <c r="Q679" s="136"/>
      <c r="R679" s="136"/>
      <c r="S679" s="136"/>
      <c r="T679" s="136"/>
      <c r="U679" s="136"/>
      <c r="V679" s="136"/>
    </row>
    <row r="680" spans="14:22" x14ac:dyDescent="0.35">
      <c r="N680" s="135"/>
      <c r="O680" s="136"/>
      <c r="P680" s="136"/>
      <c r="Q680" s="136"/>
      <c r="R680" s="136"/>
      <c r="S680" s="136"/>
      <c r="T680" s="136"/>
      <c r="U680" s="136"/>
      <c r="V680" s="136"/>
    </row>
    <row r="681" spans="14:22" x14ac:dyDescent="0.35">
      <c r="N681" s="135"/>
      <c r="O681" s="136"/>
      <c r="P681" s="136"/>
      <c r="Q681" s="136"/>
      <c r="R681" s="136"/>
      <c r="S681" s="136"/>
      <c r="T681" s="136"/>
      <c r="U681" s="136"/>
      <c r="V681" s="136"/>
    </row>
    <row r="682" spans="14:22" x14ac:dyDescent="0.35">
      <c r="N682" s="135"/>
      <c r="O682" s="136"/>
      <c r="P682" s="136"/>
      <c r="Q682" s="136"/>
      <c r="R682" s="136"/>
      <c r="S682" s="136"/>
      <c r="T682" s="136"/>
      <c r="U682" s="136"/>
      <c r="V682" s="136"/>
    </row>
    <row r="683" spans="14:22" x14ac:dyDescent="0.35">
      <c r="N683" s="135"/>
      <c r="O683" s="136"/>
      <c r="P683" s="136"/>
      <c r="Q683" s="136"/>
      <c r="R683" s="136"/>
      <c r="S683" s="136"/>
      <c r="T683" s="136"/>
      <c r="U683" s="136"/>
      <c r="V683" s="136"/>
    </row>
    <row r="684" spans="14:22" x14ac:dyDescent="0.35">
      <c r="N684" s="135"/>
      <c r="O684" s="136"/>
      <c r="P684" s="136"/>
      <c r="Q684" s="136"/>
      <c r="R684" s="136"/>
      <c r="S684" s="136"/>
      <c r="T684" s="136"/>
      <c r="U684" s="136"/>
      <c r="V684" s="136"/>
    </row>
    <row r="685" spans="14:22" x14ac:dyDescent="0.35">
      <c r="N685" s="135"/>
      <c r="O685" s="136"/>
      <c r="P685" s="136"/>
      <c r="Q685" s="136"/>
      <c r="R685" s="136"/>
      <c r="S685" s="136"/>
      <c r="T685" s="136"/>
      <c r="U685" s="136"/>
      <c r="V685" s="136"/>
    </row>
    <row r="686" spans="14:22" x14ac:dyDescent="0.35">
      <c r="N686" s="135"/>
      <c r="O686" s="136"/>
      <c r="P686" s="136"/>
      <c r="Q686" s="136"/>
      <c r="R686" s="136"/>
      <c r="S686" s="136"/>
      <c r="T686" s="136"/>
      <c r="U686" s="136"/>
      <c r="V686" s="136"/>
    </row>
    <row r="687" spans="14:22" x14ac:dyDescent="0.35">
      <c r="N687" s="135"/>
      <c r="O687" s="136"/>
      <c r="P687" s="136"/>
      <c r="Q687" s="136"/>
      <c r="R687" s="136"/>
      <c r="S687" s="136"/>
      <c r="T687" s="136"/>
      <c r="U687" s="136"/>
      <c r="V687" s="136"/>
    </row>
    <row r="688" spans="14:22" x14ac:dyDescent="0.35">
      <c r="N688" s="135"/>
      <c r="O688" s="136"/>
      <c r="P688" s="136"/>
      <c r="Q688" s="136"/>
      <c r="R688" s="136"/>
      <c r="S688" s="136"/>
      <c r="T688" s="136"/>
      <c r="U688" s="136"/>
      <c r="V688" s="136"/>
    </row>
    <row r="689" spans="14:22" x14ac:dyDescent="0.35">
      <c r="N689" s="135"/>
      <c r="O689" s="136"/>
      <c r="P689" s="136"/>
      <c r="Q689" s="136"/>
      <c r="R689" s="136"/>
      <c r="S689" s="136"/>
      <c r="T689" s="136"/>
      <c r="U689" s="136"/>
      <c r="V689" s="136"/>
    </row>
    <row r="690" spans="14:22" x14ac:dyDescent="0.35">
      <c r="N690" s="135"/>
      <c r="O690" s="136"/>
      <c r="P690" s="136"/>
      <c r="Q690" s="136"/>
      <c r="R690" s="136"/>
      <c r="S690" s="136"/>
      <c r="T690" s="136"/>
      <c r="U690" s="136"/>
      <c r="V690" s="136"/>
    </row>
    <row r="691" spans="14:22" x14ac:dyDescent="0.35">
      <c r="N691" s="135"/>
      <c r="O691" s="136"/>
      <c r="P691" s="136"/>
      <c r="Q691" s="136"/>
      <c r="R691" s="136"/>
      <c r="S691" s="136"/>
      <c r="T691" s="136"/>
      <c r="U691" s="136"/>
      <c r="V691" s="136"/>
    </row>
    <row r="692" spans="14:22" x14ac:dyDescent="0.35">
      <c r="N692" s="135"/>
      <c r="O692" s="136"/>
      <c r="P692" s="136"/>
      <c r="Q692" s="136"/>
      <c r="R692" s="136"/>
      <c r="S692" s="136"/>
      <c r="T692" s="136"/>
      <c r="U692" s="136"/>
      <c r="V692" s="136"/>
    </row>
    <row r="693" spans="14:22" x14ac:dyDescent="0.35">
      <c r="N693" s="135"/>
      <c r="O693" s="136"/>
      <c r="P693" s="136"/>
      <c r="Q693" s="136"/>
      <c r="R693" s="136"/>
      <c r="S693" s="136"/>
      <c r="T693" s="136"/>
      <c r="U693" s="136"/>
      <c r="V693" s="136"/>
    </row>
    <row r="694" spans="14:22" x14ac:dyDescent="0.35">
      <c r="N694" s="135"/>
      <c r="O694" s="136"/>
      <c r="P694" s="136"/>
      <c r="Q694" s="136"/>
      <c r="R694" s="136"/>
      <c r="S694" s="136"/>
      <c r="T694" s="136"/>
      <c r="U694" s="136"/>
      <c r="V694" s="136"/>
    </row>
    <row r="695" spans="14:22" x14ac:dyDescent="0.35">
      <c r="N695" s="135"/>
      <c r="O695" s="136"/>
      <c r="P695" s="136"/>
      <c r="Q695" s="136"/>
      <c r="R695" s="136"/>
      <c r="S695" s="136"/>
      <c r="T695" s="136"/>
      <c r="U695" s="136"/>
      <c r="V695" s="136"/>
    </row>
    <row r="696" spans="14:22" x14ac:dyDescent="0.35">
      <c r="N696" s="135"/>
      <c r="O696" s="136"/>
      <c r="P696" s="136"/>
      <c r="Q696" s="136"/>
      <c r="R696" s="136"/>
      <c r="S696" s="136"/>
      <c r="T696" s="136"/>
      <c r="U696" s="136"/>
      <c r="V696" s="136"/>
    </row>
    <row r="697" spans="14:22" x14ac:dyDescent="0.35">
      <c r="N697" s="135"/>
      <c r="O697" s="136"/>
      <c r="P697" s="136"/>
      <c r="Q697" s="136"/>
      <c r="R697" s="136"/>
      <c r="S697" s="136"/>
      <c r="T697" s="136"/>
      <c r="U697" s="136"/>
      <c r="V697" s="136"/>
    </row>
    <row r="698" spans="14:22" x14ac:dyDescent="0.35">
      <c r="N698" s="135"/>
      <c r="O698" s="136"/>
      <c r="P698" s="136"/>
      <c r="Q698" s="136"/>
      <c r="R698" s="136"/>
      <c r="S698" s="136"/>
      <c r="T698" s="136"/>
      <c r="U698" s="136"/>
      <c r="V698" s="136"/>
    </row>
    <row r="699" spans="14:22" x14ac:dyDescent="0.35">
      <c r="N699" s="135"/>
      <c r="O699" s="136"/>
      <c r="P699" s="136"/>
      <c r="Q699" s="136"/>
      <c r="R699" s="136"/>
      <c r="S699" s="136"/>
      <c r="T699" s="136"/>
      <c r="U699" s="136"/>
      <c r="V699" s="136"/>
    </row>
    <row r="700" spans="14:22" x14ac:dyDescent="0.35">
      <c r="N700" s="135"/>
      <c r="O700" s="136"/>
      <c r="P700" s="136"/>
      <c r="Q700" s="136"/>
      <c r="R700" s="136"/>
      <c r="S700" s="136"/>
      <c r="T700" s="136"/>
      <c r="U700" s="136"/>
      <c r="V700" s="136"/>
    </row>
    <row r="701" spans="14:22" x14ac:dyDescent="0.35">
      <c r="N701" s="135"/>
      <c r="O701" s="136"/>
      <c r="P701" s="136"/>
      <c r="Q701" s="136"/>
      <c r="R701" s="136"/>
      <c r="S701" s="136"/>
      <c r="T701" s="136"/>
      <c r="U701" s="136"/>
      <c r="V701" s="136"/>
    </row>
    <row r="702" spans="14:22" x14ac:dyDescent="0.35">
      <c r="N702" s="135"/>
      <c r="O702" s="136"/>
      <c r="P702" s="136"/>
      <c r="Q702" s="136"/>
      <c r="R702" s="136"/>
      <c r="S702" s="136"/>
      <c r="T702" s="136"/>
      <c r="U702" s="136"/>
      <c r="V702" s="136"/>
    </row>
    <row r="703" spans="14:22" x14ac:dyDescent="0.35">
      <c r="N703" s="135"/>
      <c r="O703" s="136"/>
      <c r="P703" s="136"/>
      <c r="Q703" s="136"/>
      <c r="R703" s="136"/>
      <c r="S703" s="136"/>
      <c r="T703" s="136"/>
      <c r="U703" s="136"/>
      <c r="V703" s="136"/>
    </row>
    <row r="704" spans="14:22" x14ac:dyDescent="0.35">
      <c r="N704" s="135"/>
      <c r="O704" s="136"/>
      <c r="P704" s="136"/>
      <c r="Q704" s="136"/>
      <c r="R704" s="136"/>
      <c r="S704" s="136"/>
      <c r="T704" s="136"/>
      <c r="U704" s="136"/>
      <c r="V704" s="136"/>
    </row>
    <row r="705" spans="14:22" x14ac:dyDescent="0.35">
      <c r="N705" s="135"/>
      <c r="O705" s="136"/>
      <c r="P705" s="136"/>
      <c r="Q705" s="136"/>
      <c r="R705" s="136"/>
      <c r="S705" s="136"/>
      <c r="T705" s="136"/>
      <c r="U705" s="136"/>
      <c r="V705" s="136"/>
    </row>
    <row r="706" spans="14:22" x14ac:dyDescent="0.35">
      <c r="N706" s="135"/>
      <c r="O706" s="136"/>
      <c r="P706" s="136"/>
      <c r="Q706" s="136"/>
      <c r="R706" s="136"/>
      <c r="S706" s="136"/>
      <c r="T706" s="136"/>
      <c r="U706" s="136"/>
      <c r="V706" s="136"/>
    </row>
    <row r="707" spans="14:22" x14ac:dyDescent="0.35">
      <c r="N707" s="135"/>
      <c r="O707" s="136"/>
      <c r="P707" s="136"/>
      <c r="Q707" s="136"/>
      <c r="R707" s="136"/>
      <c r="S707" s="136"/>
      <c r="T707" s="136"/>
      <c r="U707" s="136"/>
      <c r="V707" s="136"/>
    </row>
    <row r="708" spans="14:22" x14ac:dyDescent="0.35">
      <c r="N708" s="135"/>
      <c r="O708" s="136"/>
      <c r="P708" s="136"/>
      <c r="Q708" s="136"/>
      <c r="R708" s="136"/>
      <c r="S708" s="136"/>
      <c r="T708" s="136"/>
      <c r="U708" s="136"/>
      <c r="V708" s="136"/>
    </row>
    <row r="709" spans="14:22" x14ac:dyDescent="0.35">
      <c r="N709" s="135"/>
      <c r="O709" s="136"/>
      <c r="P709" s="136"/>
      <c r="Q709" s="136"/>
      <c r="R709" s="136"/>
      <c r="S709" s="136"/>
      <c r="T709" s="136"/>
      <c r="U709" s="136"/>
      <c r="V709" s="136"/>
    </row>
    <row r="710" spans="14:22" x14ac:dyDescent="0.35">
      <c r="N710" s="135"/>
      <c r="O710" s="136"/>
      <c r="P710" s="136"/>
      <c r="Q710" s="136"/>
      <c r="R710" s="136"/>
      <c r="S710" s="136"/>
      <c r="T710" s="136"/>
      <c r="U710" s="136"/>
      <c r="V710" s="136"/>
    </row>
    <row r="711" spans="14:22" x14ac:dyDescent="0.35">
      <c r="N711" s="135"/>
      <c r="O711" s="136"/>
      <c r="P711" s="136"/>
      <c r="Q711" s="136"/>
      <c r="R711" s="136"/>
      <c r="S711" s="136"/>
      <c r="T711" s="136"/>
      <c r="U711" s="136"/>
      <c r="V711" s="136"/>
    </row>
    <row r="712" spans="14:22" x14ac:dyDescent="0.35">
      <c r="N712" s="135"/>
      <c r="O712" s="136"/>
      <c r="P712" s="136"/>
      <c r="Q712" s="136"/>
      <c r="R712" s="136"/>
      <c r="S712" s="136"/>
      <c r="T712" s="136"/>
      <c r="U712" s="136"/>
      <c r="V712" s="136"/>
    </row>
    <row r="713" spans="14:22" x14ac:dyDescent="0.35">
      <c r="N713" s="135"/>
      <c r="O713" s="136"/>
      <c r="P713" s="136"/>
      <c r="Q713" s="136"/>
      <c r="R713" s="136"/>
      <c r="S713" s="136"/>
      <c r="T713" s="136"/>
      <c r="U713" s="136"/>
      <c r="V713" s="136"/>
    </row>
    <row r="714" spans="14:22" x14ac:dyDescent="0.35">
      <c r="N714" s="135"/>
      <c r="O714" s="136"/>
      <c r="P714" s="136"/>
      <c r="Q714" s="136"/>
      <c r="R714" s="136"/>
      <c r="S714" s="136"/>
      <c r="T714" s="136"/>
      <c r="U714" s="136"/>
      <c r="V714" s="136"/>
    </row>
    <row r="715" spans="14:22" x14ac:dyDescent="0.35">
      <c r="N715" s="135"/>
      <c r="O715" s="136"/>
      <c r="P715" s="136"/>
      <c r="Q715" s="136"/>
      <c r="R715" s="136"/>
      <c r="S715" s="136"/>
      <c r="T715" s="136"/>
      <c r="U715" s="136"/>
      <c r="V715" s="136"/>
    </row>
    <row r="716" spans="14:22" x14ac:dyDescent="0.35">
      <c r="N716" s="135"/>
      <c r="O716" s="136"/>
      <c r="P716" s="136"/>
      <c r="Q716" s="136"/>
      <c r="R716" s="136"/>
      <c r="S716" s="136"/>
      <c r="T716" s="136"/>
      <c r="U716" s="136"/>
      <c r="V716" s="136"/>
    </row>
    <row r="717" spans="14:22" x14ac:dyDescent="0.35">
      <c r="N717" s="135"/>
      <c r="O717" s="136"/>
      <c r="P717" s="136"/>
      <c r="Q717" s="136"/>
      <c r="R717" s="136"/>
      <c r="S717" s="136"/>
      <c r="T717" s="136"/>
      <c r="U717" s="136"/>
      <c r="V717" s="136"/>
    </row>
    <row r="718" spans="14:22" x14ac:dyDescent="0.35">
      <c r="N718" s="135"/>
      <c r="O718" s="136"/>
      <c r="P718" s="136"/>
      <c r="Q718" s="136"/>
      <c r="R718" s="136"/>
      <c r="S718" s="136"/>
      <c r="T718" s="136"/>
      <c r="U718" s="136"/>
      <c r="V718" s="136"/>
    </row>
    <row r="719" spans="14:22" x14ac:dyDescent="0.35">
      <c r="N719" s="135"/>
      <c r="O719" s="136"/>
      <c r="P719" s="136"/>
      <c r="Q719" s="136"/>
      <c r="R719" s="136"/>
      <c r="S719" s="136"/>
      <c r="T719" s="136"/>
      <c r="U719" s="136"/>
      <c r="V719" s="136"/>
    </row>
    <row r="720" spans="14:22" x14ac:dyDescent="0.35">
      <c r="N720" s="135"/>
      <c r="O720" s="136"/>
      <c r="P720" s="136"/>
      <c r="Q720" s="136"/>
      <c r="R720" s="136"/>
      <c r="S720" s="136"/>
      <c r="T720" s="136"/>
      <c r="U720" s="136"/>
      <c r="V720" s="136"/>
    </row>
    <row r="721" spans="14:22" x14ac:dyDescent="0.35">
      <c r="N721" s="135"/>
      <c r="O721" s="136"/>
      <c r="P721" s="136"/>
      <c r="Q721" s="136"/>
      <c r="R721" s="136"/>
      <c r="S721" s="136"/>
      <c r="T721" s="136"/>
      <c r="U721" s="136"/>
      <c r="V721" s="136"/>
    </row>
    <row r="722" spans="14:22" x14ac:dyDescent="0.35">
      <c r="N722" s="135"/>
      <c r="O722" s="136"/>
      <c r="P722" s="136"/>
      <c r="Q722" s="136"/>
      <c r="R722" s="136"/>
      <c r="S722" s="136"/>
      <c r="T722" s="136"/>
      <c r="U722" s="136"/>
      <c r="V722" s="136"/>
    </row>
    <row r="723" spans="14:22" x14ac:dyDescent="0.35">
      <c r="N723" s="135"/>
      <c r="O723" s="136"/>
      <c r="P723" s="136"/>
      <c r="Q723" s="136"/>
      <c r="R723" s="136"/>
      <c r="S723" s="136"/>
      <c r="T723" s="136"/>
      <c r="U723" s="136"/>
      <c r="V723" s="136"/>
    </row>
    <row r="724" spans="14:22" x14ac:dyDescent="0.35">
      <c r="N724" s="135"/>
      <c r="O724" s="136"/>
      <c r="P724" s="136"/>
      <c r="Q724" s="136"/>
      <c r="R724" s="136"/>
      <c r="S724" s="136"/>
      <c r="T724" s="136"/>
      <c r="U724" s="136"/>
      <c r="V724" s="136"/>
    </row>
    <row r="725" spans="14:22" x14ac:dyDescent="0.35">
      <c r="N725" s="135"/>
      <c r="O725" s="136"/>
      <c r="P725" s="136"/>
      <c r="Q725" s="136"/>
      <c r="R725" s="136"/>
      <c r="S725" s="136"/>
      <c r="T725" s="136"/>
      <c r="U725" s="136"/>
      <c r="V725" s="136"/>
    </row>
    <row r="726" spans="14:22" x14ac:dyDescent="0.35">
      <c r="N726" s="135"/>
      <c r="O726" s="136"/>
      <c r="P726" s="136"/>
      <c r="Q726" s="136"/>
      <c r="R726" s="136"/>
      <c r="S726" s="136"/>
      <c r="T726" s="136"/>
      <c r="U726" s="136"/>
      <c r="V726" s="136"/>
    </row>
    <row r="727" spans="14:22" x14ac:dyDescent="0.35">
      <c r="N727" s="135"/>
      <c r="O727" s="136"/>
      <c r="P727" s="136"/>
      <c r="Q727" s="136"/>
      <c r="R727" s="136"/>
      <c r="S727" s="136"/>
      <c r="T727" s="136"/>
      <c r="U727" s="136"/>
      <c r="V727" s="136"/>
    </row>
    <row r="728" spans="14:22" x14ac:dyDescent="0.35">
      <c r="N728" s="135"/>
      <c r="O728" s="136"/>
      <c r="P728" s="136"/>
      <c r="Q728" s="136"/>
      <c r="R728" s="136"/>
      <c r="S728" s="136"/>
      <c r="T728" s="136"/>
      <c r="U728" s="136"/>
      <c r="V728" s="136"/>
    </row>
    <row r="729" spans="14:22" x14ac:dyDescent="0.35">
      <c r="N729" s="135"/>
      <c r="O729" s="136"/>
      <c r="P729" s="136"/>
      <c r="Q729" s="136"/>
      <c r="R729" s="136"/>
      <c r="S729" s="136"/>
      <c r="T729" s="136"/>
      <c r="U729" s="136"/>
      <c r="V729" s="136"/>
    </row>
    <row r="730" spans="14:22" x14ac:dyDescent="0.35">
      <c r="N730" s="135"/>
      <c r="O730" s="136"/>
      <c r="P730" s="136"/>
      <c r="Q730" s="136"/>
      <c r="R730" s="136"/>
      <c r="S730" s="136"/>
      <c r="T730" s="136"/>
      <c r="U730" s="136"/>
      <c r="V730" s="136"/>
    </row>
    <row r="731" spans="14:22" x14ac:dyDescent="0.35">
      <c r="N731" s="135"/>
      <c r="O731" s="136"/>
      <c r="P731" s="136"/>
      <c r="Q731" s="136"/>
      <c r="R731" s="136"/>
      <c r="S731" s="136"/>
      <c r="T731" s="136"/>
      <c r="U731" s="136"/>
      <c r="V731" s="136"/>
    </row>
    <row r="732" spans="14:22" x14ac:dyDescent="0.35">
      <c r="N732" s="135"/>
      <c r="O732" s="136"/>
      <c r="P732" s="136"/>
      <c r="Q732" s="136"/>
      <c r="R732" s="136"/>
      <c r="S732" s="136"/>
      <c r="T732" s="136"/>
      <c r="U732" s="136"/>
      <c r="V732" s="136"/>
    </row>
    <row r="733" spans="14:22" x14ac:dyDescent="0.35">
      <c r="N733" s="135"/>
      <c r="O733" s="136"/>
      <c r="P733" s="136"/>
      <c r="Q733" s="136"/>
      <c r="R733" s="136"/>
      <c r="S733" s="136"/>
      <c r="T733" s="136"/>
      <c r="U733" s="136"/>
      <c r="V733" s="136"/>
    </row>
    <row r="734" spans="14:22" x14ac:dyDescent="0.35">
      <c r="N734" s="135"/>
      <c r="O734" s="136"/>
      <c r="P734" s="136"/>
      <c r="Q734" s="136"/>
      <c r="R734" s="136"/>
      <c r="S734" s="136"/>
      <c r="T734" s="136"/>
      <c r="U734" s="136"/>
      <c r="V734" s="136"/>
    </row>
    <row r="735" spans="14:22" x14ac:dyDescent="0.35">
      <c r="N735" s="135"/>
      <c r="O735" s="136"/>
      <c r="P735" s="136"/>
      <c r="Q735" s="136"/>
      <c r="R735" s="136"/>
      <c r="S735" s="136"/>
      <c r="T735" s="136"/>
      <c r="U735" s="136"/>
      <c r="V735" s="136"/>
    </row>
    <row r="736" spans="14:22" x14ac:dyDescent="0.35">
      <c r="N736" s="135"/>
      <c r="O736" s="136"/>
      <c r="P736" s="136"/>
      <c r="Q736" s="136"/>
      <c r="R736" s="136"/>
      <c r="S736" s="136"/>
      <c r="T736" s="136"/>
      <c r="U736" s="136"/>
      <c r="V736" s="136"/>
    </row>
    <row r="737" spans="14:22" x14ac:dyDescent="0.35">
      <c r="N737" s="135"/>
      <c r="O737" s="136"/>
      <c r="P737" s="136"/>
      <c r="Q737" s="136"/>
      <c r="R737" s="136"/>
      <c r="S737" s="136"/>
      <c r="T737" s="136"/>
      <c r="U737" s="136"/>
      <c r="V737" s="136"/>
    </row>
    <row r="738" spans="14:22" x14ac:dyDescent="0.35">
      <c r="N738" s="135"/>
      <c r="O738" s="136"/>
      <c r="P738" s="136"/>
      <c r="Q738" s="136"/>
      <c r="R738" s="136"/>
      <c r="S738" s="136"/>
      <c r="T738" s="136"/>
      <c r="U738" s="136"/>
      <c r="V738" s="136"/>
    </row>
    <row r="739" spans="14:22" x14ac:dyDescent="0.35">
      <c r="N739" s="135"/>
      <c r="O739" s="136"/>
      <c r="P739" s="136"/>
      <c r="Q739" s="136"/>
      <c r="R739" s="136"/>
      <c r="S739" s="136"/>
      <c r="T739" s="136"/>
      <c r="U739" s="136"/>
      <c r="V739" s="136"/>
    </row>
    <row r="740" spans="14:22" x14ac:dyDescent="0.35">
      <c r="N740" s="135"/>
      <c r="O740" s="136"/>
      <c r="P740" s="136"/>
      <c r="Q740" s="136"/>
      <c r="R740" s="136"/>
      <c r="S740" s="136"/>
      <c r="T740" s="136"/>
      <c r="U740" s="136"/>
      <c r="V740" s="136"/>
    </row>
    <row r="741" spans="14:22" x14ac:dyDescent="0.35">
      <c r="N741" s="135"/>
      <c r="O741" s="136"/>
      <c r="P741" s="136"/>
      <c r="Q741" s="136"/>
      <c r="R741" s="136"/>
      <c r="S741" s="136"/>
      <c r="T741" s="136"/>
      <c r="U741" s="136"/>
      <c r="V741" s="136"/>
    </row>
    <row r="742" spans="14:22" x14ac:dyDescent="0.35">
      <c r="N742" s="135"/>
      <c r="O742" s="136"/>
      <c r="P742" s="136"/>
      <c r="Q742" s="136"/>
      <c r="R742" s="136"/>
      <c r="S742" s="136"/>
      <c r="T742" s="136"/>
      <c r="U742" s="136"/>
      <c r="V742" s="136"/>
    </row>
    <row r="743" spans="14:22" x14ac:dyDescent="0.35">
      <c r="N743" s="135"/>
      <c r="O743" s="136"/>
      <c r="P743" s="136"/>
      <c r="Q743" s="136"/>
      <c r="R743" s="136"/>
      <c r="S743" s="136"/>
      <c r="T743" s="136"/>
      <c r="U743" s="136"/>
      <c r="V743" s="136"/>
    </row>
    <row r="744" spans="14:22" x14ac:dyDescent="0.35">
      <c r="N744" s="135"/>
      <c r="O744" s="136"/>
      <c r="P744" s="136"/>
      <c r="Q744" s="136"/>
      <c r="R744" s="136"/>
      <c r="S744" s="136"/>
      <c r="T744" s="136"/>
      <c r="U744" s="136"/>
      <c r="V744" s="136"/>
    </row>
    <row r="745" spans="14:22" x14ac:dyDescent="0.35">
      <c r="N745" s="135"/>
      <c r="O745" s="136"/>
      <c r="P745" s="136"/>
      <c r="Q745" s="136"/>
      <c r="R745" s="136"/>
      <c r="S745" s="136"/>
      <c r="T745" s="136"/>
      <c r="U745" s="136"/>
      <c r="V745" s="136"/>
    </row>
    <row r="746" spans="14:22" x14ac:dyDescent="0.35">
      <c r="N746" s="135"/>
      <c r="O746" s="136"/>
      <c r="P746" s="136"/>
      <c r="Q746" s="136"/>
      <c r="R746" s="136"/>
      <c r="S746" s="136"/>
      <c r="T746" s="136"/>
      <c r="U746" s="136"/>
      <c r="V746" s="136"/>
    </row>
    <row r="747" spans="14:22" x14ac:dyDescent="0.35">
      <c r="N747" s="135"/>
      <c r="O747" s="136"/>
      <c r="P747" s="136"/>
      <c r="Q747" s="136"/>
      <c r="R747" s="136"/>
      <c r="S747" s="136"/>
      <c r="T747" s="136"/>
      <c r="U747" s="136"/>
      <c r="V747" s="136"/>
    </row>
    <row r="748" spans="14:22" x14ac:dyDescent="0.35">
      <c r="N748" s="135"/>
      <c r="O748" s="136"/>
      <c r="P748" s="136"/>
      <c r="Q748" s="136"/>
      <c r="R748" s="136"/>
      <c r="S748" s="136"/>
      <c r="T748" s="136"/>
      <c r="U748" s="136"/>
      <c r="V748" s="136"/>
    </row>
    <row r="749" spans="14:22" x14ac:dyDescent="0.35">
      <c r="N749" s="135"/>
      <c r="O749" s="136"/>
      <c r="P749" s="136"/>
      <c r="Q749" s="136"/>
      <c r="R749" s="136"/>
      <c r="S749" s="136"/>
      <c r="T749" s="136"/>
      <c r="U749" s="136"/>
      <c r="V749" s="136"/>
    </row>
    <row r="750" spans="14:22" x14ac:dyDescent="0.35">
      <c r="N750" s="135"/>
      <c r="O750" s="136"/>
      <c r="P750" s="136"/>
      <c r="Q750" s="136"/>
      <c r="R750" s="136"/>
      <c r="S750" s="136"/>
      <c r="T750" s="136"/>
      <c r="U750" s="136"/>
      <c r="V750" s="136"/>
    </row>
    <row r="751" spans="14:22" x14ac:dyDescent="0.35">
      <c r="N751" s="135"/>
      <c r="O751" s="136"/>
      <c r="P751" s="136"/>
      <c r="Q751" s="136"/>
      <c r="R751" s="136"/>
      <c r="S751" s="136"/>
      <c r="T751" s="136"/>
      <c r="U751" s="136"/>
      <c r="V751" s="136"/>
    </row>
    <row r="752" spans="14:22" x14ac:dyDescent="0.35">
      <c r="N752" s="135"/>
      <c r="O752" s="136"/>
      <c r="P752" s="136"/>
      <c r="Q752" s="136"/>
      <c r="R752" s="136"/>
      <c r="S752" s="136"/>
      <c r="T752" s="136"/>
      <c r="U752" s="136"/>
      <c r="V752" s="136"/>
    </row>
    <row r="753" spans="14:22" x14ac:dyDescent="0.35">
      <c r="N753" s="135"/>
      <c r="O753" s="136"/>
      <c r="P753" s="136"/>
      <c r="Q753" s="136"/>
      <c r="R753" s="136"/>
      <c r="S753" s="136"/>
      <c r="T753" s="136"/>
      <c r="U753" s="136"/>
      <c r="V753" s="136"/>
    </row>
    <row r="754" spans="14:22" x14ac:dyDescent="0.35">
      <c r="N754" s="135"/>
      <c r="O754" s="136"/>
      <c r="P754" s="136"/>
      <c r="Q754" s="136"/>
      <c r="R754" s="136"/>
      <c r="S754" s="136"/>
      <c r="T754" s="136"/>
      <c r="U754" s="136"/>
      <c r="V754" s="136"/>
    </row>
    <row r="755" spans="14:22" x14ac:dyDescent="0.35">
      <c r="N755" s="135"/>
      <c r="O755" s="136"/>
      <c r="P755" s="136"/>
      <c r="Q755" s="136"/>
      <c r="R755" s="136"/>
      <c r="S755" s="136"/>
      <c r="T755" s="136"/>
      <c r="U755" s="136"/>
      <c r="V755" s="136"/>
    </row>
    <row r="756" spans="14:22" x14ac:dyDescent="0.35">
      <c r="N756" s="135"/>
      <c r="O756" s="136"/>
      <c r="P756" s="136"/>
      <c r="Q756" s="136"/>
      <c r="R756" s="136"/>
      <c r="S756" s="136"/>
      <c r="T756" s="136"/>
      <c r="U756" s="136"/>
      <c r="V756" s="136"/>
    </row>
    <row r="757" spans="14:22" x14ac:dyDescent="0.35">
      <c r="N757" s="135"/>
      <c r="O757" s="136"/>
      <c r="P757" s="136"/>
      <c r="Q757" s="136"/>
      <c r="R757" s="136"/>
      <c r="S757" s="136"/>
      <c r="T757" s="136"/>
      <c r="U757" s="136"/>
      <c r="V757" s="136"/>
    </row>
    <row r="758" spans="14:22" x14ac:dyDescent="0.35">
      <c r="N758" s="135"/>
      <c r="O758" s="136"/>
      <c r="P758" s="136"/>
      <c r="Q758" s="136"/>
      <c r="R758" s="136"/>
      <c r="S758" s="136"/>
      <c r="T758" s="136"/>
      <c r="U758" s="136"/>
      <c r="V758" s="136"/>
    </row>
    <row r="759" spans="14:22" x14ac:dyDescent="0.35">
      <c r="N759" s="135"/>
      <c r="O759" s="136"/>
      <c r="P759" s="136"/>
      <c r="Q759" s="136"/>
      <c r="R759" s="136"/>
      <c r="S759" s="136"/>
      <c r="T759" s="136"/>
      <c r="U759" s="136"/>
      <c r="V759" s="136"/>
    </row>
    <row r="760" spans="14:22" x14ac:dyDescent="0.35">
      <c r="N760" s="135"/>
      <c r="O760" s="136"/>
      <c r="P760" s="136"/>
      <c r="Q760" s="136"/>
      <c r="R760" s="136"/>
      <c r="S760" s="136"/>
      <c r="T760" s="136"/>
      <c r="U760" s="136"/>
      <c r="V760" s="136"/>
    </row>
    <row r="761" spans="14:22" x14ac:dyDescent="0.35">
      <c r="N761" s="135"/>
      <c r="O761" s="136"/>
      <c r="P761" s="136"/>
      <c r="Q761" s="136"/>
      <c r="R761" s="136"/>
      <c r="S761" s="136"/>
      <c r="T761" s="136"/>
      <c r="U761" s="136"/>
      <c r="V761" s="136"/>
    </row>
    <row r="762" spans="14:22" x14ac:dyDescent="0.35">
      <c r="N762" s="135"/>
      <c r="O762" s="136"/>
      <c r="P762" s="136"/>
      <c r="Q762" s="136"/>
      <c r="R762" s="136"/>
      <c r="S762" s="136"/>
      <c r="T762" s="136"/>
      <c r="U762" s="136"/>
      <c r="V762" s="136"/>
    </row>
    <row r="763" spans="14:22" x14ac:dyDescent="0.35">
      <c r="N763" s="135"/>
      <c r="O763" s="136"/>
      <c r="P763" s="136"/>
      <c r="Q763" s="136"/>
      <c r="R763" s="136"/>
      <c r="S763" s="136"/>
      <c r="T763" s="136"/>
      <c r="U763" s="136"/>
      <c r="V763" s="136"/>
    </row>
    <row r="764" spans="14:22" x14ac:dyDescent="0.35">
      <c r="N764" s="135"/>
      <c r="O764" s="136"/>
      <c r="P764" s="136"/>
      <c r="Q764" s="136"/>
      <c r="R764" s="136"/>
      <c r="S764" s="136"/>
      <c r="T764" s="136"/>
      <c r="U764" s="136"/>
      <c r="V764" s="136"/>
    </row>
    <row r="765" spans="14:22" x14ac:dyDescent="0.35">
      <c r="N765" s="135"/>
      <c r="O765" s="136"/>
      <c r="P765" s="136"/>
      <c r="Q765" s="136"/>
      <c r="R765" s="136"/>
      <c r="S765" s="136"/>
      <c r="T765" s="136"/>
      <c r="U765" s="136"/>
      <c r="V765" s="136"/>
    </row>
    <row r="766" spans="14:22" x14ac:dyDescent="0.35">
      <c r="N766" s="135"/>
      <c r="O766" s="136"/>
      <c r="P766" s="136"/>
      <c r="Q766" s="136"/>
      <c r="R766" s="136"/>
      <c r="S766" s="136"/>
      <c r="T766" s="136"/>
      <c r="U766" s="136"/>
      <c r="V766" s="136"/>
    </row>
    <row r="767" spans="14:22" x14ac:dyDescent="0.35">
      <c r="N767" s="135"/>
      <c r="O767" s="136"/>
      <c r="P767" s="136"/>
      <c r="Q767" s="136"/>
      <c r="R767" s="136"/>
      <c r="S767" s="136"/>
      <c r="T767" s="136"/>
      <c r="U767" s="136"/>
      <c r="V767" s="136"/>
    </row>
    <row r="768" spans="14:22" x14ac:dyDescent="0.35">
      <c r="N768" s="135"/>
      <c r="O768" s="136"/>
      <c r="P768" s="136"/>
      <c r="Q768" s="136"/>
      <c r="R768" s="136"/>
      <c r="S768" s="136"/>
      <c r="T768" s="136"/>
      <c r="U768" s="136"/>
      <c r="V768" s="136"/>
    </row>
    <row r="769" spans="14:22" x14ac:dyDescent="0.35">
      <c r="N769" s="135"/>
      <c r="O769" s="136"/>
      <c r="P769" s="136"/>
      <c r="Q769" s="136"/>
      <c r="R769" s="136"/>
      <c r="S769" s="136"/>
      <c r="T769" s="136"/>
      <c r="U769" s="136"/>
      <c r="V769" s="136"/>
    </row>
    <row r="770" spans="14:22" x14ac:dyDescent="0.35">
      <c r="N770" s="135"/>
      <c r="O770" s="136"/>
      <c r="P770" s="136"/>
      <c r="Q770" s="136"/>
      <c r="R770" s="136"/>
      <c r="S770" s="136"/>
      <c r="T770" s="136"/>
      <c r="U770" s="136"/>
      <c r="V770" s="136"/>
    </row>
    <row r="771" spans="14:22" x14ac:dyDescent="0.35">
      <c r="N771" s="135"/>
      <c r="O771" s="136"/>
      <c r="P771" s="136"/>
      <c r="Q771" s="136"/>
      <c r="R771" s="136"/>
      <c r="S771" s="136"/>
      <c r="T771" s="136"/>
      <c r="U771" s="136"/>
      <c r="V771" s="136"/>
    </row>
    <row r="772" spans="14:22" x14ac:dyDescent="0.35">
      <c r="N772" s="135"/>
      <c r="O772" s="136"/>
      <c r="P772" s="136"/>
      <c r="Q772" s="136"/>
      <c r="R772" s="136"/>
      <c r="S772" s="136"/>
      <c r="T772" s="136"/>
      <c r="U772" s="136"/>
      <c r="V772" s="136"/>
    </row>
    <row r="773" spans="14:22" x14ac:dyDescent="0.35">
      <c r="N773" s="135"/>
      <c r="O773" s="136"/>
      <c r="P773" s="136"/>
      <c r="Q773" s="136"/>
      <c r="R773" s="136"/>
      <c r="S773" s="136"/>
      <c r="T773" s="136"/>
      <c r="U773" s="136"/>
      <c r="V773" s="136"/>
    </row>
    <row r="774" spans="14:22" x14ac:dyDescent="0.35">
      <c r="N774" s="135"/>
      <c r="O774" s="136"/>
      <c r="P774" s="136"/>
      <c r="Q774" s="136"/>
      <c r="R774" s="136"/>
      <c r="S774" s="136"/>
      <c r="T774" s="136"/>
      <c r="U774" s="136"/>
      <c r="V774" s="136"/>
    </row>
    <row r="775" spans="14:22" x14ac:dyDescent="0.35">
      <c r="N775" s="135"/>
      <c r="O775" s="136"/>
      <c r="P775" s="136"/>
      <c r="Q775" s="136"/>
      <c r="R775" s="136"/>
      <c r="S775" s="136"/>
      <c r="T775" s="136"/>
      <c r="U775" s="136"/>
      <c r="V775" s="136"/>
    </row>
    <row r="776" spans="14:22" x14ac:dyDescent="0.35">
      <c r="N776" s="135"/>
      <c r="O776" s="136"/>
      <c r="P776" s="136"/>
      <c r="Q776" s="136"/>
      <c r="R776" s="136"/>
      <c r="S776" s="136"/>
      <c r="T776" s="136"/>
      <c r="U776" s="136"/>
      <c r="V776" s="136"/>
    </row>
    <row r="777" spans="14:22" x14ac:dyDescent="0.35">
      <c r="N777" s="135"/>
      <c r="O777" s="136"/>
      <c r="P777" s="136"/>
      <c r="Q777" s="136"/>
      <c r="R777" s="136"/>
      <c r="S777" s="136"/>
      <c r="T777" s="136"/>
      <c r="U777" s="136"/>
      <c r="V777" s="136"/>
    </row>
    <row r="778" spans="14:22" x14ac:dyDescent="0.35">
      <c r="N778" s="135"/>
      <c r="O778" s="136"/>
      <c r="P778" s="136"/>
      <c r="Q778" s="136"/>
      <c r="R778" s="136"/>
      <c r="S778" s="136"/>
      <c r="T778" s="136"/>
      <c r="U778" s="136"/>
      <c r="V778" s="136"/>
    </row>
    <row r="779" spans="14:22" x14ac:dyDescent="0.35">
      <c r="N779" s="135"/>
      <c r="O779" s="136"/>
      <c r="P779" s="136"/>
      <c r="Q779" s="136"/>
      <c r="R779" s="136"/>
      <c r="S779" s="136"/>
      <c r="T779" s="136"/>
      <c r="U779" s="136"/>
      <c r="V779" s="136"/>
    </row>
    <row r="780" spans="14:22" x14ac:dyDescent="0.35">
      <c r="N780" s="135"/>
      <c r="O780" s="136"/>
      <c r="P780" s="136"/>
      <c r="Q780" s="136"/>
      <c r="R780" s="136"/>
      <c r="S780" s="136"/>
      <c r="T780" s="136"/>
      <c r="U780" s="136"/>
      <c r="V780" s="136"/>
    </row>
    <row r="781" spans="14:22" x14ac:dyDescent="0.35">
      <c r="N781" s="135"/>
      <c r="O781" s="136"/>
      <c r="P781" s="136"/>
      <c r="Q781" s="136"/>
      <c r="R781" s="136"/>
      <c r="S781" s="136"/>
      <c r="T781" s="136"/>
      <c r="U781" s="136"/>
      <c r="V781" s="136"/>
    </row>
    <row r="782" spans="14:22" x14ac:dyDescent="0.35">
      <c r="N782" s="135"/>
      <c r="O782" s="136"/>
      <c r="P782" s="136"/>
      <c r="Q782" s="136"/>
      <c r="R782" s="136"/>
      <c r="S782" s="136"/>
      <c r="T782" s="136"/>
      <c r="U782" s="136"/>
      <c r="V782" s="136"/>
    </row>
    <row r="783" spans="14:22" x14ac:dyDescent="0.35">
      <c r="N783" s="135"/>
      <c r="O783" s="136"/>
      <c r="P783" s="136"/>
      <c r="Q783" s="136"/>
      <c r="R783" s="136"/>
      <c r="S783" s="136"/>
      <c r="T783" s="136"/>
      <c r="U783" s="136"/>
      <c r="V783" s="136"/>
    </row>
    <row r="784" spans="14:22" x14ac:dyDescent="0.35">
      <c r="N784" s="135"/>
      <c r="O784" s="136"/>
      <c r="P784" s="136"/>
      <c r="Q784" s="136"/>
      <c r="R784" s="136"/>
      <c r="S784" s="136"/>
      <c r="T784" s="136"/>
      <c r="U784" s="136"/>
      <c r="V784" s="136"/>
    </row>
    <row r="785" spans="14:22" x14ac:dyDescent="0.35">
      <c r="N785" s="135"/>
      <c r="O785" s="136"/>
      <c r="P785" s="136"/>
      <c r="Q785" s="136"/>
      <c r="R785" s="136"/>
      <c r="S785" s="136"/>
      <c r="T785" s="136"/>
      <c r="U785" s="136"/>
      <c r="V785" s="136"/>
    </row>
    <row r="786" spans="14:22" x14ac:dyDescent="0.35">
      <c r="N786" s="135"/>
      <c r="O786" s="136"/>
      <c r="P786" s="136"/>
      <c r="Q786" s="136"/>
      <c r="R786" s="136"/>
      <c r="S786" s="136"/>
      <c r="T786" s="136"/>
      <c r="U786" s="136"/>
      <c r="V786" s="136"/>
    </row>
    <row r="787" spans="14:22" x14ac:dyDescent="0.35">
      <c r="N787" s="135"/>
      <c r="O787" s="136"/>
      <c r="P787" s="136"/>
      <c r="Q787" s="136"/>
      <c r="R787" s="136"/>
      <c r="S787" s="136"/>
      <c r="T787" s="136"/>
      <c r="U787" s="136"/>
      <c r="V787" s="136"/>
    </row>
    <row r="788" spans="14:22" x14ac:dyDescent="0.35">
      <c r="N788" s="135"/>
      <c r="O788" s="136"/>
      <c r="P788" s="136"/>
      <c r="Q788" s="136"/>
      <c r="R788" s="136"/>
      <c r="S788" s="136"/>
      <c r="T788" s="136"/>
      <c r="U788" s="136"/>
      <c r="V788" s="136"/>
    </row>
    <row r="789" spans="14:22" x14ac:dyDescent="0.35">
      <c r="N789" s="135"/>
      <c r="O789" s="136"/>
      <c r="P789" s="136"/>
      <c r="Q789" s="136"/>
      <c r="R789" s="136"/>
      <c r="S789" s="136"/>
      <c r="T789" s="136"/>
      <c r="U789" s="136"/>
      <c r="V789" s="136"/>
    </row>
    <row r="790" spans="14:22" x14ac:dyDescent="0.35">
      <c r="N790" s="135"/>
      <c r="O790" s="136"/>
      <c r="P790" s="136"/>
      <c r="Q790" s="136"/>
      <c r="R790" s="136"/>
      <c r="S790" s="136"/>
      <c r="T790" s="136"/>
      <c r="U790" s="136"/>
      <c r="V790" s="136"/>
    </row>
    <row r="791" spans="14:22" x14ac:dyDescent="0.35">
      <c r="N791" s="135"/>
      <c r="O791" s="136"/>
      <c r="P791" s="136"/>
      <c r="Q791" s="136"/>
      <c r="R791" s="136"/>
      <c r="S791" s="136"/>
      <c r="T791" s="136"/>
      <c r="U791" s="136"/>
      <c r="V791" s="136"/>
    </row>
    <row r="792" spans="14:22" x14ac:dyDescent="0.35">
      <c r="N792" s="135"/>
      <c r="O792" s="136"/>
      <c r="P792" s="136"/>
      <c r="Q792" s="136"/>
      <c r="R792" s="136"/>
      <c r="S792" s="136"/>
      <c r="T792" s="136"/>
      <c r="U792" s="136"/>
      <c r="V792" s="136"/>
    </row>
    <row r="793" spans="14:22" x14ac:dyDescent="0.35">
      <c r="N793" s="135"/>
      <c r="O793" s="136"/>
      <c r="P793" s="136"/>
      <c r="Q793" s="136"/>
      <c r="R793" s="136"/>
      <c r="S793" s="136"/>
      <c r="T793" s="136"/>
      <c r="U793" s="136"/>
      <c r="V793" s="136"/>
    </row>
    <row r="794" spans="14:22" x14ac:dyDescent="0.35">
      <c r="N794" s="135"/>
      <c r="O794" s="136"/>
      <c r="P794" s="136"/>
      <c r="Q794" s="136"/>
      <c r="R794" s="136"/>
      <c r="S794" s="136"/>
      <c r="T794" s="136"/>
      <c r="U794" s="136"/>
      <c r="V794" s="136"/>
    </row>
    <row r="795" spans="14:22" x14ac:dyDescent="0.35">
      <c r="N795" s="135"/>
      <c r="O795" s="136"/>
      <c r="P795" s="136"/>
      <c r="Q795" s="136"/>
      <c r="R795" s="136"/>
      <c r="S795" s="136"/>
      <c r="T795" s="136"/>
      <c r="U795" s="136"/>
      <c r="V795" s="136"/>
    </row>
    <row r="796" spans="14:22" x14ac:dyDescent="0.35">
      <c r="N796" s="135"/>
      <c r="O796" s="136"/>
      <c r="P796" s="136"/>
      <c r="Q796" s="136"/>
      <c r="R796" s="136"/>
      <c r="S796" s="136"/>
      <c r="T796" s="136"/>
      <c r="U796" s="136"/>
      <c r="V796" s="136"/>
    </row>
    <row r="797" spans="14:22" x14ac:dyDescent="0.35">
      <c r="N797" s="135"/>
      <c r="O797" s="136"/>
      <c r="P797" s="136"/>
      <c r="Q797" s="136"/>
      <c r="R797" s="136"/>
      <c r="S797" s="136"/>
      <c r="T797" s="136"/>
      <c r="U797" s="136"/>
      <c r="V797" s="136"/>
    </row>
    <row r="798" spans="14:22" x14ac:dyDescent="0.35">
      <c r="N798" s="135"/>
      <c r="O798" s="136"/>
      <c r="P798" s="136"/>
      <c r="Q798" s="136"/>
      <c r="R798" s="136"/>
      <c r="S798" s="136"/>
      <c r="T798" s="136"/>
      <c r="U798" s="136"/>
      <c r="V798" s="136"/>
    </row>
    <row r="799" spans="14:22" x14ac:dyDescent="0.35">
      <c r="N799" s="135"/>
      <c r="O799" s="136"/>
      <c r="P799" s="136"/>
      <c r="Q799" s="136"/>
      <c r="R799" s="136"/>
      <c r="S799" s="136"/>
      <c r="T799" s="136"/>
      <c r="U799" s="136"/>
      <c r="V799" s="136"/>
    </row>
    <row r="800" spans="14:22" x14ac:dyDescent="0.35">
      <c r="N800" s="135"/>
      <c r="O800" s="136"/>
      <c r="P800" s="136"/>
      <c r="Q800" s="136"/>
      <c r="R800" s="136"/>
      <c r="S800" s="136"/>
      <c r="T800" s="136"/>
      <c r="U800" s="136"/>
      <c r="V800" s="136"/>
    </row>
    <row r="801" spans="14:22" x14ac:dyDescent="0.35">
      <c r="N801" s="135"/>
      <c r="O801" s="136"/>
      <c r="P801" s="136"/>
      <c r="Q801" s="136"/>
      <c r="R801" s="136"/>
      <c r="S801" s="136"/>
      <c r="T801" s="136"/>
      <c r="U801" s="136"/>
      <c r="V801" s="136"/>
    </row>
    <row r="802" spans="14:22" x14ac:dyDescent="0.35">
      <c r="N802" s="135"/>
      <c r="O802" s="136"/>
      <c r="P802" s="136"/>
      <c r="Q802" s="136"/>
      <c r="R802" s="136"/>
      <c r="S802" s="136"/>
      <c r="T802" s="136"/>
      <c r="U802" s="136"/>
      <c r="V802" s="136"/>
    </row>
    <row r="803" spans="14:22" x14ac:dyDescent="0.35">
      <c r="N803" s="135"/>
      <c r="O803" s="136"/>
      <c r="P803" s="136"/>
      <c r="Q803" s="136"/>
      <c r="R803" s="136"/>
      <c r="S803" s="136"/>
      <c r="T803" s="136"/>
      <c r="U803" s="136"/>
      <c r="V803" s="136"/>
    </row>
    <row r="804" spans="14:22" x14ac:dyDescent="0.35">
      <c r="N804" s="135"/>
      <c r="O804" s="136"/>
      <c r="P804" s="136"/>
      <c r="Q804" s="136"/>
      <c r="R804" s="136"/>
      <c r="S804" s="136"/>
      <c r="T804" s="136"/>
      <c r="U804" s="136"/>
      <c r="V804" s="136"/>
    </row>
    <row r="805" spans="14:22" x14ac:dyDescent="0.35">
      <c r="N805" s="135"/>
      <c r="O805" s="136"/>
      <c r="P805" s="136"/>
      <c r="Q805" s="136"/>
      <c r="R805" s="136"/>
      <c r="S805" s="136"/>
      <c r="T805" s="136"/>
      <c r="U805" s="136"/>
      <c r="V805" s="136"/>
    </row>
    <row r="806" spans="14:22" x14ac:dyDescent="0.35">
      <c r="N806" s="135"/>
      <c r="O806" s="136"/>
      <c r="P806" s="136"/>
      <c r="Q806" s="136"/>
      <c r="R806" s="136"/>
      <c r="S806" s="136"/>
      <c r="T806" s="136"/>
      <c r="U806" s="136"/>
      <c r="V806" s="136"/>
    </row>
    <row r="807" spans="14:22" x14ac:dyDescent="0.35">
      <c r="N807" s="135"/>
      <c r="O807" s="136"/>
      <c r="P807" s="136"/>
      <c r="Q807" s="136"/>
      <c r="R807" s="136"/>
      <c r="S807" s="136"/>
      <c r="T807" s="136"/>
      <c r="U807" s="136"/>
      <c r="V807" s="136"/>
    </row>
    <row r="808" spans="14:22" x14ac:dyDescent="0.35">
      <c r="N808" s="135"/>
      <c r="O808" s="136"/>
      <c r="P808" s="136"/>
      <c r="Q808" s="136"/>
      <c r="R808" s="136"/>
      <c r="S808" s="136"/>
      <c r="T808" s="136"/>
      <c r="U808" s="136"/>
      <c r="V808" s="136"/>
    </row>
    <row r="809" spans="14:22" x14ac:dyDescent="0.35">
      <c r="N809" s="135"/>
      <c r="O809" s="136"/>
      <c r="P809" s="136"/>
      <c r="Q809" s="136"/>
      <c r="R809" s="136"/>
      <c r="S809" s="136"/>
      <c r="T809" s="136"/>
      <c r="U809" s="136"/>
      <c r="V809" s="136"/>
    </row>
    <row r="810" spans="14:22" x14ac:dyDescent="0.35">
      <c r="N810" s="135"/>
      <c r="O810" s="136"/>
      <c r="P810" s="136"/>
      <c r="Q810" s="136"/>
      <c r="R810" s="136"/>
      <c r="S810" s="136"/>
      <c r="T810" s="136"/>
      <c r="U810" s="136"/>
      <c r="V810" s="136"/>
    </row>
    <row r="811" spans="14:22" x14ac:dyDescent="0.35">
      <c r="N811" s="135"/>
      <c r="O811" s="136"/>
      <c r="P811" s="136"/>
      <c r="Q811" s="136"/>
      <c r="R811" s="136"/>
      <c r="S811" s="136"/>
      <c r="T811" s="136"/>
      <c r="U811" s="136"/>
      <c r="V811" s="136"/>
    </row>
    <row r="812" spans="14:22" x14ac:dyDescent="0.35">
      <c r="N812" s="135"/>
      <c r="O812" s="136"/>
      <c r="P812" s="136"/>
      <c r="Q812" s="136"/>
      <c r="R812" s="136"/>
      <c r="S812" s="136"/>
      <c r="T812" s="136"/>
      <c r="U812" s="136"/>
      <c r="V812" s="136"/>
    </row>
    <row r="813" spans="14:22" x14ac:dyDescent="0.35">
      <c r="N813" s="135"/>
      <c r="O813" s="136"/>
      <c r="P813" s="136"/>
      <c r="Q813" s="136"/>
      <c r="R813" s="136"/>
      <c r="S813" s="136"/>
      <c r="T813" s="136"/>
      <c r="U813" s="136"/>
      <c r="V813" s="136"/>
    </row>
    <row r="814" spans="14:22" x14ac:dyDescent="0.35">
      <c r="N814" s="135"/>
      <c r="O814" s="136"/>
      <c r="P814" s="136"/>
      <c r="Q814" s="136"/>
      <c r="R814" s="136"/>
      <c r="S814" s="136"/>
      <c r="T814" s="136"/>
      <c r="U814" s="136"/>
      <c r="V814" s="136"/>
    </row>
    <row r="815" spans="14:22" x14ac:dyDescent="0.35">
      <c r="N815" s="135"/>
      <c r="O815" s="136"/>
      <c r="P815" s="136"/>
      <c r="Q815" s="136"/>
      <c r="R815" s="136"/>
      <c r="S815" s="136"/>
      <c r="T815" s="136"/>
      <c r="U815" s="136"/>
      <c r="V815" s="136"/>
    </row>
    <row r="816" spans="14:22" x14ac:dyDescent="0.35">
      <c r="N816" s="135"/>
      <c r="O816" s="136"/>
      <c r="P816" s="136"/>
      <c r="Q816" s="136"/>
      <c r="R816" s="136"/>
      <c r="S816" s="136"/>
      <c r="T816" s="136"/>
      <c r="U816" s="136"/>
      <c r="V816" s="136"/>
    </row>
    <row r="817" spans="14:22" x14ac:dyDescent="0.35">
      <c r="N817" s="135"/>
      <c r="O817" s="136"/>
      <c r="P817" s="136"/>
      <c r="Q817" s="136"/>
      <c r="R817" s="136"/>
      <c r="S817" s="136"/>
      <c r="T817" s="136"/>
      <c r="U817" s="136"/>
      <c r="V817" s="136"/>
    </row>
    <row r="818" spans="14:22" x14ac:dyDescent="0.35">
      <c r="N818" s="135"/>
      <c r="O818" s="136"/>
      <c r="P818" s="136"/>
      <c r="Q818" s="136"/>
      <c r="R818" s="136"/>
      <c r="S818" s="136"/>
      <c r="T818" s="136"/>
      <c r="U818" s="136"/>
      <c r="V818" s="136"/>
    </row>
    <row r="819" spans="14:22" x14ac:dyDescent="0.35">
      <c r="N819" s="135"/>
      <c r="O819" s="136"/>
      <c r="P819" s="136"/>
      <c r="Q819" s="136"/>
      <c r="R819" s="136"/>
      <c r="S819" s="136"/>
      <c r="T819" s="136"/>
      <c r="U819" s="136"/>
      <c r="V819" s="136"/>
    </row>
    <row r="820" spans="14:22" x14ac:dyDescent="0.35">
      <c r="N820" s="135"/>
      <c r="O820" s="136"/>
      <c r="P820" s="136"/>
      <c r="Q820" s="136"/>
      <c r="R820" s="136"/>
      <c r="S820" s="136"/>
      <c r="T820" s="136"/>
      <c r="U820" s="136"/>
      <c r="V820" s="136"/>
    </row>
    <row r="821" spans="14:22" x14ac:dyDescent="0.35">
      <c r="N821" s="135"/>
      <c r="O821" s="136"/>
      <c r="P821" s="136"/>
      <c r="Q821" s="136"/>
      <c r="R821" s="136"/>
      <c r="S821" s="136"/>
      <c r="T821" s="136"/>
      <c r="U821" s="136"/>
      <c r="V821" s="136"/>
    </row>
    <row r="822" spans="14:22" x14ac:dyDescent="0.35">
      <c r="N822" s="135"/>
      <c r="O822" s="136"/>
      <c r="P822" s="136"/>
      <c r="Q822" s="136"/>
      <c r="R822" s="136"/>
      <c r="S822" s="136"/>
      <c r="T822" s="136"/>
      <c r="U822" s="136"/>
      <c r="V822" s="136"/>
    </row>
    <row r="823" spans="14:22" x14ac:dyDescent="0.35">
      <c r="N823" s="135"/>
      <c r="O823" s="136"/>
      <c r="P823" s="136"/>
      <c r="Q823" s="136"/>
      <c r="R823" s="136"/>
      <c r="S823" s="136"/>
      <c r="T823" s="136"/>
      <c r="U823" s="136"/>
      <c r="V823" s="136"/>
    </row>
    <row r="824" spans="14:22" x14ac:dyDescent="0.35">
      <c r="N824" s="135"/>
      <c r="O824" s="136"/>
      <c r="P824" s="136"/>
      <c r="Q824" s="136"/>
      <c r="R824" s="136"/>
      <c r="S824" s="136"/>
      <c r="T824" s="136"/>
      <c r="U824" s="136"/>
      <c r="V824" s="136"/>
    </row>
    <row r="825" spans="14:22" x14ac:dyDescent="0.35">
      <c r="N825" s="135"/>
      <c r="O825" s="136"/>
      <c r="P825" s="136"/>
      <c r="Q825" s="136"/>
      <c r="R825" s="136"/>
      <c r="S825" s="136"/>
      <c r="T825" s="136"/>
      <c r="U825" s="136"/>
      <c r="V825" s="136"/>
    </row>
    <row r="826" spans="14:22" x14ac:dyDescent="0.35">
      <c r="N826" s="135"/>
      <c r="O826" s="136"/>
      <c r="P826" s="136"/>
      <c r="Q826" s="136"/>
      <c r="R826" s="136"/>
      <c r="S826" s="136"/>
      <c r="T826" s="136"/>
      <c r="U826" s="136"/>
      <c r="V826" s="136"/>
    </row>
    <row r="827" spans="14:22" x14ac:dyDescent="0.35">
      <c r="N827" s="135"/>
      <c r="O827" s="136"/>
      <c r="P827" s="136"/>
      <c r="Q827" s="136"/>
      <c r="R827" s="136"/>
      <c r="S827" s="136"/>
      <c r="T827" s="136"/>
      <c r="U827" s="136"/>
      <c r="V827" s="136"/>
    </row>
    <row r="828" spans="14:22" x14ac:dyDescent="0.35">
      <c r="N828" s="135"/>
      <c r="O828" s="136"/>
      <c r="P828" s="136"/>
      <c r="Q828" s="136"/>
      <c r="R828" s="136"/>
      <c r="S828" s="136"/>
      <c r="T828" s="136"/>
      <c r="U828" s="136"/>
      <c r="V828" s="136"/>
    </row>
    <row r="829" spans="14:22" x14ac:dyDescent="0.35">
      <c r="N829" s="135"/>
      <c r="O829" s="136"/>
      <c r="P829" s="136"/>
      <c r="Q829" s="136"/>
      <c r="R829" s="136"/>
      <c r="S829" s="136"/>
      <c r="T829" s="136"/>
      <c r="U829" s="136"/>
      <c r="V829" s="136"/>
    </row>
    <row r="830" spans="14:22" x14ac:dyDescent="0.35">
      <c r="N830" s="135"/>
      <c r="O830" s="136"/>
      <c r="P830" s="136"/>
      <c r="Q830" s="136"/>
      <c r="R830" s="136"/>
      <c r="S830" s="136"/>
      <c r="T830" s="136"/>
      <c r="U830" s="136"/>
      <c r="V830" s="136"/>
    </row>
    <row r="831" spans="14:22" x14ac:dyDescent="0.35">
      <c r="N831" s="135"/>
      <c r="O831" s="136"/>
      <c r="P831" s="136"/>
      <c r="Q831" s="136"/>
      <c r="R831" s="136"/>
      <c r="S831" s="136"/>
      <c r="T831" s="136"/>
      <c r="U831" s="136"/>
      <c r="V831" s="136"/>
    </row>
    <row r="832" spans="14:22" x14ac:dyDescent="0.35">
      <c r="N832" s="135"/>
      <c r="O832" s="136"/>
      <c r="P832" s="136"/>
      <c r="Q832" s="136"/>
      <c r="R832" s="136"/>
      <c r="S832" s="136"/>
      <c r="T832" s="136"/>
      <c r="U832" s="136"/>
      <c r="V832" s="136"/>
    </row>
    <row r="833" spans="14:22" x14ac:dyDescent="0.35">
      <c r="N833" s="135"/>
      <c r="O833" s="136"/>
      <c r="P833" s="136"/>
      <c r="Q833" s="136"/>
      <c r="R833" s="136"/>
      <c r="S833" s="136"/>
      <c r="T833" s="136"/>
      <c r="U833" s="136"/>
      <c r="V833" s="136"/>
    </row>
    <row r="834" spans="14:22" x14ac:dyDescent="0.35">
      <c r="N834" s="135"/>
      <c r="O834" s="136"/>
      <c r="P834" s="136"/>
      <c r="Q834" s="136"/>
      <c r="R834" s="136"/>
      <c r="S834" s="136"/>
      <c r="T834" s="136"/>
      <c r="U834" s="136"/>
      <c r="V834" s="136"/>
    </row>
    <row r="835" spans="14:22" x14ac:dyDescent="0.35">
      <c r="N835" s="135"/>
      <c r="O835" s="136"/>
      <c r="P835" s="136"/>
      <c r="Q835" s="136"/>
      <c r="R835" s="136"/>
      <c r="S835" s="136"/>
      <c r="T835" s="136"/>
      <c r="U835" s="136"/>
      <c r="V835" s="136"/>
    </row>
    <row r="836" spans="14:22" x14ac:dyDescent="0.35">
      <c r="N836" s="135"/>
      <c r="O836" s="136"/>
      <c r="P836" s="136"/>
      <c r="Q836" s="136"/>
      <c r="R836" s="136"/>
      <c r="S836" s="136"/>
      <c r="T836" s="136"/>
      <c r="U836" s="136"/>
      <c r="V836" s="136"/>
    </row>
    <row r="837" spans="14:22" x14ac:dyDescent="0.35">
      <c r="N837" s="135"/>
      <c r="O837" s="136"/>
      <c r="P837" s="136"/>
      <c r="Q837" s="136"/>
      <c r="R837" s="136"/>
      <c r="S837" s="136"/>
      <c r="T837" s="136"/>
      <c r="U837" s="136"/>
      <c r="V837" s="136"/>
    </row>
    <row r="838" spans="14:22" x14ac:dyDescent="0.35">
      <c r="N838" s="135"/>
      <c r="O838" s="136"/>
      <c r="P838" s="136"/>
      <c r="Q838" s="136"/>
      <c r="R838" s="136"/>
      <c r="S838" s="136"/>
      <c r="T838" s="136"/>
      <c r="U838" s="136"/>
      <c r="V838" s="136"/>
    </row>
    <row r="839" spans="14:22" x14ac:dyDescent="0.35">
      <c r="N839" s="135"/>
      <c r="O839" s="136"/>
      <c r="P839" s="136"/>
      <c r="Q839" s="136"/>
      <c r="R839" s="136"/>
      <c r="S839" s="136"/>
      <c r="T839" s="136"/>
      <c r="U839" s="136"/>
      <c r="V839" s="136"/>
    </row>
    <row r="840" spans="14:22" x14ac:dyDescent="0.35">
      <c r="N840" s="135"/>
      <c r="O840" s="136"/>
      <c r="P840" s="136"/>
      <c r="Q840" s="136"/>
      <c r="R840" s="136"/>
      <c r="S840" s="136"/>
      <c r="T840" s="136"/>
      <c r="U840" s="136"/>
      <c r="V840" s="136"/>
    </row>
    <row r="841" spans="14:22" x14ac:dyDescent="0.35">
      <c r="N841" s="135"/>
      <c r="O841" s="136"/>
      <c r="P841" s="136"/>
      <c r="Q841" s="136"/>
      <c r="R841" s="136"/>
      <c r="S841" s="136"/>
      <c r="T841" s="136"/>
      <c r="U841" s="136"/>
      <c r="V841" s="136"/>
    </row>
    <row r="842" spans="14:22" x14ac:dyDescent="0.35">
      <c r="N842" s="135"/>
      <c r="O842" s="136"/>
      <c r="P842" s="136"/>
      <c r="Q842" s="136"/>
      <c r="R842" s="136"/>
      <c r="S842" s="136"/>
      <c r="T842" s="136"/>
      <c r="U842" s="136"/>
      <c r="V842" s="136"/>
    </row>
    <row r="843" spans="14:22" x14ac:dyDescent="0.35">
      <c r="N843" s="135"/>
      <c r="O843" s="136"/>
      <c r="P843" s="136"/>
      <c r="Q843" s="136"/>
      <c r="R843" s="136"/>
      <c r="S843" s="136"/>
      <c r="T843" s="136"/>
      <c r="U843" s="136"/>
      <c r="V843" s="136"/>
    </row>
    <row r="844" spans="14:22" x14ac:dyDescent="0.35">
      <c r="N844" s="135"/>
      <c r="O844" s="136"/>
      <c r="P844" s="136"/>
      <c r="Q844" s="136"/>
      <c r="R844" s="136"/>
      <c r="S844" s="136"/>
      <c r="T844" s="136"/>
      <c r="U844" s="136"/>
      <c r="V844" s="136"/>
    </row>
    <row r="845" spans="14:22" x14ac:dyDescent="0.35">
      <c r="N845" s="135"/>
      <c r="O845" s="136"/>
      <c r="P845" s="136"/>
      <c r="Q845" s="136"/>
      <c r="R845" s="136"/>
      <c r="S845" s="136"/>
      <c r="T845" s="136"/>
      <c r="U845" s="136"/>
      <c r="V845" s="136"/>
    </row>
    <row r="846" spans="14:22" x14ac:dyDescent="0.35">
      <c r="N846" s="135"/>
      <c r="O846" s="136"/>
      <c r="P846" s="136"/>
      <c r="Q846" s="136"/>
      <c r="R846" s="136"/>
      <c r="S846" s="136"/>
      <c r="T846" s="136"/>
      <c r="U846" s="136"/>
      <c r="V846" s="136"/>
    </row>
    <row r="847" spans="14:22" x14ac:dyDescent="0.35">
      <c r="N847" s="135"/>
      <c r="O847" s="136"/>
      <c r="P847" s="136"/>
      <c r="Q847" s="136"/>
      <c r="R847" s="136"/>
      <c r="S847" s="136"/>
      <c r="T847" s="136"/>
      <c r="U847" s="136"/>
      <c r="V847" s="136"/>
    </row>
    <row r="848" spans="14:22" x14ac:dyDescent="0.35">
      <c r="N848" s="135"/>
      <c r="O848" s="136"/>
      <c r="P848" s="136"/>
      <c r="Q848" s="136"/>
      <c r="R848" s="136"/>
      <c r="S848" s="136"/>
      <c r="T848" s="136"/>
      <c r="U848" s="136"/>
      <c r="V848" s="136"/>
    </row>
    <row r="849" spans="14:22" x14ac:dyDescent="0.35">
      <c r="N849" s="135"/>
      <c r="O849" s="136"/>
      <c r="P849" s="136"/>
      <c r="Q849" s="136"/>
      <c r="R849" s="136"/>
      <c r="S849" s="136"/>
      <c r="T849" s="136"/>
      <c r="U849" s="136"/>
      <c r="V849" s="136"/>
    </row>
    <row r="850" spans="14:22" x14ac:dyDescent="0.35">
      <c r="N850" s="135"/>
      <c r="O850" s="136"/>
      <c r="P850" s="136"/>
      <c r="Q850" s="136"/>
      <c r="R850" s="136"/>
      <c r="S850" s="136"/>
      <c r="T850" s="136"/>
      <c r="U850" s="136"/>
      <c r="V850" s="136"/>
    </row>
    <row r="851" spans="14:22" x14ac:dyDescent="0.35">
      <c r="N851" s="135"/>
      <c r="O851" s="136"/>
      <c r="P851" s="136"/>
      <c r="Q851" s="136"/>
      <c r="R851" s="136"/>
      <c r="S851" s="136"/>
      <c r="T851" s="136"/>
      <c r="U851" s="136"/>
      <c r="V851" s="136"/>
    </row>
    <row r="852" spans="14:22" x14ac:dyDescent="0.35">
      <c r="N852" s="135"/>
      <c r="O852" s="136"/>
      <c r="P852" s="136"/>
      <c r="Q852" s="136"/>
      <c r="R852" s="136"/>
      <c r="S852" s="136"/>
      <c r="T852" s="136"/>
      <c r="U852" s="136"/>
      <c r="V852" s="136"/>
    </row>
    <row r="853" spans="14:22" x14ac:dyDescent="0.35">
      <c r="N853" s="135"/>
      <c r="O853" s="136"/>
      <c r="P853" s="136"/>
      <c r="Q853" s="136"/>
      <c r="R853" s="136"/>
      <c r="S853" s="136"/>
      <c r="T853" s="136"/>
      <c r="U853" s="136"/>
      <c r="V853" s="136"/>
    </row>
    <row r="854" spans="14:22" x14ac:dyDescent="0.35">
      <c r="N854" s="135"/>
      <c r="O854" s="136"/>
      <c r="P854" s="136"/>
      <c r="Q854" s="136"/>
      <c r="R854" s="136"/>
      <c r="S854" s="136"/>
      <c r="T854" s="136"/>
      <c r="U854" s="136"/>
      <c r="V854" s="136"/>
    </row>
    <row r="855" spans="14:22" x14ac:dyDescent="0.35">
      <c r="N855" s="135"/>
      <c r="O855" s="136"/>
      <c r="P855" s="136"/>
      <c r="Q855" s="136"/>
      <c r="R855" s="136"/>
      <c r="S855" s="136"/>
      <c r="T855" s="136"/>
      <c r="U855" s="136"/>
      <c r="V855" s="136"/>
    </row>
    <row r="856" spans="14:22" x14ac:dyDescent="0.35">
      <c r="N856" s="135"/>
      <c r="O856" s="136"/>
      <c r="P856" s="136"/>
      <c r="Q856" s="136"/>
      <c r="R856" s="136"/>
      <c r="S856" s="136"/>
      <c r="T856" s="136"/>
      <c r="U856" s="136"/>
      <c r="V856" s="136"/>
    </row>
    <row r="857" spans="14:22" x14ac:dyDescent="0.35">
      <c r="N857" s="135"/>
      <c r="O857" s="136"/>
      <c r="P857" s="136"/>
      <c r="Q857" s="136"/>
      <c r="R857" s="136"/>
      <c r="S857" s="136"/>
      <c r="T857" s="136"/>
      <c r="U857" s="136"/>
      <c r="V857" s="136"/>
    </row>
    <row r="858" spans="14:22" x14ac:dyDescent="0.35">
      <c r="N858" s="135"/>
      <c r="O858" s="136"/>
      <c r="P858" s="136"/>
      <c r="Q858" s="136"/>
      <c r="R858" s="136"/>
      <c r="S858" s="136"/>
      <c r="T858" s="136"/>
      <c r="U858" s="136"/>
      <c r="V858" s="136"/>
    </row>
    <row r="859" spans="14:22" x14ac:dyDescent="0.35">
      <c r="N859" s="135"/>
      <c r="O859" s="136"/>
      <c r="P859" s="136"/>
      <c r="Q859" s="136"/>
      <c r="R859" s="136"/>
      <c r="S859" s="136"/>
      <c r="T859" s="136"/>
      <c r="U859" s="136"/>
      <c r="V859" s="136"/>
    </row>
    <row r="860" spans="14:22" x14ac:dyDescent="0.35">
      <c r="N860" s="135"/>
      <c r="O860" s="136"/>
      <c r="P860" s="136"/>
      <c r="Q860" s="136"/>
      <c r="R860" s="136"/>
      <c r="S860" s="136"/>
      <c r="T860" s="136"/>
      <c r="U860" s="136"/>
      <c r="V860" s="136"/>
    </row>
    <row r="861" spans="14:22" x14ac:dyDescent="0.35">
      <c r="N861" s="135"/>
      <c r="O861" s="136"/>
      <c r="P861" s="136"/>
      <c r="Q861" s="136"/>
      <c r="R861" s="136"/>
      <c r="S861" s="136"/>
      <c r="T861" s="136"/>
      <c r="U861" s="136"/>
      <c r="V861" s="136"/>
    </row>
    <row r="862" spans="14:22" x14ac:dyDescent="0.35">
      <c r="N862" s="135"/>
      <c r="O862" s="136"/>
      <c r="P862" s="136"/>
      <c r="Q862" s="136"/>
      <c r="R862" s="136"/>
      <c r="S862" s="136"/>
      <c r="T862" s="136"/>
      <c r="U862" s="136"/>
      <c r="V862" s="136"/>
    </row>
    <row r="863" spans="14:22" x14ac:dyDescent="0.35">
      <c r="N863" s="135"/>
      <c r="O863" s="136"/>
      <c r="P863" s="136"/>
      <c r="Q863" s="136"/>
      <c r="R863" s="136"/>
      <c r="S863" s="136"/>
      <c r="T863" s="136"/>
      <c r="U863" s="136"/>
      <c r="V863" s="136"/>
    </row>
    <row r="864" spans="14:22" x14ac:dyDescent="0.35">
      <c r="N864" s="135"/>
      <c r="O864" s="136"/>
      <c r="P864" s="136"/>
      <c r="Q864" s="136"/>
      <c r="R864" s="136"/>
      <c r="S864" s="136"/>
      <c r="T864" s="136"/>
      <c r="U864" s="136"/>
      <c r="V864" s="136"/>
    </row>
    <row r="865" spans="14:22" x14ac:dyDescent="0.35">
      <c r="N865" s="135"/>
      <c r="O865" s="136"/>
      <c r="P865" s="136"/>
      <c r="Q865" s="136"/>
      <c r="R865" s="136"/>
      <c r="S865" s="136"/>
      <c r="T865" s="136"/>
      <c r="U865" s="136"/>
      <c r="V865" s="136"/>
    </row>
    <row r="866" spans="14:22" x14ac:dyDescent="0.35">
      <c r="N866" s="135"/>
      <c r="O866" s="136"/>
      <c r="P866" s="136"/>
      <c r="Q866" s="136"/>
      <c r="R866" s="136"/>
      <c r="S866" s="136"/>
      <c r="T866" s="136"/>
      <c r="U866" s="136"/>
      <c r="V866" s="136"/>
    </row>
    <row r="867" spans="14:22" x14ac:dyDescent="0.35">
      <c r="N867" s="135"/>
      <c r="O867" s="136"/>
      <c r="P867" s="136"/>
      <c r="Q867" s="136"/>
      <c r="R867" s="136"/>
      <c r="S867" s="136"/>
      <c r="T867" s="136"/>
      <c r="U867" s="136"/>
      <c r="V867" s="136"/>
    </row>
    <row r="868" spans="14:22" x14ac:dyDescent="0.35">
      <c r="N868" s="135"/>
      <c r="O868" s="136"/>
      <c r="P868" s="136"/>
      <c r="Q868" s="136"/>
      <c r="R868" s="136"/>
      <c r="S868" s="136"/>
      <c r="T868" s="136"/>
      <c r="U868" s="136"/>
      <c r="V868" s="136"/>
    </row>
    <row r="869" spans="14:22" x14ac:dyDescent="0.35">
      <c r="N869" s="135"/>
      <c r="O869" s="136"/>
      <c r="P869" s="136"/>
      <c r="Q869" s="136"/>
      <c r="R869" s="136"/>
      <c r="S869" s="136"/>
      <c r="T869" s="136"/>
      <c r="U869" s="136"/>
      <c r="V869" s="136"/>
    </row>
    <row r="870" spans="14:22" x14ac:dyDescent="0.35">
      <c r="N870" s="135"/>
      <c r="O870" s="136"/>
      <c r="P870" s="136"/>
      <c r="Q870" s="136"/>
      <c r="R870" s="136"/>
      <c r="S870" s="136"/>
      <c r="T870" s="136"/>
      <c r="U870" s="136"/>
      <c r="V870" s="136"/>
    </row>
    <row r="871" spans="14:22" x14ac:dyDescent="0.35">
      <c r="N871" s="135"/>
      <c r="O871" s="136"/>
      <c r="P871" s="136"/>
      <c r="Q871" s="136"/>
      <c r="R871" s="136"/>
      <c r="S871" s="136"/>
      <c r="T871" s="136"/>
      <c r="U871" s="136"/>
      <c r="V871" s="136"/>
    </row>
    <row r="872" spans="14:22" x14ac:dyDescent="0.35">
      <c r="N872" s="135"/>
      <c r="O872" s="136"/>
      <c r="P872" s="136"/>
      <c r="Q872" s="136"/>
      <c r="R872" s="136"/>
      <c r="S872" s="136"/>
      <c r="T872" s="136"/>
      <c r="U872" s="136"/>
      <c r="V872" s="136"/>
    </row>
    <row r="873" spans="14:22" x14ac:dyDescent="0.35">
      <c r="N873" s="135"/>
      <c r="O873" s="136"/>
      <c r="P873" s="136"/>
      <c r="Q873" s="136"/>
      <c r="R873" s="136"/>
      <c r="S873" s="136"/>
      <c r="T873" s="136"/>
      <c r="U873" s="136"/>
      <c r="V873" s="136"/>
    </row>
    <row r="874" spans="14:22" x14ac:dyDescent="0.35">
      <c r="N874" s="135"/>
      <c r="O874" s="136"/>
      <c r="P874" s="136"/>
      <c r="Q874" s="136"/>
      <c r="R874" s="136"/>
      <c r="S874" s="136"/>
      <c r="T874" s="136"/>
      <c r="U874" s="136"/>
      <c r="V874" s="136"/>
    </row>
    <row r="875" spans="14:22" x14ac:dyDescent="0.35">
      <c r="N875" s="135"/>
      <c r="O875" s="136"/>
      <c r="P875" s="136"/>
      <c r="Q875" s="136"/>
      <c r="R875" s="136"/>
      <c r="S875" s="136"/>
      <c r="T875" s="136"/>
      <c r="U875" s="136"/>
      <c r="V875" s="136"/>
    </row>
    <row r="876" spans="14:22" x14ac:dyDescent="0.35">
      <c r="N876" s="135"/>
      <c r="O876" s="136"/>
      <c r="P876" s="136"/>
      <c r="Q876" s="136"/>
      <c r="R876" s="136"/>
      <c r="S876" s="136"/>
      <c r="T876" s="136"/>
      <c r="U876" s="136"/>
      <c r="V876" s="136"/>
    </row>
    <row r="877" spans="14:22" x14ac:dyDescent="0.35">
      <c r="N877" s="135"/>
      <c r="O877" s="136"/>
      <c r="P877" s="136"/>
      <c r="Q877" s="136"/>
      <c r="R877" s="136"/>
      <c r="S877" s="136"/>
      <c r="T877" s="136"/>
      <c r="U877" s="136"/>
      <c r="V877" s="136"/>
    </row>
    <row r="878" spans="14:22" x14ac:dyDescent="0.35">
      <c r="N878" s="135"/>
      <c r="O878" s="136"/>
      <c r="P878" s="136"/>
      <c r="Q878" s="136"/>
      <c r="R878" s="136"/>
      <c r="S878" s="136"/>
      <c r="T878" s="136"/>
      <c r="U878" s="136"/>
      <c r="V878" s="136"/>
    </row>
    <row r="879" spans="14:22" x14ac:dyDescent="0.35">
      <c r="N879" s="135"/>
      <c r="O879" s="136"/>
      <c r="P879" s="136"/>
      <c r="Q879" s="136"/>
      <c r="R879" s="136"/>
      <c r="S879" s="136"/>
      <c r="T879" s="136"/>
      <c r="U879" s="136"/>
      <c r="V879" s="136"/>
    </row>
    <row r="880" spans="14:22" x14ac:dyDescent="0.35">
      <c r="N880" s="135"/>
      <c r="O880" s="136"/>
      <c r="P880" s="136"/>
      <c r="Q880" s="136"/>
      <c r="R880" s="136"/>
      <c r="S880" s="136"/>
      <c r="T880" s="136"/>
      <c r="U880" s="136"/>
      <c r="V880" s="136"/>
    </row>
    <row r="881" spans="14:22" x14ac:dyDescent="0.35">
      <c r="N881" s="135"/>
      <c r="O881" s="136"/>
      <c r="P881" s="136"/>
      <c r="Q881" s="136"/>
      <c r="R881" s="136"/>
      <c r="S881" s="136"/>
      <c r="T881" s="136"/>
      <c r="U881" s="136"/>
      <c r="V881" s="136"/>
    </row>
    <row r="882" spans="14:22" x14ac:dyDescent="0.35">
      <c r="N882" s="135"/>
      <c r="O882" s="136"/>
      <c r="P882" s="136"/>
      <c r="Q882" s="136"/>
      <c r="R882" s="136"/>
      <c r="S882" s="136"/>
      <c r="T882" s="136"/>
      <c r="U882" s="136"/>
      <c r="V882" s="136"/>
    </row>
    <row r="883" spans="14:22" x14ac:dyDescent="0.35">
      <c r="N883" s="135"/>
      <c r="O883" s="136"/>
      <c r="P883" s="136"/>
      <c r="Q883" s="136"/>
      <c r="R883" s="136"/>
      <c r="S883" s="136"/>
      <c r="T883" s="136"/>
      <c r="U883" s="136"/>
      <c r="V883" s="136"/>
    </row>
    <row r="884" spans="14:22" x14ac:dyDescent="0.35">
      <c r="N884" s="135"/>
      <c r="O884" s="136"/>
      <c r="P884" s="136"/>
      <c r="Q884" s="136"/>
      <c r="R884" s="136"/>
      <c r="S884" s="136"/>
      <c r="T884" s="136"/>
      <c r="U884" s="136"/>
      <c r="V884" s="136"/>
    </row>
    <row r="885" spans="14:22" x14ac:dyDescent="0.35">
      <c r="N885" s="135"/>
      <c r="O885" s="136"/>
      <c r="P885" s="136"/>
      <c r="Q885" s="136"/>
      <c r="R885" s="136"/>
      <c r="S885" s="136"/>
      <c r="T885" s="136"/>
      <c r="U885" s="136"/>
      <c r="V885" s="136"/>
    </row>
    <row r="886" spans="14:22" x14ac:dyDescent="0.35">
      <c r="N886" s="135"/>
      <c r="O886" s="136"/>
      <c r="P886" s="136"/>
      <c r="Q886" s="136"/>
      <c r="R886" s="136"/>
      <c r="S886" s="136"/>
      <c r="T886" s="136"/>
      <c r="U886" s="136"/>
      <c r="V886" s="136"/>
    </row>
    <row r="887" spans="14:22" x14ac:dyDescent="0.35">
      <c r="N887" s="135"/>
      <c r="O887" s="136"/>
      <c r="P887" s="136"/>
      <c r="Q887" s="136"/>
      <c r="R887" s="136"/>
      <c r="S887" s="136"/>
      <c r="T887" s="136"/>
      <c r="U887" s="136"/>
      <c r="V887" s="136"/>
    </row>
    <row r="888" spans="14:22" x14ac:dyDescent="0.35">
      <c r="N888" s="135"/>
      <c r="O888" s="136"/>
      <c r="P888" s="136"/>
      <c r="Q888" s="136"/>
      <c r="R888" s="136"/>
      <c r="S888" s="136"/>
      <c r="T888" s="136"/>
      <c r="U888" s="136"/>
      <c r="V888" s="136"/>
    </row>
    <row r="889" spans="14:22" x14ac:dyDescent="0.35">
      <c r="N889" s="135"/>
      <c r="O889" s="136"/>
      <c r="P889" s="136"/>
      <c r="Q889" s="136"/>
      <c r="R889" s="136"/>
      <c r="S889" s="136"/>
      <c r="T889" s="136"/>
      <c r="U889" s="136"/>
      <c r="V889" s="136"/>
    </row>
    <row r="890" spans="14:22" x14ac:dyDescent="0.35">
      <c r="N890" s="135"/>
      <c r="O890" s="136"/>
      <c r="P890" s="136"/>
      <c r="Q890" s="136"/>
      <c r="R890" s="136"/>
      <c r="S890" s="136"/>
      <c r="T890" s="136"/>
      <c r="U890" s="136"/>
      <c r="V890" s="136"/>
    </row>
    <row r="891" spans="14:22" x14ac:dyDescent="0.35">
      <c r="N891" s="135"/>
      <c r="O891" s="136"/>
      <c r="P891" s="136"/>
      <c r="Q891" s="136"/>
      <c r="R891" s="136"/>
      <c r="S891" s="136"/>
      <c r="T891" s="136"/>
      <c r="U891" s="136"/>
      <c r="V891" s="136"/>
    </row>
    <row r="892" spans="14:22" x14ac:dyDescent="0.35">
      <c r="N892" s="135"/>
      <c r="O892" s="136"/>
      <c r="P892" s="136"/>
      <c r="Q892" s="136"/>
      <c r="R892" s="136"/>
      <c r="S892" s="136"/>
      <c r="T892" s="136"/>
      <c r="U892" s="136"/>
      <c r="V892" s="136"/>
    </row>
    <row r="893" spans="14:22" x14ac:dyDescent="0.35">
      <c r="N893" s="135"/>
      <c r="O893" s="136"/>
      <c r="P893" s="136"/>
      <c r="Q893" s="136"/>
      <c r="R893" s="136"/>
      <c r="S893" s="136"/>
      <c r="T893" s="136"/>
      <c r="U893" s="136"/>
      <c r="V893" s="136"/>
    </row>
    <row r="894" spans="14:22" x14ac:dyDescent="0.35">
      <c r="N894" s="135"/>
      <c r="O894" s="136"/>
      <c r="P894" s="136"/>
      <c r="Q894" s="136"/>
      <c r="R894" s="136"/>
      <c r="S894" s="136"/>
      <c r="T894" s="136"/>
      <c r="U894" s="136"/>
      <c r="V894" s="136"/>
    </row>
    <row r="895" spans="14:22" x14ac:dyDescent="0.35">
      <c r="N895" s="135"/>
      <c r="O895" s="136"/>
      <c r="P895" s="136"/>
      <c r="Q895" s="136"/>
      <c r="R895" s="136"/>
      <c r="S895" s="136"/>
      <c r="T895" s="136"/>
      <c r="U895" s="136"/>
      <c r="V895" s="136"/>
    </row>
    <row r="896" spans="14:22" x14ac:dyDescent="0.35">
      <c r="N896" s="135"/>
      <c r="O896" s="136"/>
      <c r="P896" s="136"/>
      <c r="Q896" s="136"/>
      <c r="R896" s="136"/>
      <c r="S896" s="136"/>
      <c r="T896" s="136"/>
      <c r="U896" s="136"/>
      <c r="V896" s="136"/>
    </row>
    <row r="897" spans="14:22" x14ac:dyDescent="0.35">
      <c r="N897" s="135"/>
      <c r="O897" s="136"/>
      <c r="P897" s="136"/>
      <c r="Q897" s="136"/>
      <c r="R897" s="136"/>
      <c r="S897" s="136"/>
      <c r="T897" s="136"/>
      <c r="U897" s="136"/>
      <c r="V897" s="136"/>
    </row>
    <row r="898" spans="14:22" x14ac:dyDescent="0.35">
      <c r="N898" s="135"/>
      <c r="O898" s="136"/>
      <c r="P898" s="136"/>
      <c r="Q898" s="136"/>
      <c r="R898" s="136"/>
      <c r="S898" s="136"/>
      <c r="T898" s="136"/>
      <c r="U898" s="136"/>
      <c r="V898" s="136"/>
    </row>
    <row r="899" spans="14:22" x14ac:dyDescent="0.35">
      <c r="N899" s="135"/>
      <c r="O899" s="136"/>
      <c r="P899" s="136"/>
      <c r="Q899" s="136"/>
      <c r="R899" s="136"/>
      <c r="S899" s="136"/>
      <c r="T899" s="136"/>
      <c r="U899" s="136"/>
      <c r="V899" s="136"/>
    </row>
    <row r="900" spans="14:22" x14ac:dyDescent="0.35">
      <c r="N900" s="135"/>
      <c r="O900" s="136"/>
      <c r="P900" s="136"/>
      <c r="Q900" s="136"/>
      <c r="R900" s="136"/>
      <c r="S900" s="136"/>
      <c r="T900" s="136"/>
      <c r="U900" s="136"/>
      <c r="V900" s="136"/>
    </row>
    <row r="901" spans="14:22" x14ac:dyDescent="0.35">
      <c r="N901" s="135"/>
      <c r="O901" s="136"/>
      <c r="P901" s="136"/>
      <c r="Q901" s="136"/>
      <c r="R901" s="136"/>
      <c r="S901" s="136"/>
      <c r="T901" s="136"/>
      <c r="U901" s="136"/>
      <c r="V901" s="136"/>
    </row>
    <row r="902" spans="14:22" x14ac:dyDescent="0.35">
      <c r="N902" s="135"/>
      <c r="O902" s="136"/>
      <c r="P902" s="136"/>
      <c r="Q902" s="136"/>
      <c r="R902" s="136"/>
      <c r="S902" s="136"/>
      <c r="T902" s="136"/>
      <c r="U902" s="136"/>
      <c r="V902" s="136"/>
    </row>
    <row r="903" spans="14:22" x14ac:dyDescent="0.35">
      <c r="N903" s="135"/>
      <c r="O903" s="136"/>
      <c r="P903" s="136"/>
      <c r="Q903" s="136"/>
      <c r="R903" s="136"/>
      <c r="S903" s="136"/>
      <c r="T903" s="136"/>
      <c r="U903" s="136"/>
      <c r="V903" s="136"/>
    </row>
    <row r="904" spans="14:22" x14ac:dyDescent="0.35">
      <c r="N904" s="135"/>
      <c r="O904" s="136"/>
      <c r="P904" s="136"/>
      <c r="Q904" s="136"/>
      <c r="R904" s="136"/>
      <c r="S904" s="136"/>
      <c r="T904" s="136"/>
      <c r="U904" s="136"/>
      <c r="V904" s="136"/>
    </row>
    <row r="905" spans="14:22" x14ac:dyDescent="0.35">
      <c r="N905" s="135"/>
      <c r="O905" s="136"/>
      <c r="P905" s="136"/>
      <c r="Q905" s="136"/>
      <c r="R905" s="136"/>
      <c r="S905" s="136"/>
      <c r="T905" s="136"/>
      <c r="U905" s="136"/>
      <c r="V905" s="136"/>
    </row>
    <row r="906" spans="14:22" x14ac:dyDescent="0.35">
      <c r="N906" s="135"/>
      <c r="O906" s="136"/>
      <c r="P906" s="136"/>
      <c r="Q906" s="136"/>
      <c r="R906" s="136"/>
      <c r="S906" s="136"/>
      <c r="T906" s="136"/>
      <c r="U906" s="136"/>
      <c r="V906" s="136"/>
    </row>
    <row r="907" spans="14:22" x14ac:dyDescent="0.35">
      <c r="N907" s="135"/>
      <c r="O907" s="136"/>
      <c r="P907" s="136"/>
      <c r="Q907" s="136"/>
      <c r="R907" s="136"/>
      <c r="S907" s="136"/>
      <c r="T907" s="136"/>
      <c r="U907" s="136"/>
      <c r="V907" s="136"/>
    </row>
    <row r="908" spans="14:22" x14ac:dyDescent="0.35">
      <c r="N908" s="135"/>
      <c r="O908" s="136"/>
      <c r="P908" s="136"/>
      <c r="Q908" s="136"/>
      <c r="R908" s="136"/>
      <c r="S908" s="136"/>
      <c r="T908" s="136"/>
      <c r="U908" s="136"/>
      <c r="V908" s="136"/>
    </row>
    <row r="909" spans="14:22" x14ac:dyDescent="0.35">
      <c r="N909" s="135"/>
      <c r="O909" s="136"/>
      <c r="P909" s="136"/>
      <c r="Q909" s="136"/>
      <c r="R909" s="136"/>
      <c r="S909" s="136"/>
      <c r="T909" s="136"/>
      <c r="U909" s="136"/>
      <c r="V909" s="136"/>
    </row>
    <row r="910" spans="14:22" x14ac:dyDescent="0.35">
      <c r="N910" s="135"/>
      <c r="O910" s="136"/>
      <c r="P910" s="136"/>
      <c r="Q910" s="136"/>
      <c r="R910" s="136"/>
      <c r="S910" s="136"/>
      <c r="T910" s="136"/>
      <c r="U910" s="136"/>
      <c r="V910" s="136"/>
    </row>
    <row r="911" spans="14:22" x14ac:dyDescent="0.35">
      <c r="N911" s="135"/>
      <c r="O911" s="136"/>
      <c r="P911" s="136"/>
      <c r="Q911" s="136"/>
      <c r="R911" s="136"/>
      <c r="S911" s="136"/>
      <c r="T911" s="136"/>
      <c r="U911" s="136"/>
      <c r="V911" s="136"/>
    </row>
    <row r="912" spans="14:22" x14ac:dyDescent="0.35">
      <c r="N912" s="135"/>
      <c r="O912" s="136"/>
      <c r="P912" s="136"/>
      <c r="Q912" s="136"/>
      <c r="R912" s="136"/>
      <c r="S912" s="136"/>
      <c r="T912" s="136"/>
      <c r="U912" s="136"/>
      <c r="V912" s="136"/>
    </row>
    <row r="913" spans="14:22" x14ac:dyDescent="0.35">
      <c r="N913" s="135"/>
      <c r="O913" s="136"/>
      <c r="P913" s="136"/>
      <c r="Q913" s="136"/>
      <c r="R913" s="136"/>
      <c r="S913" s="136"/>
      <c r="T913" s="136"/>
      <c r="U913" s="136"/>
      <c r="V913" s="136"/>
    </row>
    <row r="914" spans="14:22" x14ac:dyDescent="0.35">
      <c r="N914" s="135"/>
      <c r="O914" s="136"/>
      <c r="P914" s="136"/>
      <c r="Q914" s="136"/>
      <c r="R914" s="136"/>
      <c r="S914" s="136"/>
      <c r="T914" s="136"/>
      <c r="U914" s="136"/>
      <c r="V914" s="136"/>
    </row>
    <row r="915" spans="14:22" x14ac:dyDescent="0.35">
      <c r="N915" s="135"/>
      <c r="O915" s="136"/>
      <c r="P915" s="136"/>
      <c r="Q915" s="136"/>
      <c r="R915" s="136"/>
      <c r="S915" s="136"/>
      <c r="T915" s="136"/>
      <c r="U915" s="136"/>
      <c r="V915" s="136"/>
    </row>
    <row r="916" spans="14:22" x14ac:dyDescent="0.35">
      <c r="N916" s="135"/>
      <c r="O916" s="136"/>
      <c r="P916" s="136"/>
      <c r="Q916" s="136"/>
      <c r="R916" s="136"/>
      <c r="S916" s="136"/>
      <c r="T916" s="136"/>
      <c r="U916" s="136"/>
      <c r="V916" s="136"/>
    </row>
    <row r="917" spans="14:22" x14ac:dyDescent="0.35">
      <c r="N917" s="135"/>
      <c r="O917" s="136"/>
      <c r="P917" s="136"/>
      <c r="Q917" s="136"/>
      <c r="R917" s="136"/>
      <c r="S917" s="136"/>
      <c r="T917" s="136"/>
      <c r="U917" s="136"/>
      <c r="V917" s="136"/>
    </row>
    <row r="918" spans="14:22" x14ac:dyDescent="0.35">
      <c r="N918" s="135"/>
      <c r="O918" s="136"/>
      <c r="P918" s="136"/>
      <c r="Q918" s="136"/>
      <c r="R918" s="136"/>
      <c r="S918" s="136"/>
      <c r="T918" s="136"/>
      <c r="U918" s="136"/>
      <c r="V918" s="136"/>
    </row>
    <row r="919" spans="14:22" x14ac:dyDescent="0.35">
      <c r="N919" s="135"/>
      <c r="O919" s="136"/>
      <c r="P919" s="136"/>
      <c r="Q919" s="136"/>
      <c r="R919" s="136"/>
      <c r="S919" s="136"/>
      <c r="T919" s="136"/>
      <c r="U919" s="136"/>
      <c r="V919" s="136"/>
    </row>
    <row r="920" spans="14:22" x14ac:dyDescent="0.35">
      <c r="N920" s="135"/>
      <c r="O920" s="136"/>
      <c r="P920" s="136"/>
      <c r="Q920" s="136"/>
      <c r="R920" s="136"/>
      <c r="S920" s="136"/>
      <c r="T920" s="136"/>
      <c r="U920" s="136"/>
      <c r="V920" s="136"/>
    </row>
    <row r="921" spans="14:22" x14ac:dyDescent="0.35">
      <c r="N921" s="135"/>
      <c r="O921" s="136"/>
      <c r="P921" s="136"/>
      <c r="Q921" s="136"/>
      <c r="R921" s="136"/>
      <c r="S921" s="136"/>
      <c r="T921" s="136"/>
      <c r="U921" s="136"/>
      <c r="V921" s="136"/>
    </row>
    <row r="922" spans="14:22" x14ac:dyDescent="0.35">
      <c r="N922" s="135"/>
      <c r="O922" s="136"/>
      <c r="P922" s="136"/>
      <c r="Q922" s="136"/>
      <c r="R922" s="136"/>
      <c r="S922" s="136"/>
      <c r="T922" s="136"/>
      <c r="U922" s="136"/>
      <c r="V922" s="136"/>
    </row>
    <row r="923" spans="14:22" x14ac:dyDescent="0.35">
      <c r="N923" s="135"/>
      <c r="O923" s="136"/>
      <c r="P923" s="136"/>
      <c r="Q923" s="136"/>
      <c r="R923" s="136"/>
      <c r="S923" s="136"/>
      <c r="T923" s="136"/>
      <c r="U923" s="136"/>
      <c r="V923" s="136"/>
    </row>
    <row r="924" spans="14:22" x14ac:dyDescent="0.35">
      <c r="N924" s="135"/>
      <c r="O924" s="136"/>
      <c r="P924" s="136"/>
      <c r="Q924" s="136"/>
      <c r="R924" s="136"/>
      <c r="S924" s="136"/>
      <c r="T924" s="136"/>
      <c r="U924" s="136"/>
      <c r="V924" s="136"/>
    </row>
    <row r="925" spans="14:22" x14ac:dyDescent="0.35">
      <c r="N925" s="135"/>
      <c r="O925" s="136"/>
      <c r="P925" s="136"/>
      <c r="Q925" s="136"/>
      <c r="R925" s="136"/>
      <c r="S925" s="136"/>
      <c r="T925" s="136"/>
      <c r="U925" s="136"/>
      <c r="V925" s="136"/>
    </row>
    <row r="926" spans="14:22" x14ac:dyDescent="0.35">
      <c r="N926" s="135"/>
      <c r="O926" s="136"/>
      <c r="P926" s="136"/>
      <c r="Q926" s="136"/>
      <c r="R926" s="136"/>
      <c r="S926" s="136"/>
      <c r="T926" s="136"/>
      <c r="U926" s="136"/>
      <c r="V926" s="136"/>
    </row>
    <row r="927" spans="14:22" x14ac:dyDescent="0.35">
      <c r="N927" s="135"/>
      <c r="O927" s="136"/>
      <c r="P927" s="136"/>
      <c r="Q927" s="136"/>
      <c r="R927" s="136"/>
      <c r="S927" s="136"/>
      <c r="T927" s="136"/>
      <c r="U927" s="136"/>
      <c r="V927" s="136"/>
    </row>
    <row r="928" spans="14:22" x14ac:dyDescent="0.35">
      <c r="N928" s="135"/>
      <c r="O928" s="136"/>
      <c r="P928" s="136"/>
      <c r="Q928" s="136"/>
      <c r="R928" s="136"/>
      <c r="S928" s="136"/>
      <c r="T928" s="136"/>
      <c r="U928" s="136"/>
      <c r="V928" s="136"/>
    </row>
    <row r="929" spans="14:22" x14ac:dyDescent="0.35">
      <c r="N929" s="135"/>
      <c r="O929" s="136"/>
      <c r="P929" s="136"/>
      <c r="Q929" s="136"/>
      <c r="R929" s="136"/>
      <c r="S929" s="136"/>
      <c r="T929" s="136"/>
      <c r="U929" s="136"/>
      <c r="V929" s="136"/>
    </row>
    <row r="930" spans="14:22" x14ac:dyDescent="0.35">
      <c r="N930" s="135"/>
      <c r="O930" s="136"/>
      <c r="P930" s="136"/>
      <c r="Q930" s="136"/>
      <c r="R930" s="136"/>
      <c r="S930" s="136"/>
      <c r="T930" s="136"/>
      <c r="U930" s="136"/>
      <c r="V930" s="136"/>
    </row>
    <row r="931" spans="14:22" x14ac:dyDescent="0.35">
      <c r="N931" s="135"/>
      <c r="O931" s="136"/>
      <c r="P931" s="136"/>
      <c r="Q931" s="136"/>
      <c r="R931" s="136"/>
      <c r="S931" s="136"/>
      <c r="T931" s="136"/>
      <c r="U931" s="136"/>
      <c r="V931" s="136"/>
    </row>
    <row r="932" spans="14:22" x14ac:dyDescent="0.35">
      <c r="N932" s="135"/>
      <c r="O932" s="136"/>
      <c r="P932" s="136"/>
      <c r="Q932" s="136"/>
      <c r="R932" s="136"/>
      <c r="S932" s="136"/>
      <c r="T932" s="136"/>
      <c r="U932" s="136"/>
      <c r="V932" s="136"/>
    </row>
    <row r="933" spans="14:22" x14ac:dyDescent="0.35">
      <c r="N933" s="135"/>
      <c r="O933" s="136"/>
      <c r="P933" s="136"/>
      <c r="Q933" s="136"/>
      <c r="R933" s="136"/>
      <c r="S933" s="136"/>
      <c r="T933" s="136"/>
      <c r="U933" s="136"/>
      <c r="V933" s="136"/>
    </row>
    <row r="934" spans="14:22" x14ac:dyDescent="0.35">
      <c r="N934" s="135"/>
      <c r="O934" s="136"/>
      <c r="P934" s="136"/>
      <c r="Q934" s="136"/>
      <c r="R934" s="136"/>
      <c r="S934" s="136"/>
      <c r="T934" s="136"/>
      <c r="U934" s="136"/>
      <c r="V934" s="136"/>
    </row>
    <row r="935" spans="14:22" x14ac:dyDescent="0.35">
      <c r="N935" s="135"/>
      <c r="O935" s="136"/>
      <c r="P935" s="136"/>
      <c r="Q935" s="136"/>
      <c r="R935" s="136"/>
      <c r="S935" s="136"/>
      <c r="T935" s="136"/>
      <c r="U935" s="136"/>
      <c r="V935" s="136"/>
    </row>
    <row r="936" spans="14:22" x14ac:dyDescent="0.35">
      <c r="N936" s="135"/>
      <c r="O936" s="136"/>
      <c r="P936" s="136"/>
      <c r="Q936" s="136"/>
      <c r="R936" s="136"/>
      <c r="S936" s="136"/>
      <c r="T936" s="136"/>
      <c r="U936" s="136"/>
      <c r="V936" s="136"/>
    </row>
    <row r="937" spans="14:22" x14ac:dyDescent="0.35">
      <c r="N937" s="135"/>
      <c r="O937" s="136"/>
      <c r="P937" s="136"/>
      <c r="Q937" s="136"/>
      <c r="R937" s="136"/>
      <c r="S937" s="136"/>
      <c r="T937" s="136"/>
      <c r="U937" s="136"/>
      <c r="V937" s="136"/>
    </row>
    <row r="938" spans="14:22" x14ac:dyDescent="0.35">
      <c r="N938" s="135"/>
      <c r="O938" s="136"/>
      <c r="P938" s="136"/>
      <c r="Q938" s="136"/>
      <c r="R938" s="136"/>
      <c r="S938" s="136"/>
      <c r="T938" s="136"/>
      <c r="U938" s="136"/>
      <c r="V938" s="136"/>
    </row>
    <row r="939" spans="14:22" x14ac:dyDescent="0.35">
      <c r="N939" s="135"/>
      <c r="O939" s="136"/>
      <c r="P939" s="136"/>
      <c r="Q939" s="136"/>
      <c r="R939" s="136"/>
      <c r="S939" s="136"/>
      <c r="T939" s="136"/>
      <c r="U939" s="136"/>
      <c r="V939" s="136"/>
    </row>
    <row r="940" spans="14:22" x14ac:dyDescent="0.35">
      <c r="N940" s="135"/>
      <c r="O940" s="136"/>
      <c r="P940" s="136"/>
      <c r="Q940" s="136"/>
      <c r="R940" s="136"/>
      <c r="S940" s="136"/>
      <c r="T940" s="136"/>
      <c r="U940" s="136"/>
      <c r="V940" s="136"/>
    </row>
    <row r="941" spans="14:22" x14ac:dyDescent="0.35">
      <c r="N941" s="135"/>
      <c r="O941" s="136"/>
      <c r="P941" s="136"/>
      <c r="Q941" s="136"/>
      <c r="R941" s="136"/>
      <c r="S941" s="136"/>
      <c r="T941" s="136"/>
      <c r="U941" s="136"/>
      <c r="V941" s="136"/>
    </row>
    <row r="942" spans="14:22" x14ac:dyDescent="0.35">
      <c r="N942" s="135"/>
      <c r="O942" s="136"/>
      <c r="P942" s="136"/>
      <c r="Q942" s="136"/>
      <c r="R942" s="136"/>
      <c r="S942" s="136"/>
      <c r="T942" s="136"/>
      <c r="U942" s="136"/>
      <c r="V942" s="136"/>
    </row>
    <row r="943" spans="14:22" x14ac:dyDescent="0.35">
      <c r="N943" s="135"/>
      <c r="O943" s="136"/>
      <c r="P943" s="136"/>
      <c r="Q943" s="136"/>
      <c r="R943" s="136"/>
      <c r="S943" s="136"/>
      <c r="T943" s="136"/>
      <c r="U943" s="136"/>
      <c r="V943" s="136"/>
    </row>
    <row r="944" spans="14:22" x14ac:dyDescent="0.35">
      <c r="N944" s="135"/>
      <c r="O944" s="136"/>
      <c r="P944" s="136"/>
      <c r="Q944" s="136"/>
      <c r="R944" s="136"/>
      <c r="S944" s="136"/>
      <c r="T944" s="136"/>
      <c r="U944" s="136"/>
      <c r="V944" s="136"/>
    </row>
    <row r="945" spans="14:22" x14ac:dyDescent="0.35">
      <c r="N945" s="135"/>
      <c r="O945" s="136"/>
      <c r="P945" s="136"/>
      <c r="Q945" s="136"/>
      <c r="R945" s="136"/>
      <c r="S945" s="136"/>
      <c r="T945" s="136"/>
      <c r="U945" s="136"/>
      <c r="V945" s="136"/>
    </row>
    <row r="946" spans="14:22" x14ac:dyDescent="0.35">
      <c r="N946" s="135"/>
      <c r="O946" s="136"/>
      <c r="P946" s="136"/>
      <c r="Q946" s="136"/>
      <c r="R946" s="136"/>
      <c r="S946" s="136"/>
      <c r="T946" s="136"/>
      <c r="U946" s="136"/>
      <c r="V946" s="136"/>
    </row>
    <row r="947" spans="14:22" x14ac:dyDescent="0.35">
      <c r="N947" s="135"/>
      <c r="O947" s="136"/>
      <c r="P947" s="136"/>
      <c r="Q947" s="136"/>
      <c r="R947" s="136"/>
      <c r="S947" s="136"/>
      <c r="T947" s="136"/>
      <c r="U947" s="136"/>
      <c r="V947" s="136"/>
    </row>
    <row r="948" spans="14:22" x14ac:dyDescent="0.35">
      <c r="N948" s="135"/>
      <c r="O948" s="136"/>
      <c r="P948" s="136"/>
      <c r="Q948" s="136"/>
      <c r="R948" s="136"/>
      <c r="S948" s="136"/>
      <c r="T948" s="136"/>
      <c r="U948" s="136"/>
      <c r="V948" s="136"/>
    </row>
    <row r="949" spans="14:22" x14ac:dyDescent="0.35">
      <c r="N949" s="135"/>
      <c r="O949" s="136"/>
      <c r="P949" s="136"/>
      <c r="Q949" s="136"/>
      <c r="R949" s="136"/>
      <c r="S949" s="136"/>
      <c r="T949" s="136"/>
      <c r="U949" s="136"/>
      <c r="V949" s="136"/>
    </row>
    <row r="950" spans="14:22" x14ac:dyDescent="0.35">
      <c r="N950" s="135"/>
      <c r="O950" s="136"/>
      <c r="P950" s="136"/>
      <c r="Q950" s="136"/>
      <c r="R950" s="136"/>
      <c r="S950" s="136"/>
      <c r="T950" s="136"/>
      <c r="U950" s="136"/>
      <c r="V950" s="136"/>
    </row>
    <row r="951" spans="14:22" x14ac:dyDescent="0.35">
      <c r="N951" s="135"/>
      <c r="O951" s="136"/>
      <c r="P951" s="136"/>
      <c r="Q951" s="136"/>
      <c r="R951" s="136"/>
      <c r="S951" s="136"/>
      <c r="T951" s="136"/>
      <c r="U951" s="136"/>
      <c r="V951" s="136"/>
    </row>
    <row r="952" spans="14:22" x14ac:dyDescent="0.35">
      <c r="N952" s="135"/>
      <c r="O952" s="136"/>
      <c r="P952" s="136"/>
      <c r="Q952" s="136"/>
      <c r="R952" s="136"/>
      <c r="S952" s="136"/>
      <c r="T952" s="136"/>
      <c r="U952" s="136"/>
      <c r="V952" s="136"/>
    </row>
    <row r="953" spans="14:22" x14ac:dyDescent="0.35">
      <c r="N953" s="135"/>
      <c r="O953" s="136"/>
      <c r="P953" s="136"/>
      <c r="Q953" s="136"/>
      <c r="R953" s="136"/>
      <c r="S953" s="136"/>
      <c r="T953" s="136"/>
      <c r="U953" s="136"/>
      <c r="V953" s="136"/>
    </row>
    <row r="954" spans="14:22" x14ac:dyDescent="0.35">
      <c r="N954" s="135"/>
      <c r="O954" s="136"/>
      <c r="P954" s="136"/>
      <c r="Q954" s="136"/>
      <c r="R954" s="136"/>
      <c r="S954" s="136"/>
      <c r="T954" s="136"/>
      <c r="U954" s="136"/>
      <c r="V954" s="136"/>
    </row>
    <row r="955" spans="14:22" x14ac:dyDescent="0.35">
      <c r="N955" s="135"/>
      <c r="O955" s="136"/>
      <c r="P955" s="136"/>
      <c r="Q955" s="136"/>
      <c r="R955" s="136"/>
      <c r="S955" s="136"/>
      <c r="T955" s="136"/>
      <c r="U955" s="136"/>
      <c r="V955" s="136"/>
    </row>
    <row r="956" spans="14:22" x14ac:dyDescent="0.35">
      <c r="N956" s="135"/>
      <c r="O956" s="136"/>
      <c r="P956" s="136"/>
      <c r="Q956" s="136"/>
      <c r="R956" s="136"/>
      <c r="S956" s="136"/>
      <c r="T956" s="136"/>
      <c r="U956" s="136"/>
      <c r="V956" s="136"/>
    </row>
    <row r="957" spans="14:22" x14ac:dyDescent="0.35">
      <c r="N957" s="135"/>
      <c r="O957" s="136"/>
      <c r="P957" s="136"/>
      <c r="Q957" s="136"/>
      <c r="R957" s="136"/>
      <c r="S957" s="136"/>
      <c r="T957" s="136"/>
      <c r="U957" s="136"/>
      <c r="V957" s="136"/>
    </row>
    <row r="958" spans="14:22" x14ac:dyDescent="0.35">
      <c r="N958" s="135"/>
      <c r="O958" s="136"/>
      <c r="P958" s="136"/>
      <c r="Q958" s="136"/>
      <c r="R958" s="136"/>
      <c r="S958" s="136"/>
      <c r="T958" s="136"/>
      <c r="U958" s="136"/>
      <c r="V958" s="136"/>
    </row>
    <row r="959" spans="14:22" x14ac:dyDescent="0.35">
      <c r="N959" s="135"/>
      <c r="O959" s="136"/>
      <c r="P959" s="136"/>
      <c r="Q959" s="136"/>
      <c r="R959" s="136"/>
      <c r="S959" s="136"/>
      <c r="T959" s="136"/>
      <c r="U959" s="136"/>
      <c r="V959" s="136"/>
    </row>
    <row r="960" spans="14:22" x14ac:dyDescent="0.35">
      <c r="N960" s="135"/>
      <c r="O960" s="136"/>
      <c r="P960" s="136"/>
      <c r="Q960" s="136"/>
      <c r="R960" s="136"/>
      <c r="S960" s="136"/>
      <c r="T960" s="136"/>
      <c r="U960" s="136"/>
      <c r="V960" s="136"/>
    </row>
    <row r="961" spans="14:22" x14ac:dyDescent="0.35">
      <c r="N961" s="135"/>
      <c r="O961" s="136"/>
      <c r="P961" s="136"/>
      <c r="Q961" s="136"/>
      <c r="R961" s="136"/>
      <c r="S961" s="136"/>
      <c r="T961" s="136"/>
      <c r="U961" s="136"/>
      <c r="V961" s="136"/>
    </row>
    <row r="962" spans="14:22" x14ac:dyDescent="0.35">
      <c r="N962" s="135"/>
      <c r="O962" s="136"/>
      <c r="P962" s="136"/>
      <c r="Q962" s="136"/>
      <c r="R962" s="136"/>
      <c r="S962" s="136"/>
      <c r="T962" s="136"/>
      <c r="U962" s="136"/>
      <c r="V962" s="136"/>
    </row>
    <row r="963" spans="14:22" x14ac:dyDescent="0.35">
      <c r="N963" s="135"/>
      <c r="O963" s="136"/>
      <c r="P963" s="136"/>
      <c r="Q963" s="136"/>
      <c r="R963" s="136"/>
      <c r="S963" s="136"/>
      <c r="T963" s="136"/>
      <c r="U963" s="136"/>
      <c r="V963" s="136"/>
    </row>
    <row r="964" spans="14:22" x14ac:dyDescent="0.35">
      <c r="N964" s="135"/>
      <c r="O964" s="136"/>
      <c r="P964" s="136"/>
      <c r="Q964" s="136"/>
      <c r="R964" s="136"/>
      <c r="S964" s="136"/>
      <c r="T964" s="136"/>
      <c r="U964" s="136"/>
      <c r="V964" s="136"/>
    </row>
    <row r="965" spans="14:22" x14ac:dyDescent="0.35">
      <c r="N965" s="135"/>
      <c r="O965" s="136"/>
      <c r="P965" s="136"/>
      <c r="Q965" s="136"/>
      <c r="R965" s="136"/>
      <c r="S965" s="136"/>
      <c r="T965" s="136"/>
      <c r="U965" s="136"/>
      <c r="V965" s="136"/>
    </row>
    <row r="966" spans="14:22" x14ac:dyDescent="0.35">
      <c r="N966" s="135"/>
      <c r="O966" s="136"/>
      <c r="P966" s="136"/>
      <c r="Q966" s="136"/>
      <c r="R966" s="136"/>
      <c r="S966" s="136"/>
      <c r="T966" s="136"/>
      <c r="U966" s="136"/>
      <c r="V966" s="136"/>
    </row>
    <row r="967" spans="14:22" x14ac:dyDescent="0.35">
      <c r="N967" s="135"/>
      <c r="O967" s="136"/>
      <c r="P967" s="136"/>
      <c r="Q967" s="136"/>
      <c r="R967" s="136"/>
      <c r="S967" s="136"/>
      <c r="T967" s="136"/>
      <c r="U967" s="136"/>
      <c r="V967" s="136"/>
    </row>
    <row r="968" spans="14:22" x14ac:dyDescent="0.35">
      <c r="N968" s="135"/>
      <c r="O968" s="136"/>
      <c r="P968" s="136"/>
      <c r="Q968" s="136"/>
      <c r="R968" s="136"/>
      <c r="S968" s="136"/>
      <c r="T968" s="136"/>
      <c r="U968" s="136"/>
      <c r="V968" s="136"/>
    </row>
    <row r="969" spans="14:22" x14ac:dyDescent="0.35">
      <c r="N969" s="135"/>
      <c r="O969" s="136"/>
      <c r="P969" s="136"/>
      <c r="Q969" s="136"/>
      <c r="R969" s="136"/>
      <c r="S969" s="136"/>
      <c r="T969" s="136"/>
      <c r="U969" s="136"/>
      <c r="V969" s="136"/>
    </row>
    <row r="970" spans="14:22" x14ac:dyDescent="0.35">
      <c r="N970" s="135"/>
      <c r="O970" s="136"/>
      <c r="P970" s="136"/>
      <c r="Q970" s="136"/>
      <c r="R970" s="136"/>
      <c r="S970" s="136"/>
      <c r="T970" s="136"/>
      <c r="U970" s="136"/>
      <c r="V970" s="136"/>
    </row>
    <row r="971" spans="14:22" x14ac:dyDescent="0.35">
      <c r="N971" s="135"/>
      <c r="O971" s="136"/>
      <c r="P971" s="136"/>
      <c r="Q971" s="136"/>
      <c r="R971" s="136"/>
      <c r="S971" s="136"/>
      <c r="T971" s="136"/>
      <c r="U971" s="136"/>
      <c r="V971" s="136"/>
    </row>
    <row r="972" spans="14:22" x14ac:dyDescent="0.35">
      <c r="N972" s="135"/>
      <c r="O972" s="136"/>
      <c r="P972" s="136"/>
      <c r="Q972" s="136"/>
      <c r="R972" s="136"/>
      <c r="S972" s="136"/>
      <c r="T972" s="136"/>
      <c r="U972" s="136"/>
      <c r="V972" s="136"/>
    </row>
    <row r="973" spans="14:22" x14ac:dyDescent="0.35">
      <c r="N973" s="135"/>
      <c r="O973" s="136"/>
      <c r="P973" s="136"/>
      <c r="Q973" s="136"/>
      <c r="R973" s="136"/>
      <c r="S973" s="136"/>
      <c r="T973" s="136"/>
      <c r="U973" s="136"/>
      <c r="V973" s="136"/>
    </row>
    <row r="974" spans="14:22" x14ac:dyDescent="0.35">
      <c r="N974" s="135"/>
      <c r="O974" s="136"/>
      <c r="P974" s="136"/>
      <c r="Q974" s="136"/>
      <c r="R974" s="136"/>
      <c r="S974" s="136"/>
      <c r="T974" s="136"/>
      <c r="U974" s="136"/>
      <c r="V974" s="136"/>
    </row>
    <row r="975" spans="14:22" x14ac:dyDescent="0.35">
      <c r="N975" s="135"/>
      <c r="O975" s="136"/>
      <c r="P975" s="136"/>
      <c r="Q975" s="136"/>
      <c r="R975" s="136"/>
      <c r="S975" s="136"/>
      <c r="T975" s="136"/>
      <c r="U975" s="136"/>
      <c r="V975" s="136"/>
    </row>
    <row r="976" spans="14:22" x14ac:dyDescent="0.35">
      <c r="N976" s="135"/>
      <c r="O976" s="136"/>
      <c r="P976" s="136"/>
      <c r="Q976" s="136"/>
      <c r="R976" s="136"/>
      <c r="S976" s="136"/>
      <c r="T976" s="136"/>
      <c r="U976" s="136"/>
      <c r="V976" s="136"/>
    </row>
    <row r="977" spans="14:22" x14ac:dyDescent="0.35">
      <c r="N977" s="135"/>
      <c r="O977" s="136"/>
      <c r="P977" s="136"/>
      <c r="Q977" s="136"/>
      <c r="R977" s="136"/>
      <c r="S977" s="136"/>
      <c r="T977" s="136"/>
      <c r="U977" s="136"/>
      <c r="V977" s="136"/>
    </row>
    <row r="978" spans="14:22" x14ac:dyDescent="0.35">
      <c r="N978" s="135"/>
      <c r="O978" s="136"/>
      <c r="P978" s="136"/>
      <c r="Q978" s="136"/>
      <c r="R978" s="136"/>
      <c r="S978" s="136"/>
      <c r="T978" s="136"/>
      <c r="U978" s="136"/>
      <c r="V978" s="136"/>
    </row>
    <row r="979" spans="14:22" x14ac:dyDescent="0.35">
      <c r="N979" s="135"/>
      <c r="O979" s="136"/>
      <c r="P979" s="136"/>
      <c r="Q979" s="136"/>
      <c r="R979" s="136"/>
      <c r="S979" s="136"/>
      <c r="T979" s="136"/>
      <c r="U979" s="136"/>
      <c r="V979" s="136"/>
    </row>
    <row r="980" spans="14:22" x14ac:dyDescent="0.35">
      <c r="N980" s="135"/>
      <c r="O980" s="136"/>
      <c r="P980" s="136"/>
      <c r="Q980" s="136"/>
      <c r="R980" s="136"/>
      <c r="S980" s="136"/>
      <c r="T980" s="136"/>
      <c r="U980" s="136"/>
      <c r="V980" s="136"/>
    </row>
    <row r="981" spans="14:22" x14ac:dyDescent="0.35">
      <c r="N981" s="135"/>
      <c r="O981" s="136"/>
      <c r="P981" s="136"/>
      <c r="Q981" s="136"/>
      <c r="R981" s="136"/>
      <c r="S981" s="136"/>
      <c r="T981" s="136"/>
      <c r="U981" s="136"/>
      <c r="V981" s="136"/>
    </row>
    <row r="982" spans="14:22" x14ac:dyDescent="0.35">
      <c r="N982" s="135"/>
      <c r="O982" s="136"/>
      <c r="P982" s="136"/>
      <c r="Q982" s="136"/>
      <c r="R982" s="136"/>
      <c r="S982" s="136"/>
      <c r="T982" s="136"/>
      <c r="U982" s="136"/>
      <c r="V982" s="136"/>
    </row>
    <row r="983" spans="14:22" x14ac:dyDescent="0.35">
      <c r="N983" s="135"/>
      <c r="O983" s="136"/>
      <c r="P983" s="136"/>
      <c r="Q983" s="136"/>
      <c r="R983" s="136"/>
      <c r="S983" s="136"/>
      <c r="T983" s="136"/>
      <c r="U983" s="136"/>
      <c r="V983" s="136"/>
    </row>
    <row r="984" spans="14:22" x14ac:dyDescent="0.35">
      <c r="N984" s="135"/>
      <c r="O984" s="136"/>
      <c r="P984" s="136"/>
      <c r="Q984" s="136"/>
      <c r="R984" s="136"/>
      <c r="S984" s="136"/>
      <c r="T984" s="136"/>
      <c r="U984" s="136"/>
      <c r="V984" s="136"/>
    </row>
    <row r="985" spans="14:22" x14ac:dyDescent="0.35">
      <c r="N985" s="135"/>
      <c r="O985" s="136"/>
      <c r="P985" s="136"/>
      <c r="Q985" s="136"/>
      <c r="R985" s="136"/>
      <c r="S985" s="136"/>
      <c r="T985" s="136"/>
      <c r="U985" s="136"/>
      <c r="V985" s="136"/>
    </row>
    <row r="986" spans="14:22" x14ac:dyDescent="0.35">
      <c r="N986" s="135"/>
      <c r="O986" s="136"/>
      <c r="P986" s="136"/>
      <c r="Q986" s="136"/>
      <c r="R986" s="136"/>
      <c r="S986" s="136"/>
      <c r="T986" s="136"/>
      <c r="U986" s="136"/>
      <c r="V986" s="136"/>
    </row>
    <row r="987" spans="14:22" x14ac:dyDescent="0.35">
      <c r="N987" s="135"/>
      <c r="O987" s="136"/>
      <c r="P987" s="136"/>
      <c r="Q987" s="136"/>
      <c r="R987" s="136"/>
      <c r="S987" s="136"/>
      <c r="T987" s="136"/>
      <c r="U987" s="136"/>
      <c r="V987" s="136"/>
    </row>
    <row r="988" spans="14:22" x14ac:dyDescent="0.35">
      <c r="N988" s="135"/>
      <c r="O988" s="136"/>
      <c r="P988" s="136"/>
      <c r="Q988" s="136"/>
      <c r="R988" s="136"/>
      <c r="S988" s="136"/>
      <c r="T988" s="136"/>
      <c r="U988" s="136"/>
      <c r="V988" s="136"/>
    </row>
    <row r="989" spans="14:22" x14ac:dyDescent="0.35">
      <c r="N989" s="135"/>
      <c r="O989" s="136"/>
      <c r="P989" s="136"/>
      <c r="Q989" s="136"/>
      <c r="R989" s="136"/>
      <c r="S989" s="136"/>
      <c r="T989" s="136"/>
      <c r="U989" s="136"/>
      <c r="V989" s="136"/>
    </row>
    <row r="990" spans="14:22" x14ac:dyDescent="0.35">
      <c r="N990" s="135"/>
      <c r="O990" s="136"/>
      <c r="P990" s="136"/>
      <c r="Q990" s="136"/>
      <c r="R990" s="136"/>
      <c r="S990" s="136"/>
      <c r="T990" s="136"/>
      <c r="U990" s="136"/>
      <c r="V990" s="136"/>
    </row>
    <row r="991" spans="14:22" x14ac:dyDescent="0.35">
      <c r="N991" s="135"/>
      <c r="O991" s="136"/>
      <c r="P991" s="136"/>
      <c r="Q991" s="136"/>
      <c r="R991" s="136"/>
      <c r="S991" s="136"/>
      <c r="T991" s="136"/>
      <c r="U991" s="136"/>
      <c r="V991" s="136"/>
    </row>
    <row r="992" spans="14:22" x14ac:dyDescent="0.35">
      <c r="N992" s="135"/>
      <c r="O992" s="136"/>
      <c r="P992" s="136"/>
      <c r="Q992" s="136"/>
      <c r="R992" s="136"/>
      <c r="S992" s="136"/>
      <c r="T992" s="136"/>
      <c r="U992" s="136"/>
      <c r="V992" s="136"/>
    </row>
    <row r="993" spans="14:22" x14ac:dyDescent="0.35">
      <c r="N993" s="135"/>
      <c r="O993" s="136"/>
      <c r="P993" s="136"/>
      <c r="Q993" s="136"/>
      <c r="R993" s="136"/>
      <c r="S993" s="136"/>
      <c r="T993" s="136"/>
      <c r="U993" s="136"/>
      <c r="V993" s="136"/>
    </row>
    <row r="994" spans="14:22" x14ac:dyDescent="0.35">
      <c r="N994" s="135"/>
      <c r="O994" s="136"/>
      <c r="P994" s="136"/>
      <c r="Q994" s="136"/>
      <c r="R994" s="136"/>
      <c r="S994" s="136"/>
      <c r="T994" s="136"/>
      <c r="U994" s="136"/>
      <c r="V994" s="136"/>
    </row>
    <row r="995" spans="14:22" x14ac:dyDescent="0.35">
      <c r="N995" s="135"/>
      <c r="O995" s="136"/>
      <c r="P995" s="136"/>
      <c r="Q995" s="136"/>
      <c r="R995" s="136"/>
      <c r="S995" s="136"/>
      <c r="T995" s="136"/>
      <c r="U995" s="136"/>
      <c r="V995" s="136"/>
    </row>
    <row r="996" spans="14:22" x14ac:dyDescent="0.35">
      <c r="N996" s="135"/>
      <c r="O996" s="136"/>
      <c r="P996" s="136"/>
      <c r="Q996" s="136"/>
      <c r="R996" s="136"/>
      <c r="S996" s="136"/>
      <c r="T996" s="136"/>
      <c r="U996" s="136"/>
      <c r="V996" s="136"/>
    </row>
    <row r="997" spans="14:22" x14ac:dyDescent="0.35">
      <c r="N997" s="135"/>
      <c r="O997" s="136"/>
      <c r="P997" s="136"/>
      <c r="Q997" s="136"/>
      <c r="R997" s="136"/>
      <c r="S997" s="136"/>
      <c r="T997" s="136"/>
      <c r="U997" s="136"/>
      <c r="V997" s="136"/>
    </row>
    <row r="998" spans="14:22" x14ac:dyDescent="0.35">
      <c r="N998" s="135"/>
      <c r="O998" s="136"/>
      <c r="P998" s="136"/>
      <c r="Q998" s="136"/>
      <c r="R998" s="136"/>
      <c r="S998" s="136"/>
      <c r="T998" s="136"/>
      <c r="U998" s="136"/>
      <c r="V998" s="136"/>
    </row>
    <row r="999" spans="14:22" x14ac:dyDescent="0.35">
      <c r="N999" s="135"/>
      <c r="O999" s="136"/>
      <c r="P999" s="136"/>
      <c r="Q999" s="136"/>
      <c r="R999" s="136"/>
      <c r="S999" s="136"/>
      <c r="T999" s="136"/>
      <c r="U999" s="136"/>
      <c r="V999" s="136"/>
    </row>
    <row r="1000" spans="14:22" x14ac:dyDescent="0.35">
      <c r="N1000" s="135"/>
      <c r="O1000" s="136"/>
      <c r="P1000" s="136"/>
      <c r="Q1000" s="136"/>
      <c r="R1000" s="136"/>
      <c r="S1000" s="136"/>
      <c r="T1000" s="136"/>
      <c r="U1000" s="136"/>
      <c r="V1000" s="136"/>
    </row>
    <row r="1001" spans="14:22" x14ac:dyDescent="0.35">
      <c r="N1001" s="135"/>
      <c r="O1001" s="136"/>
      <c r="P1001" s="136"/>
      <c r="Q1001" s="136"/>
      <c r="R1001" s="136"/>
      <c r="S1001" s="136"/>
      <c r="T1001" s="136"/>
      <c r="U1001" s="136"/>
      <c r="V1001" s="136"/>
    </row>
    <row r="1002" spans="14:22" x14ac:dyDescent="0.35">
      <c r="N1002" s="135"/>
      <c r="O1002" s="136"/>
      <c r="P1002" s="136"/>
      <c r="Q1002" s="136"/>
      <c r="R1002" s="136"/>
      <c r="S1002" s="136"/>
      <c r="T1002" s="136"/>
      <c r="U1002" s="136"/>
      <c r="V1002" s="136"/>
    </row>
    <row r="1003" spans="14:22" x14ac:dyDescent="0.35">
      <c r="N1003" s="135"/>
      <c r="O1003" s="136"/>
      <c r="P1003" s="136"/>
      <c r="Q1003" s="136"/>
      <c r="R1003" s="136"/>
      <c r="S1003" s="136"/>
      <c r="T1003" s="136"/>
      <c r="U1003" s="136"/>
      <c r="V1003" s="136"/>
    </row>
    <row r="1004" spans="14:22" x14ac:dyDescent="0.35">
      <c r="N1004" s="135"/>
      <c r="O1004" s="136"/>
      <c r="P1004" s="136"/>
      <c r="Q1004" s="136"/>
      <c r="R1004" s="136"/>
      <c r="S1004" s="136"/>
      <c r="T1004" s="136"/>
      <c r="U1004" s="136"/>
      <c r="V1004" s="136"/>
    </row>
    <row r="1005" spans="14:22" x14ac:dyDescent="0.35">
      <c r="N1005" s="135"/>
      <c r="O1005" s="136"/>
      <c r="P1005" s="136"/>
      <c r="Q1005" s="136"/>
      <c r="R1005" s="136"/>
      <c r="S1005" s="136"/>
      <c r="T1005" s="136"/>
      <c r="U1005" s="136"/>
      <c r="V1005" s="136"/>
    </row>
    <row r="1006" spans="14:22" x14ac:dyDescent="0.35">
      <c r="N1006" s="135"/>
      <c r="O1006" s="136"/>
      <c r="P1006" s="136"/>
      <c r="Q1006" s="136"/>
      <c r="R1006" s="136"/>
      <c r="S1006" s="136"/>
      <c r="T1006" s="136"/>
      <c r="U1006" s="136"/>
      <c r="V1006" s="136"/>
    </row>
    <row r="1007" spans="14:22" x14ac:dyDescent="0.35">
      <c r="N1007" s="135"/>
      <c r="O1007" s="136"/>
      <c r="P1007" s="136"/>
      <c r="Q1007" s="136"/>
      <c r="R1007" s="136"/>
      <c r="S1007" s="136"/>
      <c r="T1007" s="136"/>
      <c r="U1007" s="136"/>
      <c r="V1007" s="136"/>
    </row>
    <row r="1008" spans="14:22" x14ac:dyDescent="0.35">
      <c r="N1008" s="135"/>
      <c r="O1008" s="136"/>
      <c r="P1008" s="136"/>
      <c r="Q1008" s="136"/>
      <c r="R1008" s="136"/>
      <c r="S1008" s="136"/>
      <c r="T1008" s="136"/>
      <c r="U1008" s="136"/>
      <c r="V1008" s="136"/>
    </row>
    <row r="1009" spans="14:22" x14ac:dyDescent="0.35">
      <c r="N1009" s="135"/>
      <c r="O1009" s="136"/>
      <c r="P1009" s="136"/>
      <c r="Q1009" s="136"/>
      <c r="R1009" s="136"/>
      <c r="S1009" s="136"/>
      <c r="T1009" s="136"/>
      <c r="U1009" s="136"/>
      <c r="V1009" s="136"/>
    </row>
    <row r="1010" spans="14:22" x14ac:dyDescent="0.35">
      <c r="N1010" s="135"/>
      <c r="O1010" s="136"/>
      <c r="P1010" s="136"/>
      <c r="Q1010" s="136"/>
      <c r="R1010" s="136"/>
      <c r="S1010" s="136"/>
      <c r="T1010" s="136"/>
      <c r="U1010" s="136"/>
      <c r="V1010" s="136"/>
    </row>
    <row r="1011" spans="14:22" x14ac:dyDescent="0.35">
      <c r="N1011" s="135"/>
      <c r="O1011" s="136"/>
      <c r="P1011" s="136"/>
      <c r="Q1011" s="136"/>
      <c r="R1011" s="136"/>
      <c r="S1011" s="136"/>
      <c r="T1011" s="136"/>
      <c r="U1011" s="136"/>
      <c r="V1011" s="136"/>
    </row>
    <row r="1012" spans="14:22" x14ac:dyDescent="0.35">
      <c r="N1012" s="135"/>
      <c r="O1012" s="136"/>
      <c r="P1012" s="136"/>
      <c r="Q1012" s="136"/>
      <c r="R1012" s="136"/>
      <c r="S1012" s="136"/>
      <c r="T1012" s="136"/>
      <c r="U1012" s="136"/>
      <c r="V1012" s="136"/>
    </row>
    <row r="1013" spans="14:22" x14ac:dyDescent="0.35">
      <c r="N1013" s="135"/>
      <c r="O1013" s="136"/>
      <c r="P1013" s="136"/>
      <c r="Q1013" s="136"/>
      <c r="R1013" s="136"/>
      <c r="S1013" s="136"/>
      <c r="T1013" s="136"/>
      <c r="U1013" s="136"/>
      <c r="V1013" s="136"/>
    </row>
    <row r="1014" spans="14:22" x14ac:dyDescent="0.35">
      <c r="N1014" s="135"/>
      <c r="O1014" s="136"/>
      <c r="P1014" s="136"/>
      <c r="Q1014" s="136"/>
      <c r="R1014" s="136"/>
      <c r="S1014" s="136"/>
      <c r="T1014" s="136"/>
      <c r="U1014" s="136"/>
      <c r="V1014" s="136"/>
    </row>
    <row r="1015" spans="14:22" x14ac:dyDescent="0.35">
      <c r="N1015" s="135"/>
      <c r="O1015" s="136"/>
      <c r="P1015" s="136"/>
      <c r="Q1015" s="136"/>
      <c r="R1015" s="136"/>
      <c r="S1015" s="136"/>
      <c r="T1015" s="136"/>
      <c r="U1015" s="136"/>
      <c r="V1015" s="136"/>
    </row>
    <row r="1016" spans="14:22" x14ac:dyDescent="0.35">
      <c r="N1016" s="135"/>
      <c r="O1016" s="136"/>
      <c r="P1016" s="136"/>
      <c r="Q1016" s="136"/>
      <c r="R1016" s="136"/>
      <c r="S1016" s="136"/>
      <c r="T1016" s="136"/>
      <c r="U1016" s="136"/>
      <c r="V1016" s="136"/>
    </row>
    <row r="1017" spans="14:22" x14ac:dyDescent="0.35">
      <c r="N1017" s="135"/>
      <c r="O1017" s="136"/>
      <c r="P1017" s="136"/>
      <c r="Q1017" s="136"/>
      <c r="R1017" s="136"/>
      <c r="S1017" s="136"/>
      <c r="T1017" s="136"/>
      <c r="U1017" s="136"/>
      <c r="V1017" s="136"/>
    </row>
    <row r="1018" spans="14:22" x14ac:dyDescent="0.35">
      <c r="N1018" s="135"/>
      <c r="O1018" s="136"/>
      <c r="P1018" s="136"/>
      <c r="Q1018" s="136"/>
      <c r="R1018" s="136"/>
      <c r="S1018" s="136"/>
      <c r="T1018" s="136"/>
      <c r="U1018" s="136"/>
      <c r="V1018" s="136"/>
    </row>
    <row r="1019" spans="14:22" x14ac:dyDescent="0.35">
      <c r="T1019" s="136"/>
      <c r="U1019" s="136"/>
    </row>
  </sheetData>
  <mergeCells count="129">
    <mergeCell ref="B3:C3"/>
    <mergeCell ref="D3:E3"/>
    <mergeCell ref="N3:O3"/>
    <mergeCell ref="P3:Q3"/>
    <mergeCell ref="Y3:Z3"/>
    <mergeCell ref="AA3:AB3"/>
    <mergeCell ref="B1:J1"/>
    <mergeCell ref="N1:V1"/>
    <mergeCell ref="Y1:AG1"/>
    <mergeCell ref="B2:E2"/>
    <mergeCell ref="N2:Q2"/>
    <mergeCell ref="Y2:AB2"/>
    <mergeCell ref="Y4:Z4"/>
    <mergeCell ref="AA4:AB4"/>
    <mergeCell ref="AC4:AE4"/>
    <mergeCell ref="B6:D6"/>
    <mergeCell ref="E6:J6"/>
    <mergeCell ref="N6:P6"/>
    <mergeCell ref="Q6:V6"/>
    <mergeCell ref="Y6:AA6"/>
    <mergeCell ref="AB6:AG6"/>
    <mergeCell ref="B4:C4"/>
    <mergeCell ref="D4:E4"/>
    <mergeCell ref="F4:H4"/>
    <mergeCell ref="N4:O4"/>
    <mergeCell ref="P4:Q4"/>
    <mergeCell ref="R4:S4"/>
    <mergeCell ref="E9:F9"/>
    <mergeCell ref="Q9:R9"/>
    <mergeCell ref="AB9:AC9"/>
    <mergeCell ref="E10:F10"/>
    <mergeCell ref="Q10:R10"/>
    <mergeCell ref="AB10:AC10"/>
    <mergeCell ref="B7:D7"/>
    <mergeCell ref="E7:J7"/>
    <mergeCell ref="N7:P7"/>
    <mergeCell ref="Q7:V7"/>
    <mergeCell ref="Y7:AA7"/>
    <mergeCell ref="AB7:AG7"/>
    <mergeCell ref="E13:F13"/>
    <mergeCell ref="Q13:R13"/>
    <mergeCell ref="AB13:AC13"/>
    <mergeCell ref="E14:F14"/>
    <mergeCell ref="Q14:R14"/>
    <mergeCell ref="AB14:AC14"/>
    <mergeCell ref="E11:F11"/>
    <mergeCell ref="Q11:R11"/>
    <mergeCell ref="AB11:AC11"/>
    <mergeCell ref="E12:F12"/>
    <mergeCell ref="Q12:R12"/>
    <mergeCell ref="AB12:AC12"/>
    <mergeCell ref="E17:F17"/>
    <mergeCell ref="Q17:R17"/>
    <mergeCell ref="AB17:AC17"/>
    <mergeCell ref="E18:F18"/>
    <mergeCell ref="Q18:R18"/>
    <mergeCell ref="AB18:AC18"/>
    <mergeCell ref="E15:F15"/>
    <mergeCell ref="Q15:R15"/>
    <mergeCell ref="AB15:AC15"/>
    <mergeCell ref="E16:F16"/>
    <mergeCell ref="Q16:R16"/>
    <mergeCell ref="AB16:AC16"/>
    <mergeCell ref="E21:F21"/>
    <mergeCell ref="Q21:R21"/>
    <mergeCell ref="AB21:AC21"/>
    <mergeCell ref="E22:F22"/>
    <mergeCell ref="Q22:R22"/>
    <mergeCell ref="AB22:AC22"/>
    <mergeCell ref="E19:F19"/>
    <mergeCell ref="Q19:R19"/>
    <mergeCell ref="AB19:AC19"/>
    <mergeCell ref="E20:F20"/>
    <mergeCell ref="Q20:R20"/>
    <mergeCell ref="AB20:AC20"/>
    <mergeCell ref="E25:F25"/>
    <mergeCell ref="Q25:R25"/>
    <mergeCell ref="AB25:AC25"/>
    <mergeCell ref="E26:F26"/>
    <mergeCell ref="G26:I26"/>
    <mergeCell ref="Q26:R26"/>
    <mergeCell ref="AB26:AC26"/>
    <mergeCell ref="E23:F23"/>
    <mergeCell ref="Q23:R23"/>
    <mergeCell ref="AB23:AC23"/>
    <mergeCell ref="E24:F24"/>
    <mergeCell ref="Q24:R24"/>
    <mergeCell ref="AB24:AC24"/>
    <mergeCell ref="AD26:AF26"/>
    <mergeCell ref="B28:B30"/>
    <mergeCell ref="D28:D29"/>
    <mergeCell ref="E28:E29"/>
    <mergeCell ref="H28:I28"/>
    <mergeCell ref="N28:N30"/>
    <mergeCell ref="P28:P29"/>
    <mergeCell ref="Q28:Q29"/>
    <mergeCell ref="T28:U28"/>
    <mergeCell ref="Y28:Y30"/>
    <mergeCell ref="U29:U30"/>
    <mergeCell ref="AC29:AC30"/>
    <mergeCell ref="AD29:AD30"/>
    <mergeCell ref="AE29:AE30"/>
    <mergeCell ref="AF29:AF30"/>
    <mergeCell ref="C31:C44"/>
    <mergeCell ref="O31:O44"/>
    <mergeCell ref="Z31:Z44"/>
    <mergeCell ref="AA28:AA29"/>
    <mergeCell ref="AB28:AB29"/>
    <mergeCell ref="AE28:AF28"/>
    <mergeCell ref="F29:F30"/>
    <mergeCell ref="G29:G30"/>
    <mergeCell ref="H29:H30"/>
    <mergeCell ref="I29:I30"/>
    <mergeCell ref="R29:R30"/>
    <mergeCell ref="S29:S30"/>
    <mergeCell ref="T29:T30"/>
    <mergeCell ref="N150:S150"/>
    <mergeCell ref="Z99:Z110"/>
    <mergeCell ref="C100:C111"/>
    <mergeCell ref="O100:O111"/>
    <mergeCell ref="Z112:Z119"/>
    <mergeCell ref="C113:C120"/>
    <mergeCell ref="O113:O133"/>
    <mergeCell ref="C47:C75"/>
    <mergeCell ref="O47:O75"/>
    <mergeCell ref="Z47:Z74"/>
    <mergeCell ref="Z77:Z97"/>
    <mergeCell ref="C78:C98"/>
    <mergeCell ref="O78:O98"/>
  </mergeCells>
  <conditionalFormatting sqref="J397">
    <cfRule type="cellIs" dxfId="6" priority="3" operator="lessThan">
      <formula>0</formula>
    </cfRule>
  </conditionalFormatting>
  <conditionalFormatting sqref="V388:V1018">
    <cfRule type="cellIs" dxfId="5" priority="2" operator="lessThan">
      <formula>0</formula>
    </cfRule>
  </conditionalFormatting>
  <conditionalFormatting sqref="AG370">
    <cfRule type="cellIs" dxfId="4" priority="1" operator="lessThan">
      <formula>0</formula>
    </cfRule>
  </conditionalFormatting>
  <dataValidations count="1">
    <dataValidation allowBlank="1" showInputMessage="1" showErrorMessage="1" promptTitle="INFORMAR A RAZÃO SOCIAL " prompt="DE FATURAMENTO" sqref="E6 AB6" xr:uid="{C9DD8E0C-728A-4118-A586-E8A0E5FB1CDF}"/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4988-E2B8-40C1-B4EC-8496C8607142}">
  <dimension ref="B1:AH1054"/>
  <sheetViews>
    <sheetView showGridLines="0" topLeftCell="A83" zoomScale="70" zoomScaleNormal="70" workbookViewId="0">
      <selection activeCell="E101" sqref="E101"/>
    </sheetView>
  </sheetViews>
  <sheetFormatPr defaultRowHeight="14.5" x14ac:dyDescent="0.35"/>
  <cols>
    <col min="2" max="2" width="9.1796875" style="15" customWidth="1"/>
    <col min="3" max="4" width="9.1796875" style="1" customWidth="1"/>
    <col min="5" max="5" width="83.1796875" style="1" customWidth="1"/>
    <col min="6" max="6" width="8.1796875" style="1" customWidth="1"/>
    <col min="7" max="7" width="9.26953125" style="1" customWidth="1"/>
    <col min="8" max="8" width="12.26953125" style="1" customWidth="1"/>
    <col min="9" max="9" width="14" style="1" bestFit="1" customWidth="1"/>
    <col min="10" max="10" width="23.453125" style="1" customWidth="1"/>
    <col min="11" max="11" width="19.26953125" style="109" customWidth="1"/>
    <col min="12" max="13" width="3.26953125" customWidth="1"/>
    <col min="14" max="16" width="9.1796875" customWidth="1"/>
    <col min="17" max="17" width="80.7265625" customWidth="1"/>
    <col min="18" max="18" width="8.81640625" customWidth="1"/>
    <col min="19" max="19" width="9.1796875" customWidth="1"/>
    <col min="20" max="20" width="11" customWidth="1"/>
    <col min="21" max="21" width="12.453125" customWidth="1"/>
    <col min="22" max="22" width="20.1796875" customWidth="1"/>
    <col min="23" max="23" width="15.81640625" customWidth="1"/>
    <col min="24" max="24" width="6.1796875" style="122" customWidth="1"/>
    <col min="25" max="25" width="9.1796875" style="15" customWidth="1"/>
    <col min="26" max="27" width="9.1796875" style="1" customWidth="1"/>
    <col min="28" max="28" width="87.1796875" style="1" customWidth="1"/>
    <col min="29" max="29" width="9.81640625" style="1" customWidth="1"/>
    <col min="30" max="30" width="9.54296875" style="1" customWidth="1"/>
    <col min="31" max="31" width="11" style="1" bestFit="1" customWidth="1"/>
    <col min="32" max="32" width="12.453125" style="1" bestFit="1" customWidth="1"/>
    <col min="33" max="33" width="21.7265625" style="1" customWidth="1"/>
    <col min="34" max="34" width="17.81640625" customWidth="1"/>
  </cols>
  <sheetData>
    <row r="1" spans="2:33" ht="21" x14ac:dyDescent="0.35">
      <c r="B1" s="382"/>
      <c r="C1" s="383"/>
      <c r="D1" s="383"/>
      <c r="E1" s="383"/>
      <c r="F1" s="383"/>
      <c r="G1" s="383"/>
      <c r="H1" s="383"/>
      <c r="I1" s="383"/>
      <c r="J1" s="383"/>
      <c r="N1" s="435"/>
      <c r="O1" s="418"/>
      <c r="P1" s="418"/>
      <c r="Q1" s="418"/>
      <c r="R1" s="418"/>
      <c r="S1" s="418"/>
      <c r="T1" s="418"/>
      <c r="U1" s="418"/>
      <c r="V1" s="418"/>
      <c r="Y1" s="382"/>
      <c r="Z1" s="383"/>
      <c r="AA1" s="383"/>
      <c r="AB1" s="383"/>
      <c r="AC1" s="383"/>
      <c r="AD1" s="383"/>
      <c r="AE1" s="383"/>
      <c r="AF1" s="383"/>
      <c r="AG1" s="383"/>
    </row>
    <row r="2" spans="2:33" ht="32" x14ac:dyDescent="0.35">
      <c r="B2" s="384" t="s">
        <v>0</v>
      </c>
      <c r="C2" s="384"/>
      <c r="D2" s="384"/>
      <c r="E2" s="384"/>
      <c r="F2" s="2" t="s">
        <v>1</v>
      </c>
      <c r="G2" s="2" t="s">
        <v>2</v>
      </c>
      <c r="H2" s="2" t="s">
        <v>3</v>
      </c>
      <c r="I2" s="3" t="s">
        <v>4</v>
      </c>
      <c r="J2" s="3" t="s">
        <v>5</v>
      </c>
      <c r="N2" s="436" t="s">
        <v>0</v>
      </c>
      <c r="O2" s="418"/>
      <c r="P2" s="418"/>
      <c r="Q2" s="427"/>
      <c r="R2" s="123" t="s">
        <v>1</v>
      </c>
      <c r="S2" s="123" t="s">
        <v>2</v>
      </c>
      <c r="T2" s="123" t="s">
        <v>3</v>
      </c>
      <c r="U2" s="124" t="s">
        <v>4</v>
      </c>
      <c r="V2" s="124" t="s">
        <v>5</v>
      </c>
      <c r="X2" s="125"/>
      <c r="Y2" s="384" t="s">
        <v>0</v>
      </c>
      <c r="Z2" s="384"/>
      <c r="AA2" s="384"/>
      <c r="AB2" s="384"/>
      <c r="AC2" s="2" t="s">
        <v>1</v>
      </c>
      <c r="AD2" s="2" t="s">
        <v>2</v>
      </c>
      <c r="AE2" s="2" t="s">
        <v>3</v>
      </c>
      <c r="AF2" s="3" t="s">
        <v>4</v>
      </c>
      <c r="AG2" s="3" t="s">
        <v>5</v>
      </c>
    </row>
    <row r="3" spans="2:33" ht="18.5" x14ac:dyDescent="0.35">
      <c r="B3" s="385" t="s">
        <v>224</v>
      </c>
      <c r="C3" s="386"/>
      <c r="D3" s="387" t="s">
        <v>225</v>
      </c>
      <c r="E3" s="387"/>
      <c r="F3" s="4" t="s">
        <v>6</v>
      </c>
      <c r="G3" s="4"/>
      <c r="H3" s="5"/>
      <c r="I3" s="6">
        <v>46048</v>
      </c>
      <c r="J3" s="7">
        <v>46228</v>
      </c>
      <c r="N3" s="437" t="s">
        <v>224</v>
      </c>
      <c r="O3" s="427"/>
      <c r="P3" s="438" t="s">
        <v>225</v>
      </c>
      <c r="Q3" s="427"/>
      <c r="R3" s="126" t="s">
        <v>6</v>
      </c>
      <c r="S3" s="126"/>
      <c r="T3" s="127">
        <v>4745.76</v>
      </c>
      <c r="U3" s="128">
        <v>46048</v>
      </c>
      <c r="V3" s="129">
        <v>46228</v>
      </c>
      <c r="X3" s="125"/>
      <c r="Y3" s="385" t="s">
        <v>224</v>
      </c>
      <c r="Z3" s="386"/>
      <c r="AA3" s="387" t="s">
        <v>225</v>
      </c>
      <c r="AB3" s="387"/>
      <c r="AC3" s="4" t="s">
        <v>6</v>
      </c>
      <c r="AD3" s="4"/>
      <c r="AE3" s="5"/>
      <c r="AF3" s="6">
        <v>46048</v>
      </c>
      <c r="AG3" s="7">
        <v>46228</v>
      </c>
    </row>
    <row r="4" spans="2:33" ht="16" x14ac:dyDescent="0.35">
      <c r="B4" s="388" t="s">
        <v>7</v>
      </c>
      <c r="C4" s="389"/>
      <c r="D4" s="390"/>
      <c r="E4" s="391"/>
      <c r="F4" s="392" t="s">
        <v>8</v>
      </c>
      <c r="G4" s="393"/>
      <c r="H4" s="394"/>
      <c r="I4" s="8">
        <f>J3-I3</f>
        <v>180</v>
      </c>
      <c r="J4" s="9" t="s">
        <v>9</v>
      </c>
      <c r="N4" s="438" t="s">
        <v>7</v>
      </c>
      <c r="O4" s="427"/>
      <c r="P4" s="457"/>
      <c r="Q4" s="427"/>
      <c r="R4" s="440" t="s">
        <v>8</v>
      </c>
      <c r="S4" s="418"/>
      <c r="T4" s="130"/>
      <c r="U4" s="131">
        <v>180</v>
      </c>
      <c r="V4" s="132" t="s">
        <v>9</v>
      </c>
      <c r="Y4" s="388" t="s">
        <v>7</v>
      </c>
      <c r="Z4" s="389"/>
      <c r="AA4" s="390"/>
      <c r="AB4" s="391"/>
      <c r="AC4" s="392" t="s">
        <v>8</v>
      </c>
      <c r="AD4" s="393"/>
      <c r="AE4" s="394"/>
      <c r="AF4" s="8">
        <f>AG3-AF3</f>
        <v>180</v>
      </c>
      <c r="AG4" s="9" t="s">
        <v>9</v>
      </c>
    </row>
    <row r="5" spans="2:33" x14ac:dyDescent="0.35">
      <c r="B5" s="10"/>
      <c r="C5" s="11"/>
      <c r="D5" s="12"/>
      <c r="E5" s="11"/>
      <c r="F5" s="11"/>
      <c r="G5" s="11"/>
      <c r="H5" s="11"/>
      <c r="I5" s="11"/>
      <c r="J5" s="11"/>
      <c r="N5" s="133"/>
      <c r="O5" s="134"/>
      <c r="P5" s="134"/>
      <c r="Q5" s="134"/>
      <c r="R5" s="134"/>
      <c r="S5" s="134"/>
      <c r="T5" s="134"/>
      <c r="U5" s="134"/>
      <c r="V5" s="134"/>
      <c r="Y5" s="10"/>
      <c r="Z5" s="11"/>
      <c r="AA5" s="12"/>
      <c r="AB5" s="11"/>
      <c r="AC5" s="11"/>
      <c r="AD5" s="11"/>
      <c r="AE5" s="11"/>
      <c r="AF5" s="11"/>
      <c r="AG5" s="11"/>
    </row>
    <row r="6" spans="2:33" ht="18.5" x14ac:dyDescent="0.35">
      <c r="B6" s="392" t="s">
        <v>10</v>
      </c>
      <c r="C6" s="393"/>
      <c r="D6" s="394"/>
      <c r="E6" s="395" t="s">
        <v>297</v>
      </c>
      <c r="F6" s="396"/>
      <c r="G6" s="396"/>
      <c r="H6" s="396"/>
      <c r="I6" s="396"/>
      <c r="J6" s="396"/>
      <c r="N6" s="440" t="s">
        <v>10</v>
      </c>
      <c r="O6" s="418"/>
      <c r="P6" s="427"/>
      <c r="Q6" s="441" t="s">
        <v>298</v>
      </c>
      <c r="R6" s="418"/>
      <c r="S6" s="418"/>
      <c r="T6" s="418"/>
      <c r="U6" s="418"/>
      <c r="V6" s="418"/>
      <c r="Y6" s="392" t="s">
        <v>10</v>
      </c>
      <c r="Z6" s="393"/>
      <c r="AA6" s="394"/>
      <c r="AB6" s="395" t="s">
        <v>389</v>
      </c>
      <c r="AC6" s="396"/>
      <c r="AD6" s="396"/>
      <c r="AE6" s="396"/>
      <c r="AF6" s="396"/>
      <c r="AG6" s="396"/>
    </row>
    <row r="7" spans="2:33" ht="18.5" x14ac:dyDescent="0.35">
      <c r="B7" s="388" t="s">
        <v>11</v>
      </c>
      <c r="C7" s="397"/>
      <c r="D7" s="389"/>
      <c r="E7" s="395"/>
      <c r="F7" s="396"/>
      <c r="G7" s="396"/>
      <c r="H7" s="396"/>
      <c r="I7" s="396"/>
      <c r="J7" s="396"/>
      <c r="N7" s="438" t="s">
        <v>11</v>
      </c>
      <c r="O7" s="418"/>
      <c r="P7" s="427"/>
      <c r="Q7" s="441" t="s">
        <v>299</v>
      </c>
      <c r="R7" s="418"/>
      <c r="S7" s="418"/>
      <c r="T7" s="418"/>
      <c r="U7" s="418"/>
      <c r="V7" s="418"/>
      <c r="Y7" s="388" t="s">
        <v>11</v>
      </c>
      <c r="Z7" s="397"/>
      <c r="AA7" s="389"/>
      <c r="AB7" s="395" t="s">
        <v>390</v>
      </c>
      <c r="AC7" s="396"/>
      <c r="AD7" s="396"/>
      <c r="AE7" s="396"/>
      <c r="AF7" s="396"/>
      <c r="AG7" s="396"/>
    </row>
    <row r="8" spans="2:33" x14ac:dyDescent="0.35">
      <c r="B8" s="13"/>
      <c r="C8" s="14"/>
      <c r="D8" s="14"/>
      <c r="E8" s="14"/>
      <c r="F8" s="14"/>
      <c r="G8" s="14"/>
      <c r="H8" s="14"/>
      <c r="I8" s="14"/>
      <c r="J8" s="14"/>
      <c r="N8" s="133"/>
      <c r="O8" s="134"/>
      <c r="P8" s="134"/>
      <c r="Q8" s="134"/>
      <c r="R8" s="134"/>
      <c r="S8" s="134"/>
      <c r="T8" s="134"/>
      <c r="U8" s="134"/>
      <c r="V8" s="134"/>
      <c r="Y8" s="13"/>
      <c r="Z8" s="14"/>
      <c r="AA8" s="14"/>
      <c r="AB8" s="14"/>
      <c r="AC8" s="14"/>
      <c r="AD8" s="14"/>
      <c r="AE8" s="14"/>
      <c r="AF8" s="14"/>
      <c r="AG8" s="14"/>
    </row>
    <row r="9" spans="2:33" x14ac:dyDescent="0.35">
      <c r="D9" s="16"/>
      <c r="E9" s="398" t="s">
        <v>12</v>
      </c>
      <c r="F9" s="399"/>
      <c r="G9" s="17" t="s">
        <v>13</v>
      </c>
      <c r="H9" s="17" t="s">
        <v>14</v>
      </c>
      <c r="I9" s="17" t="s">
        <v>15</v>
      </c>
      <c r="J9" s="17" t="s">
        <v>16</v>
      </c>
      <c r="N9" s="135"/>
      <c r="O9" s="136"/>
      <c r="P9" s="137"/>
      <c r="Q9" s="443" t="s">
        <v>12</v>
      </c>
      <c r="R9" s="427"/>
      <c r="S9" s="138" t="s">
        <v>13</v>
      </c>
      <c r="T9" s="138" t="s">
        <v>14</v>
      </c>
      <c r="U9" s="138" t="s">
        <v>15</v>
      </c>
      <c r="V9" s="138" t="s">
        <v>16</v>
      </c>
      <c r="AA9" s="16"/>
      <c r="AB9" s="398" t="s">
        <v>12</v>
      </c>
      <c r="AC9" s="399"/>
      <c r="AD9" s="17" t="s">
        <v>13</v>
      </c>
      <c r="AE9" s="17" t="s">
        <v>14</v>
      </c>
      <c r="AF9" s="17" t="s">
        <v>15</v>
      </c>
      <c r="AG9" s="17" t="s">
        <v>16</v>
      </c>
    </row>
    <row r="10" spans="2:33" ht="16" x14ac:dyDescent="0.35">
      <c r="B10" s="18"/>
      <c r="C10" s="19"/>
      <c r="D10" s="19"/>
      <c r="E10" s="380" t="s">
        <v>17</v>
      </c>
      <c r="F10" s="381"/>
      <c r="G10" s="20">
        <v>810030</v>
      </c>
      <c r="H10" s="20">
        <v>10</v>
      </c>
      <c r="I10" s="20">
        <v>7317011</v>
      </c>
      <c r="J10" s="21">
        <f t="shared" ref="J10:J25" si="0">SUMIF($B$30:$B$182,G10,$J$30:$J$182)</f>
        <v>100721.85</v>
      </c>
      <c r="N10" s="139"/>
      <c r="O10" s="134"/>
      <c r="P10" s="134"/>
      <c r="Q10" s="417" t="s">
        <v>17</v>
      </c>
      <c r="R10" s="418"/>
      <c r="S10" s="140">
        <v>810030</v>
      </c>
      <c r="T10" s="140">
        <v>10</v>
      </c>
      <c r="U10" s="140">
        <v>7317011</v>
      </c>
      <c r="V10" s="141">
        <f t="shared" ref="V10:V25" si="1">SUMIF($N$30:$N$185,S10,$V$30:$V$185)</f>
        <v>50496.947328673079</v>
      </c>
      <c r="Y10" s="18"/>
      <c r="Z10" s="19"/>
      <c r="AA10" s="19"/>
      <c r="AB10" s="380" t="s">
        <v>17</v>
      </c>
      <c r="AC10" s="381"/>
      <c r="AD10" s="20">
        <v>810030</v>
      </c>
      <c r="AE10" s="20">
        <v>10</v>
      </c>
      <c r="AF10" s="20">
        <v>7317011</v>
      </c>
      <c r="AG10" s="21">
        <f t="shared" ref="AG10:AG25" si="2">SUMIF($Y$30:$Y$171,AD10,$AG$30:$AG$171)</f>
        <v>332630</v>
      </c>
    </row>
    <row r="11" spans="2:33" ht="16" x14ac:dyDescent="0.35">
      <c r="B11" s="18"/>
      <c r="C11" s="19"/>
      <c r="D11" s="19"/>
      <c r="E11" s="380" t="s">
        <v>18</v>
      </c>
      <c r="F11" s="381"/>
      <c r="G11" s="20">
        <v>810031</v>
      </c>
      <c r="H11" s="20">
        <v>20</v>
      </c>
      <c r="I11" s="20">
        <v>7316000</v>
      </c>
      <c r="J11" s="21">
        <f t="shared" si="0"/>
        <v>27840</v>
      </c>
      <c r="N11" s="139"/>
      <c r="O11" s="134"/>
      <c r="P11" s="134"/>
      <c r="Q11" s="417" t="s">
        <v>18</v>
      </c>
      <c r="R11" s="418"/>
      <c r="S11" s="140">
        <v>810031</v>
      </c>
      <c r="T11" s="140">
        <v>20</v>
      </c>
      <c r="U11" s="140">
        <v>7316000</v>
      </c>
      <c r="V11" s="141">
        <f t="shared" si="1"/>
        <v>9549.2316748293197</v>
      </c>
      <c r="Y11" s="18"/>
      <c r="Z11" s="19"/>
      <c r="AA11" s="19"/>
      <c r="AB11" s="380" t="s">
        <v>18</v>
      </c>
      <c r="AC11" s="381"/>
      <c r="AD11" s="20">
        <v>810031</v>
      </c>
      <c r="AE11" s="20">
        <v>20</v>
      </c>
      <c r="AF11" s="20">
        <v>7316000</v>
      </c>
      <c r="AG11" s="21">
        <f t="shared" si="2"/>
        <v>3200</v>
      </c>
    </row>
    <row r="12" spans="2:33" ht="16" x14ac:dyDescent="0.35">
      <c r="B12" s="18"/>
      <c r="C12" s="19"/>
      <c r="D12" s="19"/>
      <c r="E12" s="380" t="s">
        <v>19</v>
      </c>
      <c r="F12" s="381"/>
      <c r="G12" s="20">
        <v>810040</v>
      </c>
      <c r="H12" s="20">
        <v>30</v>
      </c>
      <c r="I12" s="20">
        <v>7317000</v>
      </c>
      <c r="J12" s="21">
        <f t="shared" si="0"/>
        <v>0</v>
      </c>
      <c r="N12" s="139"/>
      <c r="O12" s="134"/>
      <c r="P12" s="134"/>
      <c r="Q12" s="417" t="s">
        <v>19</v>
      </c>
      <c r="R12" s="418"/>
      <c r="S12" s="140">
        <v>810040</v>
      </c>
      <c r="T12" s="140">
        <v>30</v>
      </c>
      <c r="U12" s="140">
        <v>7317000</v>
      </c>
      <c r="V12" s="141">
        <f t="shared" si="1"/>
        <v>0</v>
      </c>
      <c r="Y12" s="18"/>
      <c r="Z12" s="19"/>
      <c r="AA12" s="19"/>
      <c r="AB12" s="380" t="s">
        <v>19</v>
      </c>
      <c r="AC12" s="381"/>
      <c r="AD12" s="20">
        <v>810040</v>
      </c>
      <c r="AE12" s="20">
        <v>30</v>
      </c>
      <c r="AF12" s="20">
        <v>7317000</v>
      </c>
      <c r="AG12" s="21">
        <f t="shared" si="2"/>
        <v>0</v>
      </c>
    </row>
    <row r="13" spans="2:33" ht="16" x14ac:dyDescent="0.35">
      <c r="B13" s="18"/>
      <c r="C13" s="19"/>
      <c r="D13" s="19"/>
      <c r="E13" s="380" t="s">
        <v>20</v>
      </c>
      <c r="F13" s="381"/>
      <c r="G13" s="20">
        <v>810041</v>
      </c>
      <c r="H13" s="20">
        <v>40</v>
      </c>
      <c r="I13" s="20">
        <v>7317120</v>
      </c>
      <c r="J13" s="21">
        <f t="shared" si="0"/>
        <v>465067.45499999996</v>
      </c>
      <c r="N13" s="139"/>
      <c r="O13" s="134"/>
      <c r="P13" s="134"/>
      <c r="Q13" s="417" t="s">
        <v>20</v>
      </c>
      <c r="R13" s="418"/>
      <c r="S13" s="140">
        <v>810041</v>
      </c>
      <c r="T13" s="140">
        <v>40</v>
      </c>
      <c r="U13" s="140">
        <v>7317120</v>
      </c>
      <c r="V13" s="141">
        <f t="shared" si="1"/>
        <v>423366.38348875195</v>
      </c>
      <c r="Y13" s="18"/>
      <c r="Z13" s="19"/>
      <c r="AA13" s="19"/>
      <c r="AB13" s="380" t="s">
        <v>20</v>
      </c>
      <c r="AC13" s="381"/>
      <c r="AD13" s="20">
        <v>810041</v>
      </c>
      <c r="AE13" s="20">
        <v>40</v>
      </c>
      <c r="AF13" s="20">
        <v>7317120</v>
      </c>
      <c r="AG13" s="21">
        <f t="shared" si="2"/>
        <v>1545028.3499999999</v>
      </c>
    </row>
    <row r="14" spans="2:33" ht="16" x14ac:dyDescent="0.35">
      <c r="B14" s="18"/>
      <c r="C14" s="19"/>
      <c r="D14" s="19"/>
      <c r="E14" s="380" t="s">
        <v>21</v>
      </c>
      <c r="F14" s="381"/>
      <c r="G14" s="20">
        <v>810051</v>
      </c>
      <c r="H14" s="20">
        <v>50</v>
      </c>
      <c r="I14" s="20">
        <v>7317002</v>
      </c>
      <c r="J14" s="21">
        <f t="shared" si="0"/>
        <v>653233.85</v>
      </c>
      <c r="N14" s="139"/>
      <c r="O14" s="134"/>
      <c r="P14" s="134"/>
      <c r="Q14" s="417" t="s">
        <v>21</v>
      </c>
      <c r="R14" s="418"/>
      <c r="S14" s="140">
        <v>810051</v>
      </c>
      <c r="T14" s="140">
        <v>50</v>
      </c>
      <c r="U14" s="140">
        <v>7317002</v>
      </c>
      <c r="V14" s="141">
        <f t="shared" si="1"/>
        <v>1029299.7244183145</v>
      </c>
      <c r="Y14" s="18"/>
      <c r="Z14" s="19"/>
      <c r="AA14" s="19"/>
      <c r="AB14" s="380" t="s">
        <v>21</v>
      </c>
      <c r="AC14" s="381"/>
      <c r="AD14" s="20">
        <v>810051</v>
      </c>
      <c r="AE14" s="20">
        <v>50</v>
      </c>
      <c r="AF14" s="20">
        <v>7317002</v>
      </c>
      <c r="AG14" s="21">
        <f t="shared" si="2"/>
        <v>389270.42000000004</v>
      </c>
    </row>
    <row r="15" spans="2:33" ht="16" x14ac:dyDescent="0.35">
      <c r="B15" s="18"/>
      <c r="C15" s="19"/>
      <c r="D15" s="19"/>
      <c r="E15" s="380" t="s">
        <v>22</v>
      </c>
      <c r="F15" s="381"/>
      <c r="G15" s="20">
        <v>810080</v>
      </c>
      <c r="H15" s="20">
        <v>60</v>
      </c>
      <c r="I15" s="20">
        <v>7361002</v>
      </c>
      <c r="J15" s="21">
        <f t="shared" si="0"/>
        <v>607480.68000000005</v>
      </c>
      <c r="N15" s="139"/>
      <c r="O15" s="134"/>
      <c r="P15" s="134"/>
      <c r="Q15" s="417" t="s">
        <v>22</v>
      </c>
      <c r="R15" s="418"/>
      <c r="S15" s="140">
        <v>810080</v>
      </c>
      <c r="T15" s="140">
        <v>60</v>
      </c>
      <c r="U15" s="140">
        <v>7361002</v>
      </c>
      <c r="V15" s="141">
        <f t="shared" si="1"/>
        <v>1312000.0368675715</v>
      </c>
      <c r="Y15" s="18"/>
      <c r="Z15" s="19"/>
      <c r="AA15" s="19"/>
      <c r="AB15" s="380" t="s">
        <v>22</v>
      </c>
      <c r="AC15" s="381"/>
      <c r="AD15" s="20">
        <v>810080</v>
      </c>
      <c r="AE15" s="20">
        <v>60</v>
      </c>
      <c r="AF15" s="20">
        <v>7361002</v>
      </c>
      <c r="AG15" s="21">
        <f t="shared" si="2"/>
        <v>1276976.23</v>
      </c>
    </row>
    <row r="16" spans="2:33" ht="16" x14ac:dyDescent="0.35">
      <c r="B16" s="18"/>
      <c r="C16" s="19"/>
      <c r="D16" s="19"/>
      <c r="E16" s="380" t="s">
        <v>23</v>
      </c>
      <c r="F16" s="381"/>
      <c r="G16" s="20">
        <v>810082</v>
      </c>
      <c r="H16" s="20">
        <v>70</v>
      </c>
      <c r="I16" s="20">
        <v>7318000</v>
      </c>
      <c r="J16" s="21">
        <f t="shared" si="0"/>
        <v>0</v>
      </c>
      <c r="N16" s="139"/>
      <c r="O16" s="134"/>
      <c r="P16" s="134"/>
      <c r="Q16" s="417" t="s">
        <v>23</v>
      </c>
      <c r="R16" s="418"/>
      <c r="S16" s="140">
        <v>810082</v>
      </c>
      <c r="T16" s="140">
        <v>70</v>
      </c>
      <c r="U16" s="140">
        <v>7318000</v>
      </c>
      <c r="V16" s="141">
        <f t="shared" si="1"/>
        <v>0</v>
      </c>
      <c r="Y16" s="18"/>
      <c r="Z16" s="19"/>
      <c r="AA16" s="19"/>
      <c r="AB16" s="380" t="s">
        <v>23</v>
      </c>
      <c r="AC16" s="381"/>
      <c r="AD16" s="20">
        <v>810082</v>
      </c>
      <c r="AE16" s="20">
        <v>70</v>
      </c>
      <c r="AF16" s="20">
        <v>7318000</v>
      </c>
      <c r="AG16" s="21">
        <f t="shared" si="2"/>
        <v>0</v>
      </c>
    </row>
    <row r="17" spans="2:33" ht="16" x14ac:dyDescent="0.35">
      <c r="B17" s="18"/>
      <c r="C17" s="19"/>
      <c r="D17" s="19"/>
      <c r="E17" s="380" t="s">
        <v>24</v>
      </c>
      <c r="F17" s="381"/>
      <c r="G17" s="20">
        <v>810100</v>
      </c>
      <c r="H17" s="20">
        <v>80</v>
      </c>
      <c r="I17" s="20">
        <v>7317012</v>
      </c>
      <c r="J17" s="21">
        <f t="shared" si="0"/>
        <v>0</v>
      </c>
      <c r="N17" s="139"/>
      <c r="O17" s="134"/>
      <c r="P17" s="134"/>
      <c r="Q17" s="417" t="s">
        <v>24</v>
      </c>
      <c r="R17" s="418"/>
      <c r="S17" s="140">
        <v>810100</v>
      </c>
      <c r="T17" s="140">
        <v>80</v>
      </c>
      <c r="U17" s="140">
        <v>7317012</v>
      </c>
      <c r="V17" s="141">
        <f t="shared" si="1"/>
        <v>0</v>
      </c>
      <c r="Y17" s="18"/>
      <c r="Z17" s="19"/>
      <c r="AA17" s="19"/>
      <c r="AB17" s="380" t="s">
        <v>24</v>
      </c>
      <c r="AC17" s="381"/>
      <c r="AD17" s="20">
        <v>810100</v>
      </c>
      <c r="AE17" s="20">
        <v>80</v>
      </c>
      <c r="AF17" s="20">
        <v>7317012</v>
      </c>
      <c r="AG17" s="21">
        <f t="shared" si="2"/>
        <v>0</v>
      </c>
    </row>
    <row r="18" spans="2:33" ht="16" x14ac:dyDescent="0.35">
      <c r="B18" s="18"/>
      <c r="C18" s="19"/>
      <c r="D18" s="19"/>
      <c r="E18" s="380" t="s">
        <v>25</v>
      </c>
      <c r="F18" s="381"/>
      <c r="G18" s="20">
        <v>810162</v>
      </c>
      <c r="H18" s="20">
        <v>90</v>
      </c>
      <c r="I18" s="20">
        <v>7333060</v>
      </c>
      <c r="J18" s="21">
        <f t="shared" si="0"/>
        <v>0</v>
      </c>
      <c r="N18" s="139"/>
      <c r="O18" s="134"/>
      <c r="P18" s="134"/>
      <c r="Q18" s="417" t="s">
        <v>25</v>
      </c>
      <c r="R18" s="418"/>
      <c r="S18" s="140">
        <v>810162</v>
      </c>
      <c r="T18" s="140">
        <v>90</v>
      </c>
      <c r="U18" s="140">
        <v>7333060</v>
      </c>
      <c r="V18" s="141">
        <f t="shared" si="1"/>
        <v>0</v>
      </c>
      <c r="Y18" s="18"/>
      <c r="Z18" s="19"/>
      <c r="AA18" s="19"/>
      <c r="AB18" s="380" t="s">
        <v>25</v>
      </c>
      <c r="AC18" s="381"/>
      <c r="AD18" s="20">
        <v>810162</v>
      </c>
      <c r="AE18" s="20">
        <v>90</v>
      </c>
      <c r="AF18" s="20">
        <v>7333060</v>
      </c>
      <c r="AG18" s="21">
        <f t="shared" si="2"/>
        <v>0</v>
      </c>
    </row>
    <row r="19" spans="2:33" ht="16" x14ac:dyDescent="0.35">
      <c r="B19" s="18"/>
      <c r="C19" s="19"/>
      <c r="D19" s="19"/>
      <c r="E19" s="380" t="s">
        <v>26</v>
      </c>
      <c r="F19" s="381"/>
      <c r="G19" s="20">
        <v>810230</v>
      </c>
      <c r="H19" s="20">
        <v>100</v>
      </c>
      <c r="I19" s="20">
        <v>7317003</v>
      </c>
      <c r="J19" s="21">
        <f t="shared" si="0"/>
        <v>8500</v>
      </c>
      <c r="N19" s="139"/>
      <c r="O19" s="134"/>
      <c r="P19" s="134"/>
      <c r="Q19" s="417" t="s">
        <v>26</v>
      </c>
      <c r="R19" s="418"/>
      <c r="S19" s="140">
        <v>810230</v>
      </c>
      <c r="T19" s="140">
        <v>100</v>
      </c>
      <c r="U19" s="140">
        <v>7317003</v>
      </c>
      <c r="V19" s="141">
        <f t="shared" si="1"/>
        <v>40882.170646279286</v>
      </c>
      <c r="Y19" s="18"/>
      <c r="Z19" s="19"/>
      <c r="AA19" s="19"/>
      <c r="AB19" s="380" t="s">
        <v>26</v>
      </c>
      <c r="AC19" s="381"/>
      <c r="AD19" s="20">
        <v>810230</v>
      </c>
      <c r="AE19" s="20">
        <v>100</v>
      </c>
      <c r="AF19" s="20">
        <v>7317003</v>
      </c>
      <c r="AG19" s="21">
        <f t="shared" si="2"/>
        <v>37800</v>
      </c>
    </row>
    <row r="20" spans="2:33" ht="16" x14ac:dyDescent="0.35">
      <c r="B20" s="18"/>
      <c r="C20" s="19"/>
      <c r="D20" s="19"/>
      <c r="E20" s="380" t="s">
        <v>27</v>
      </c>
      <c r="F20" s="381"/>
      <c r="G20" s="20">
        <v>810250</v>
      </c>
      <c r="H20" s="20">
        <v>110</v>
      </c>
      <c r="I20" s="20">
        <v>7317010</v>
      </c>
      <c r="J20" s="21">
        <f t="shared" si="0"/>
        <v>0</v>
      </c>
      <c r="N20" s="139"/>
      <c r="O20" s="134"/>
      <c r="P20" s="134"/>
      <c r="Q20" s="417" t="s">
        <v>27</v>
      </c>
      <c r="R20" s="418"/>
      <c r="S20" s="140">
        <v>810250</v>
      </c>
      <c r="T20" s="140">
        <v>110</v>
      </c>
      <c r="U20" s="140">
        <v>7317010</v>
      </c>
      <c r="V20" s="141">
        <f t="shared" si="1"/>
        <v>0</v>
      </c>
      <c r="Y20" s="18"/>
      <c r="Z20" s="19"/>
      <c r="AA20" s="19"/>
      <c r="AB20" s="380" t="s">
        <v>27</v>
      </c>
      <c r="AC20" s="381"/>
      <c r="AD20" s="20">
        <v>810250</v>
      </c>
      <c r="AE20" s="20">
        <v>110</v>
      </c>
      <c r="AF20" s="20">
        <v>7317010</v>
      </c>
      <c r="AG20" s="21">
        <f t="shared" si="2"/>
        <v>0</v>
      </c>
    </row>
    <row r="21" spans="2:33" ht="16" x14ac:dyDescent="0.35">
      <c r="B21" s="18"/>
      <c r="C21" s="19"/>
      <c r="D21" s="19"/>
      <c r="E21" s="380" t="s">
        <v>28</v>
      </c>
      <c r="F21" s="381"/>
      <c r="G21" s="20">
        <v>810260</v>
      </c>
      <c r="H21" s="20">
        <v>120</v>
      </c>
      <c r="I21" s="20">
        <v>7316012</v>
      </c>
      <c r="J21" s="21">
        <f t="shared" si="0"/>
        <v>350621.58500000002</v>
      </c>
      <c r="N21" s="139"/>
      <c r="O21" s="134"/>
      <c r="P21" s="134"/>
      <c r="Q21" s="417" t="s">
        <v>28</v>
      </c>
      <c r="R21" s="418"/>
      <c r="S21" s="140">
        <v>810260</v>
      </c>
      <c r="T21" s="140">
        <v>120</v>
      </c>
      <c r="U21" s="140">
        <v>7316012</v>
      </c>
      <c r="V21" s="141">
        <f t="shared" si="1"/>
        <v>223568.27387197004</v>
      </c>
      <c r="Y21" s="18"/>
      <c r="Z21" s="19"/>
      <c r="AA21" s="19"/>
      <c r="AB21" s="380" t="s">
        <v>28</v>
      </c>
      <c r="AC21" s="381"/>
      <c r="AD21" s="20">
        <v>810260</v>
      </c>
      <c r="AE21" s="20">
        <v>120</v>
      </c>
      <c r="AF21" s="20">
        <v>7316012</v>
      </c>
      <c r="AG21" s="21">
        <f t="shared" si="2"/>
        <v>190455.6</v>
      </c>
    </row>
    <row r="22" spans="2:33" ht="16" x14ac:dyDescent="0.35">
      <c r="B22" s="18"/>
      <c r="C22" s="19"/>
      <c r="D22" s="19"/>
      <c r="E22" s="380" t="s">
        <v>29</v>
      </c>
      <c r="F22" s="381"/>
      <c r="G22" s="20">
        <v>810321</v>
      </c>
      <c r="H22" s="20">
        <v>130</v>
      </c>
      <c r="I22" s="20">
        <v>7312130</v>
      </c>
      <c r="J22" s="21">
        <f t="shared" si="0"/>
        <v>0</v>
      </c>
      <c r="N22" s="139"/>
      <c r="O22" s="134"/>
      <c r="P22" s="134"/>
      <c r="Q22" s="417" t="s">
        <v>29</v>
      </c>
      <c r="R22" s="418"/>
      <c r="S22" s="140">
        <v>810321</v>
      </c>
      <c r="T22" s="140">
        <v>130</v>
      </c>
      <c r="U22" s="140">
        <v>7312130</v>
      </c>
      <c r="V22" s="141">
        <f t="shared" si="1"/>
        <v>0</v>
      </c>
      <c r="Y22" s="18"/>
      <c r="Z22" s="19"/>
      <c r="AA22" s="19"/>
      <c r="AB22" s="380" t="s">
        <v>29</v>
      </c>
      <c r="AC22" s="381"/>
      <c r="AD22" s="20">
        <v>810321</v>
      </c>
      <c r="AE22" s="20">
        <v>130</v>
      </c>
      <c r="AF22" s="20">
        <v>7312130</v>
      </c>
      <c r="AG22" s="21">
        <f t="shared" si="2"/>
        <v>0</v>
      </c>
    </row>
    <row r="23" spans="2:33" ht="16" x14ac:dyDescent="0.35">
      <c r="B23" s="18"/>
      <c r="C23" s="19"/>
      <c r="D23" s="19"/>
      <c r="E23" s="380" t="s">
        <v>30</v>
      </c>
      <c r="F23" s="381"/>
      <c r="G23" s="20">
        <v>810210</v>
      </c>
      <c r="H23" s="20">
        <v>140</v>
      </c>
      <c r="I23" s="20">
        <v>7332021</v>
      </c>
      <c r="J23" s="21">
        <f t="shared" si="0"/>
        <v>36444</v>
      </c>
      <c r="N23" s="139"/>
      <c r="O23" s="134"/>
      <c r="P23" s="134"/>
      <c r="Q23" s="417" t="s">
        <v>30</v>
      </c>
      <c r="R23" s="418"/>
      <c r="S23" s="140">
        <v>810210</v>
      </c>
      <c r="T23" s="140">
        <v>140</v>
      </c>
      <c r="U23" s="140">
        <v>7332021</v>
      </c>
      <c r="V23" s="141">
        <f t="shared" si="1"/>
        <v>371311.99340403185</v>
      </c>
      <c r="Y23" s="18"/>
      <c r="Z23" s="19"/>
      <c r="AA23" s="19"/>
      <c r="AB23" s="380" t="s">
        <v>30</v>
      </c>
      <c r="AC23" s="381"/>
      <c r="AD23" s="20">
        <v>810210</v>
      </c>
      <c r="AE23" s="20">
        <v>140</v>
      </c>
      <c r="AF23" s="20">
        <v>7332021</v>
      </c>
      <c r="AG23" s="21">
        <f t="shared" si="2"/>
        <v>66380</v>
      </c>
    </row>
    <row r="24" spans="2:33" ht="16" x14ac:dyDescent="0.35">
      <c r="B24" s="18"/>
      <c r="C24" s="19"/>
      <c r="D24" s="19"/>
      <c r="E24" s="380" t="s">
        <v>31</v>
      </c>
      <c r="F24" s="381"/>
      <c r="G24" s="20">
        <v>810213</v>
      </c>
      <c r="H24" s="20">
        <v>150</v>
      </c>
      <c r="I24" s="20">
        <v>7332023</v>
      </c>
      <c r="J24" s="21">
        <f t="shared" si="0"/>
        <v>259543.02499999999</v>
      </c>
      <c r="N24" s="139"/>
      <c r="O24" s="134"/>
      <c r="P24" s="134"/>
      <c r="Q24" s="417" t="s">
        <v>31</v>
      </c>
      <c r="R24" s="418"/>
      <c r="S24" s="140">
        <v>810213</v>
      </c>
      <c r="T24" s="140">
        <v>150</v>
      </c>
      <c r="U24" s="140">
        <v>7332023</v>
      </c>
      <c r="V24" s="141">
        <f t="shared" si="1"/>
        <v>682351.8739444036</v>
      </c>
      <c r="Y24" s="18"/>
      <c r="Z24" s="19"/>
      <c r="AA24" s="19"/>
      <c r="AB24" s="380" t="s">
        <v>31</v>
      </c>
      <c r="AC24" s="381"/>
      <c r="AD24" s="20">
        <v>810213</v>
      </c>
      <c r="AE24" s="20">
        <v>150</v>
      </c>
      <c r="AF24" s="20">
        <v>7332023</v>
      </c>
      <c r="AG24" s="21">
        <f t="shared" si="2"/>
        <v>545958</v>
      </c>
    </row>
    <row r="25" spans="2:33" ht="16" x14ac:dyDescent="0.35">
      <c r="B25" s="18"/>
      <c r="C25" s="19"/>
      <c r="D25" s="19"/>
      <c r="E25" s="424"/>
      <c r="F25" s="425"/>
      <c r="G25" s="20" t="s">
        <v>32</v>
      </c>
      <c r="H25" s="20">
        <v>160</v>
      </c>
      <c r="I25" s="20"/>
      <c r="J25" s="21">
        <f t="shared" si="0"/>
        <v>82942.350000000006</v>
      </c>
      <c r="K25" s="121"/>
      <c r="N25" s="139"/>
      <c r="O25" s="134"/>
      <c r="P25" s="134"/>
      <c r="Q25" s="426"/>
      <c r="R25" s="427"/>
      <c r="S25" s="140" t="s">
        <v>32</v>
      </c>
      <c r="T25" s="140">
        <v>160</v>
      </c>
      <c r="U25" s="140"/>
      <c r="V25" s="141">
        <f t="shared" si="1"/>
        <v>187387.42918270113</v>
      </c>
      <c r="Y25" s="18"/>
      <c r="Z25" s="19"/>
      <c r="AA25" s="19"/>
      <c r="AB25" s="424"/>
      <c r="AC25" s="425"/>
      <c r="AD25" s="20" t="s">
        <v>32</v>
      </c>
      <c r="AE25" s="20">
        <v>160</v>
      </c>
      <c r="AF25" s="20"/>
      <c r="AG25" s="21">
        <f t="shared" si="2"/>
        <v>0</v>
      </c>
    </row>
    <row r="26" spans="2:33" ht="18.5" x14ac:dyDescent="0.35">
      <c r="B26" s="18"/>
      <c r="C26" s="19"/>
      <c r="D26" s="19"/>
      <c r="E26" s="419" t="s">
        <v>33</v>
      </c>
      <c r="F26" s="419"/>
      <c r="G26" s="419"/>
      <c r="H26" s="419"/>
      <c r="I26" s="420"/>
      <c r="J26" s="22">
        <f>SUM(J10:J25)</f>
        <v>2592394.7949999999</v>
      </c>
      <c r="N26" s="139"/>
      <c r="O26" s="134"/>
      <c r="P26" s="134"/>
      <c r="Q26" s="456" t="s">
        <v>33</v>
      </c>
      <c r="R26" s="448"/>
      <c r="S26" s="281"/>
      <c r="T26" s="281"/>
      <c r="U26" s="280"/>
      <c r="V26" s="279">
        <f>SUM(V10:V25)</f>
        <v>4330214.064827526</v>
      </c>
      <c r="Y26" s="18"/>
      <c r="Z26" s="19"/>
      <c r="AA26" s="19"/>
      <c r="AB26" s="419" t="s">
        <v>33</v>
      </c>
      <c r="AC26" s="419"/>
      <c r="AD26" s="419"/>
      <c r="AE26" s="419"/>
      <c r="AF26" s="420"/>
      <c r="AG26" s="22">
        <f>SUM(AG10:AG25)</f>
        <v>4387698.5999999996</v>
      </c>
    </row>
    <row r="27" spans="2:33" x14ac:dyDescent="0.35">
      <c r="B27" s="23"/>
      <c r="C27" s="24"/>
      <c r="D27" s="24"/>
      <c r="E27" s="25"/>
      <c r="F27" s="24"/>
      <c r="G27" s="26"/>
      <c r="H27" s="26"/>
      <c r="I27" s="27"/>
      <c r="J27" s="27"/>
      <c r="N27" s="145"/>
      <c r="O27" s="146"/>
      <c r="P27" s="146"/>
      <c r="Q27" s="147"/>
      <c r="R27" s="146"/>
      <c r="S27" s="148"/>
      <c r="T27" s="148"/>
      <c r="U27" s="149"/>
      <c r="V27" s="149"/>
      <c r="Y27" s="23"/>
      <c r="Z27" s="24"/>
      <c r="AA27" s="24"/>
      <c r="AB27" s="25"/>
      <c r="AC27" s="24"/>
      <c r="AD27" s="26"/>
      <c r="AE27" s="26"/>
      <c r="AF27" s="27"/>
      <c r="AG27" s="27"/>
    </row>
    <row r="28" spans="2:33" x14ac:dyDescent="0.35">
      <c r="B28" s="400" t="s">
        <v>13</v>
      </c>
      <c r="C28" s="28"/>
      <c r="D28" s="403" t="s">
        <v>14</v>
      </c>
      <c r="E28" s="405" t="s">
        <v>12</v>
      </c>
      <c r="F28" s="29"/>
      <c r="G28" s="30"/>
      <c r="H28" s="414" t="s">
        <v>34</v>
      </c>
      <c r="I28" s="414"/>
      <c r="J28" s="30"/>
      <c r="N28" s="449" t="s">
        <v>13</v>
      </c>
      <c r="O28" s="150"/>
      <c r="P28" s="454" t="s">
        <v>14</v>
      </c>
      <c r="Q28" s="455" t="s">
        <v>12</v>
      </c>
      <c r="R28" s="278"/>
      <c r="S28" s="153"/>
      <c r="T28" s="430" t="s">
        <v>34</v>
      </c>
      <c r="U28" s="427"/>
      <c r="V28" s="153"/>
      <c r="Y28" s="400" t="s">
        <v>13</v>
      </c>
      <c r="Z28" s="28"/>
      <c r="AA28" s="403" t="s">
        <v>14</v>
      </c>
      <c r="AB28" s="405" t="s">
        <v>12</v>
      </c>
      <c r="AC28" s="29"/>
      <c r="AD28" s="30"/>
      <c r="AE28" s="414" t="s">
        <v>34</v>
      </c>
      <c r="AF28" s="414"/>
      <c r="AG28" s="30"/>
    </row>
    <row r="29" spans="2:33" x14ac:dyDescent="0.35">
      <c r="B29" s="401"/>
      <c r="C29" s="31"/>
      <c r="D29" s="404"/>
      <c r="E29" s="406"/>
      <c r="F29" s="407" t="s">
        <v>35</v>
      </c>
      <c r="G29" s="412" t="s">
        <v>36</v>
      </c>
      <c r="H29" s="415" t="s">
        <v>37</v>
      </c>
      <c r="I29" s="415" t="s">
        <v>38</v>
      </c>
      <c r="J29" s="32" t="s">
        <v>33</v>
      </c>
      <c r="N29" s="429"/>
      <c r="O29" s="154"/>
      <c r="P29" s="432"/>
      <c r="Q29" s="432"/>
      <c r="R29" s="453" t="s">
        <v>35</v>
      </c>
      <c r="S29" s="428" t="s">
        <v>36</v>
      </c>
      <c r="T29" s="428" t="s">
        <v>37</v>
      </c>
      <c r="U29" s="428" t="s">
        <v>38</v>
      </c>
      <c r="V29" s="155" t="s">
        <v>33</v>
      </c>
      <c r="Y29" s="401"/>
      <c r="Z29" s="31"/>
      <c r="AA29" s="404"/>
      <c r="AB29" s="406"/>
      <c r="AC29" s="407" t="s">
        <v>35</v>
      </c>
      <c r="AD29" s="412" t="s">
        <v>36</v>
      </c>
      <c r="AE29" s="415" t="s">
        <v>37</v>
      </c>
      <c r="AF29" s="415" t="s">
        <v>38</v>
      </c>
      <c r="AG29" s="32" t="s">
        <v>33</v>
      </c>
    </row>
    <row r="30" spans="2:33" x14ac:dyDescent="0.35">
      <c r="B30" s="402"/>
      <c r="C30" s="33"/>
      <c r="D30" s="34" t="s">
        <v>39</v>
      </c>
      <c r="E30" s="35" t="s">
        <v>40</v>
      </c>
      <c r="F30" s="408"/>
      <c r="G30" s="413"/>
      <c r="H30" s="416"/>
      <c r="I30" s="416"/>
      <c r="J30" s="36">
        <f>SUM(J31:J44)</f>
        <v>572348.56000000006</v>
      </c>
      <c r="N30" s="432"/>
      <c r="O30" s="156"/>
      <c r="P30" s="277" t="s">
        <v>39</v>
      </c>
      <c r="Q30" s="276" t="s">
        <v>40</v>
      </c>
      <c r="R30" s="429"/>
      <c r="S30" s="429"/>
      <c r="T30" s="429"/>
      <c r="U30" s="429"/>
      <c r="V30" s="159">
        <f>SUM(V31:V44)</f>
        <v>1283212.1591220971</v>
      </c>
      <c r="Y30" s="402"/>
      <c r="Z30" s="33"/>
      <c r="AA30" s="34" t="s">
        <v>39</v>
      </c>
      <c r="AB30" s="35" t="s">
        <v>40</v>
      </c>
      <c r="AC30" s="408"/>
      <c r="AD30" s="413"/>
      <c r="AE30" s="416"/>
      <c r="AF30" s="416"/>
      <c r="AG30" s="36">
        <f>SUM(AG31:AG44)</f>
        <v>634631.73</v>
      </c>
    </row>
    <row r="31" spans="2:33" x14ac:dyDescent="0.35">
      <c r="B31" s="37">
        <v>810080</v>
      </c>
      <c r="C31" s="409" t="s">
        <v>40</v>
      </c>
      <c r="D31" s="64" t="s">
        <v>41</v>
      </c>
      <c r="E31" s="39" t="s">
        <v>42</v>
      </c>
      <c r="F31" s="38" t="s">
        <v>43</v>
      </c>
      <c r="G31" s="110">
        <v>11</v>
      </c>
      <c r="H31" s="238">
        <v>800</v>
      </c>
      <c r="I31" s="42"/>
      <c r="J31" s="66">
        <f t="shared" ref="J31:J44" si="3">G31*H31+I31*G31</f>
        <v>8800</v>
      </c>
      <c r="N31" s="160">
        <v>810080</v>
      </c>
      <c r="O31" s="445" t="s">
        <v>40</v>
      </c>
      <c r="P31" s="161" t="s">
        <v>41</v>
      </c>
      <c r="Q31" s="162" t="s">
        <v>42</v>
      </c>
      <c r="R31" s="161" t="s">
        <v>43</v>
      </c>
      <c r="S31" s="229">
        <v>80</v>
      </c>
      <c r="T31" s="236">
        <v>305.57541359453825</v>
      </c>
      <c r="U31" s="236">
        <v>152.78770679726912</v>
      </c>
      <c r="V31" s="165">
        <f t="shared" ref="V31:V44" si="4">S31*T31+U31*S31</f>
        <v>36669.049631344591</v>
      </c>
      <c r="Y31" s="37">
        <v>810080</v>
      </c>
      <c r="Z31" s="409" t="s">
        <v>40</v>
      </c>
      <c r="AA31" s="38" t="s">
        <v>41</v>
      </c>
      <c r="AB31" s="39" t="s">
        <v>42</v>
      </c>
      <c r="AC31" s="38" t="s">
        <v>43</v>
      </c>
      <c r="AD31" s="40">
        <v>12</v>
      </c>
      <c r="AE31" s="238">
        <v>442</v>
      </c>
      <c r="AF31" s="42">
        <v>0</v>
      </c>
      <c r="AG31" s="66">
        <f t="shared" ref="AG31:AG44" si="5">AD31*AE31+AF31*AD31</f>
        <v>5304</v>
      </c>
    </row>
    <row r="32" spans="2:33" ht="26" x14ac:dyDescent="0.35">
      <c r="B32" s="37">
        <v>810080</v>
      </c>
      <c r="C32" s="410"/>
      <c r="D32" s="64" t="s">
        <v>44</v>
      </c>
      <c r="E32" s="39" t="s">
        <v>45</v>
      </c>
      <c r="F32" s="38" t="s">
        <v>46</v>
      </c>
      <c r="G32" s="40">
        <v>1</v>
      </c>
      <c r="H32" s="238">
        <v>15000</v>
      </c>
      <c r="I32" s="42"/>
      <c r="J32" s="66">
        <f t="shared" si="3"/>
        <v>15000</v>
      </c>
      <c r="N32" s="160">
        <v>810080</v>
      </c>
      <c r="O32" s="429"/>
      <c r="P32" s="161" t="s">
        <v>44</v>
      </c>
      <c r="Q32" s="162" t="s">
        <v>45</v>
      </c>
      <c r="R32" s="161" t="s">
        <v>46</v>
      </c>
      <c r="S32" s="163">
        <v>1</v>
      </c>
      <c r="T32" s="236">
        <v>4745.2296684739849</v>
      </c>
      <c r="U32" s="236">
        <v>2372.6148342369925</v>
      </c>
      <c r="V32" s="165">
        <f t="shared" si="4"/>
        <v>7117.8445027109774</v>
      </c>
      <c r="Y32" s="37">
        <v>810080</v>
      </c>
      <c r="Z32" s="410"/>
      <c r="AA32" s="38" t="s">
        <v>44</v>
      </c>
      <c r="AB32" s="39" t="s">
        <v>45</v>
      </c>
      <c r="AC32" s="38" t="s">
        <v>46</v>
      </c>
      <c r="AD32" s="40">
        <v>1</v>
      </c>
      <c r="AE32" s="238">
        <v>22000</v>
      </c>
      <c r="AF32" s="246">
        <v>4500</v>
      </c>
      <c r="AG32" s="66">
        <f t="shared" si="5"/>
        <v>26500</v>
      </c>
    </row>
    <row r="33" spans="2:33" x14ac:dyDescent="0.35">
      <c r="B33" s="37">
        <v>810080</v>
      </c>
      <c r="C33" s="410"/>
      <c r="D33" s="64" t="s">
        <v>47</v>
      </c>
      <c r="E33" s="39" t="s">
        <v>48</v>
      </c>
      <c r="F33" s="38" t="s">
        <v>46</v>
      </c>
      <c r="G33" s="110">
        <v>1</v>
      </c>
      <c r="H33" s="238">
        <v>52000</v>
      </c>
      <c r="I33" s="42"/>
      <c r="J33" s="66">
        <f t="shared" si="3"/>
        <v>52000</v>
      </c>
      <c r="N33" s="160">
        <v>810080</v>
      </c>
      <c r="O33" s="429"/>
      <c r="P33" s="161" t="s">
        <v>47</v>
      </c>
      <c r="Q33" s="162" t="s">
        <v>48</v>
      </c>
      <c r="R33" s="161" t="s">
        <v>46</v>
      </c>
      <c r="S33" s="163">
        <v>1</v>
      </c>
      <c r="T33" s="164">
        <v>0</v>
      </c>
      <c r="U33" s="236">
        <v>12746.360275874216</v>
      </c>
      <c r="V33" s="165">
        <f t="shared" si="4"/>
        <v>12746.360275874216</v>
      </c>
      <c r="Y33" s="37">
        <v>810080</v>
      </c>
      <c r="Z33" s="410"/>
      <c r="AA33" s="38" t="s">
        <v>47</v>
      </c>
      <c r="AB33" s="39" t="s">
        <v>48</v>
      </c>
      <c r="AC33" s="38" t="s">
        <v>46</v>
      </c>
      <c r="AD33" s="40">
        <v>1</v>
      </c>
      <c r="AE33" s="238">
        <v>96000</v>
      </c>
      <c r="AF33" s="42"/>
      <c r="AG33" s="66">
        <f t="shared" si="5"/>
        <v>96000</v>
      </c>
    </row>
    <row r="34" spans="2:33" x14ac:dyDescent="0.35">
      <c r="B34" s="37">
        <v>810080</v>
      </c>
      <c r="C34" s="410"/>
      <c r="D34" s="64" t="s">
        <v>49</v>
      </c>
      <c r="E34" s="39" t="s">
        <v>50</v>
      </c>
      <c r="F34" s="38" t="s">
        <v>46</v>
      </c>
      <c r="G34" s="110">
        <v>1</v>
      </c>
      <c r="H34" s="244">
        <v>24000</v>
      </c>
      <c r="I34" s="45"/>
      <c r="J34" s="66">
        <f t="shared" si="3"/>
        <v>24000</v>
      </c>
      <c r="N34" s="160">
        <v>810080</v>
      </c>
      <c r="O34" s="429"/>
      <c r="P34" s="161" t="s">
        <v>49</v>
      </c>
      <c r="Q34" s="162" t="s">
        <v>50</v>
      </c>
      <c r="R34" s="161" t="s">
        <v>46</v>
      </c>
      <c r="S34" s="163">
        <v>1</v>
      </c>
      <c r="T34" s="164">
        <v>0</v>
      </c>
      <c r="U34" s="236">
        <v>41310.663769992228</v>
      </c>
      <c r="V34" s="165">
        <f t="shared" si="4"/>
        <v>41310.663769992228</v>
      </c>
      <c r="Y34" s="37">
        <v>810080</v>
      </c>
      <c r="Z34" s="410"/>
      <c r="AA34" s="38" t="s">
        <v>49</v>
      </c>
      <c r="AB34" s="39" t="s">
        <v>50</v>
      </c>
      <c r="AC34" s="38" t="s">
        <v>46</v>
      </c>
      <c r="AD34" s="40">
        <v>1</v>
      </c>
      <c r="AE34" s="244">
        <v>48000</v>
      </c>
      <c r="AF34" s="45"/>
      <c r="AG34" s="66">
        <f t="shared" si="5"/>
        <v>48000</v>
      </c>
    </row>
    <row r="35" spans="2:33" x14ac:dyDescent="0.35">
      <c r="B35" s="37">
        <v>810080</v>
      </c>
      <c r="C35" s="410"/>
      <c r="D35" s="64" t="s">
        <v>51</v>
      </c>
      <c r="E35" s="39" t="s">
        <v>52</v>
      </c>
      <c r="F35" s="38" t="s">
        <v>46</v>
      </c>
      <c r="G35" s="110">
        <v>1</v>
      </c>
      <c r="H35" s="238">
        <v>8500</v>
      </c>
      <c r="I35" s="46"/>
      <c r="J35" s="66">
        <f t="shared" si="3"/>
        <v>8500</v>
      </c>
      <c r="N35" s="160">
        <v>810080</v>
      </c>
      <c r="O35" s="429"/>
      <c r="P35" s="161" t="s">
        <v>51</v>
      </c>
      <c r="Q35" s="162" t="s">
        <v>52</v>
      </c>
      <c r="R35" s="161" t="s">
        <v>71</v>
      </c>
      <c r="S35" s="163">
        <v>6</v>
      </c>
      <c r="T35" s="164">
        <v>0</v>
      </c>
      <c r="U35" s="236">
        <v>15822.674048180195</v>
      </c>
      <c r="V35" s="165">
        <f t="shared" si="4"/>
        <v>94936.044289081168</v>
      </c>
      <c r="Y35" s="37">
        <v>810080</v>
      </c>
      <c r="Z35" s="410"/>
      <c r="AA35" s="38" t="s">
        <v>51</v>
      </c>
      <c r="AB35" s="39" t="s">
        <v>52</v>
      </c>
      <c r="AC35" s="38" t="s">
        <v>46</v>
      </c>
      <c r="AD35" s="40">
        <v>1</v>
      </c>
      <c r="AE35" s="41"/>
      <c r="AF35" s="245">
        <v>20000</v>
      </c>
      <c r="AG35" s="66">
        <f t="shared" si="5"/>
        <v>20000</v>
      </c>
    </row>
    <row r="36" spans="2:33" x14ac:dyDescent="0.35">
      <c r="B36" s="37">
        <v>810080</v>
      </c>
      <c r="C36" s="410"/>
      <c r="D36" s="64" t="s">
        <v>53</v>
      </c>
      <c r="E36" s="39" t="s">
        <v>54</v>
      </c>
      <c r="F36" s="38" t="s">
        <v>215</v>
      </c>
      <c r="G36" s="110">
        <v>6</v>
      </c>
      <c r="H36" s="115">
        <v>1000</v>
      </c>
      <c r="I36" s="245">
        <v>8500</v>
      </c>
      <c r="J36" s="66">
        <f t="shared" si="3"/>
        <v>57000</v>
      </c>
      <c r="N36" s="160">
        <v>810080</v>
      </c>
      <c r="O36" s="429"/>
      <c r="P36" s="161" t="s">
        <v>53</v>
      </c>
      <c r="Q36" s="162" t="s">
        <v>54</v>
      </c>
      <c r="R36" s="161" t="s">
        <v>71</v>
      </c>
      <c r="S36" s="163">
        <v>6</v>
      </c>
      <c r="T36" s="164">
        <v>0</v>
      </c>
      <c r="U36" s="236">
        <v>6743.8115303525337</v>
      </c>
      <c r="V36" s="165">
        <f t="shared" si="4"/>
        <v>40462.869182115202</v>
      </c>
      <c r="Y36" s="37">
        <v>810080</v>
      </c>
      <c r="Z36" s="410"/>
      <c r="AA36" s="38" t="s">
        <v>53</v>
      </c>
      <c r="AB36" s="39" t="s">
        <v>54</v>
      </c>
      <c r="AC36" s="38" t="s">
        <v>55</v>
      </c>
      <c r="AD36" s="40">
        <v>180</v>
      </c>
      <c r="AE36" s="238">
        <v>70</v>
      </c>
      <c r="AF36" s="245">
        <v>450</v>
      </c>
      <c r="AG36" s="66">
        <f t="shared" si="5"/>
        <v>93600</v>
      </c>
    </row>
    <row r="37" spans="2:33" ht="29" x14ac:dyDescent="0.35">
      <c r="B37" s="37">
        <v>810080</v>
      </c>
      <c r="C37" s="410"/>
      <c r="D37" s="64" t="s">
        <v>56</v>
      </c>
      <c r="E37" s="63" t="s">
        <v>57</v>
      </c>
      <c r="F37" s="38" t="s">
        <v>55</v>
      </c>
      <c r="G37" s="255">
        <v>7</v>
      </c>
      <c r="H37" s="238">
        <v>150</v>
      </c>
      <c r="I37" s="246">
        <v>6000</v>
      </c>
      <c r="J37" s="66">
        <f t="shared" si="3"/>
        <v>43050</v>
      </c>
      <c r="K37" s="109" t="s">
        <v>263</v>
      </c>
      <c r="N37" s="160">
        <v>810080</v>
      </c>
      <c r="O37" s="429"/>
      <c r="P37" s="161" t="s">
        <v>56</v>
      </c>
      <c r="Q37" s="162" t="s">
        <v>57</v>
      </c>
      <c r="R37" s="161" t="s">
        <v>55</v>
      </c>
      <c r="S37" s="167">
        <v>7</v>
      </c>
      <c r="T37" s="236">
        <v>64294.900472772417</v>
      </c>
      <c r="U37" s="236">
        <v>45924.928909123162</v>
      </c>
      <c r="V37" s="165">
        <f t="shared" si="4"/>
        <v>771538.80567326909</v>
      </c>
      <c r="W37" s="168"/>
      <c r="Y37" s="37">
        <v>810080</v>
      </c>
      <c r="Z37" s="410"/>
      <c r="AA37" s="38" t="s">
        <v>56</v>
      </c>
      <c r="AB37" s="39" t="s">
        <v>57</v>
      </c>
      <c r="AC37" s="38" t="s">
        <v>55</v>
      </c>
      <c r="AD37" s="40">
        <v>32</v>
      </c>
      <c r="AE37" s="238">
        <v>360</v>
      </c>
      <c r="AF37" s="246">
        <v>550</v>
      </c>
      <c r="AG37" s="66">
        <f t="shared" si="5"/>
        <v>29120</v>
      </c>
    </row>
    <row r="38" spans="2:33" ht="39" x14ac:dyDescent="0.35">
      <c r="B38" s="37">
        <v>810080</v>
      </c>
      <c r="C38" s="410"/>
      <c r="D38" s="64" t="s">
        <v>58</v>
      </c>
      <c r="E38" s="39" t="s">
        <v>59</v>
      </c>
      <c r="F38" s="64" t="s">
        <v>46</v>
      </c>
      <c r="G38" s="255">
        <v>1</v>
      </c>
      <c r="H38" s="244">
        <v>130425</v>
      </c>
      <c r="I38" s="245">
        <v>54000</v>
      </c>
      <c r="J38" s="66">
        <f t="shared" si="3"/>
        <v>184425</v>
      </c>
      <c r="K38" s="112" t="s">
        <v>242</v>
      </c>
      <c r="N38" s="160">
        <v>810080</v>
      </c>
      <c r="O38" s="429"/>
      <c r="P38" s="161" t="s">
        <v>58</v>
      </c>
      <c r="Q38" s="162" t="s">
        <v>59</v>
      </c>
      <c r="R38" s="161" t="s">
        <v>46</v>
      </c>
      <c r="S38" s="163">
        <v>1</v>
      </c>
      <c r="T38" s="236">
        <v>36414.403453349143</v>
      </c>
      <c r="U38" s="236">
        <v>12751.934530121152</v>
      </c>
      <c r="V38" s="165">
        <f t="shared" si="4"/>
        <v>49166.337983470294</v>
      </c>
      <c r="Y38" s="37">
        <v>810080</v>
      </c>
      <c r="Z38" s="410"/>
      <c r="AA38" s="38" t="s">
        <v>58</v>
      </c>
      <c r="AB38" s="39" t="s">
        <v>59</v>
      </c>
      <c r="AC38" s="38" t="s">
        <v>46</v>
      </c>
      <c r="AD38" s="40">
        <v>1</v>
      </c>
      <c r="AE38" s="244">
        <v>65000</v>
      </c>
      <c r="AF38" s="245">
        <v>8500</v>
      </c>
      <c r="AG38" s="66">
        <f t="shared" si="5"/>
        <v>73500</v>
      </c>
    </row>
    <row r="39" spans="2:33" ht="26" x14ac:dyDescent="0.35">
      <c r="B39" s="37">
        <v>810080</v>
      </c>
      <c r="C39" s="410"/>
      <c r="D39" s="64" t="s">
        <v>60</v>
      </c>
      <c r="E39" s="39" t="s">
        <v>61</v>
      </c>
      <c r="F39" s="38" t="s">
        <v>46</v>
      </c>
      <c r="G39" s="40">
        <v>1</v>
      </c>
      <c r="H39" s="238">
        <v>15000</v>
      </c>
      <c r="I39" s="42"/>
      <c r="J39" s="66">
        <f t="shared" si="3"/>
        <v>15000</v>
      </c>
      <c r="N39" s="160">
        <v>810080</v>
      </c>
      <c r="O39" s="429"/>
      <c r="P39" s="161" t="s">
        <v>60</v>
      </c>
      <c r="Q39" s="162" t="s">
        <v>61</v>
      </c>
      <c r="R39" s="161" t="s">
        <v>46</v>
      </c>
      <c r="S39" s="163">
        <v>1</v>
      </c>
      <c r="T39" s="236">
        <v>4097.3843270357647</v>
      </c>
      <c r="U39" s="164">
        <v>0</v>
      </c>
      <c r="V39" s="165">
        <f t="shared" si="4"/>
        <v>4097.3843270357647</v>
      </c>
      <c r="Y39" s="37">
        <v>810080</v>
      </c>
      <c r="Z39" s="410"/>
      <c r="AA39" s="38" t="s">
        <v>60</v>
      </c>
      <c r="AB39" s="39" t="s">
        <v>61</v>
      </c>
      <c r="AC39" s="38" t="s">
        <v>46</v>
      </c>
      <c r="AD39" s="40">
        <v>1</v>
      </c>
      <c r="AE39" s="41">
        <v>4800</v>
      </c>
      <c r="AF39" s="42"/>
      <c r="AG39" s="66">
        <f t="shared" si="5"/>
        <v>4800</v>
      </c>
    </row>
    <row r="40" spans="2:33" ht="39" x14ac:dyDescent="0.35">
      <c r="B40" s="37">
        <v>810080</v>
      </c>
      <c r="C40" s="410"/>
      <c r="D40" s="64" t="s">
        <v>62</v>
      </c>
      <c r="E40" s="39" t="s">
        <v>63</v>
      </c>
      <c r="F40" s="38" t="s">
        <v>46</v>
      </c>
      <c r="G40" s="110">
        <v>1</v>
      </c>
      <c r="H40" s="238">
        <v>1500</v>
      </c>
      <c r="I40" s="42"/>
      <c r="J40" s="66">
        <f t="shared" si="3"/>
        <v>1500</v>
      </c>
      <c r="N40" s="160">
        <v>810080</v>
      </c>
      <c r="O40" s="429"/>
      <c r="P40" s="161" t="s">
        <v>62</v>
      </c>
      <c r="Q40" s="162" t="s">
        <v>63</v>
      </c>
      <c r="R40" s="161" t="s">
        <v>46</v>
      </c>
      <c r="S40" s="163">
        <v>1</v>
      </c>
      <c r="T40" s="164">
        <v>0</v>
      </c>
      <c r="U40" s="164">
        <v>700.27698948748343</v>
      </c>
      <c r="V40" s="165">
        <f t="shared" si="4"/>
        <v>700.27698948748343</v>
      </c>
      <c r="Y40" s="37">
        <v>810080</v>
      </c>
      <c r="Z40" s="410"/>
      <c r="AA40" s="38" t="s">
        <v>62</v>
      </c>
      <c r="AB40" s="39" t="s">
        <v>63</v>
      </c>
      <c r="AC40" s="38" t="s">
        <v>46</v>
      </c>
      <c r="AD40" s="40">
        <v>1</v>
      </c>
      <c r="AE40" s="238">
        <v>1600</v>
      </c>
      <c r="AF40" s="42"/>
      <c r="AG40" s="66">
        <f t="shared" si="5"/>
        <v>1600</v>
      </c>
    </row>
    <row r="41" spans="2:33" x14ac:dyDescent="0.35">
      <c r="B41" s="37">
        <v>810080</v>
      </c>
      <c r="C41" s="410"/>
      <c r="D41" s="64" t="s">
        <v>64</v>
      </c>
      <c r="E41" s="39" t="s">
        <v>65</v>
      </c>
      <c r="F41" s="38" t="s">
        <v>46</v>
      </c>
      <c r="G41" s="110">
        <v>1</v>
      </c>
      <c r="H41" s="250">
        <v>11500</v>
      </c>
      <c r="I41" s="249"/>
      <c r="J41" s="66">
        <f t="shared" si="3"/>
        <v>11500</v>
      </c>
      <c r="N41" s="160">
        <v>810080</v>
      </c>
      <c r="O41" s="429"/>
      <c r="P41" s="161" t="s">
        <v>64</v>
      </c>
      <c r="Q41" s="162" t="s">
        <v>65</v>
      </c>
      <c r="R41" s="161" t="s">
        <v>46</v>
      </c>
      <c r="S41" s="163">
        <v>1</v>
      </c>
      <c r="T41" s="237">
        <v>0</v>
      </c>
      <c r="U41" s="237">
        <v>6112.2722104247505</v>
      </c>
      <c r="V41" s="165">
        <f t="shared" si="4"/>
        <v>6112.2722104247505</v>
      </c>
      <c r="Y41" s="37">
        <v>810080</v>
      </c>
      <c r="Z41" s="410"/>
      <c r="AA41" s="38" t="s">
        <v>64</v>
      </c>
      <c r="AB41" s="39" t="s">
        <v>65</v>
      </c>
      <c r="AC41" s="38" t="s">
        <v>46</v>
      </c>
      <c r="AD41" s="40">
        <v>1</v>
      </c>
      <c r="AE41" s="250">
        <v>30000</v>
      </c>
      <c r="AF41" s="249"/>
      <c r="AG41" s="66">
        <f t="shared" si="5"/>
        <v>30000</v>
      </c>
    </row>
    <row r="42" spans="2:33" ht="43.5" x14ac:dyDescent="0.35">
      <c r="B42" s="37">
        <v>810080</v>
      </c>
      <c r="C42" s="410"/>
      <c r="D42" s="64" t="s">
        <v>66</v>
      </c>
      <c r="E42" s="63" t="s">
        <v>67</v>
      </c>
      <c r="F42" s="38" t="s">
        <v>206</v>
      </c>
      <c r="G42" s="222">
        <f>65.97*3</f>
        <v>197.91</v>
      </c>
      <c r="H42" s="238">
        <f>(75+65+20)*1.35</f>
        <v>216</v>
      </c>
      <c r="I42" s="42"/>
      <c r="J42" s="66">
        <f t="shared" si="3"/>
        <v>42748.56</v>
      </c>
      <c r="K42" s="248" t="s">
        <v>386</v>
      </c>
      <c r="N42" s="160">
        <v>810080</v>
      </c>
      <c r="O42" s="429"/>
      <c r="P42" s="161" t="s">
        <v>66</v>
      </c>
      <c r="Q42" s="162" t="s">
        <v>67</v>
      </c>
      <c r="R42" s="169" t="s">
        <v>79</v>
      </c>
      <c r="S42" s="229">
        <v>647.06999999999994</v>
      </c>
      <c r="T42" s="236">
        <v>119.91200881079411</v>
      </c>
      <c r="U42" s="236">
        <v>35.960622836773169</v>
      </c>
      <c r="V42" s="165">
        <f t="shared" si="4"/>
        <v>100860.50376019135</v>
      </c>
      <c r="Y42" s="37">
        <v>810080</v>
      </c>
      <c r="Z42" s="410"/>
      <c r="AA42" s="38" t="s">
        <v>66</v>
      </c>
      <c r="AB42" s="39" t="s">
        <v>67</v>
      </c>
      <c r="AC42" s="38" t="s">
        <v>68</v>
      </c>
      <c r="AD42" s="40">
        <v>135.87</v>
      </c>
      <c r="AE42" s="238">
        <v>219</v>
      </c>
      <c r="AF42" s="246">
        <v>60</v>
      </c>
      <c r="AG42" s="66">
        <f t="shared" si="5"/>
        <v>37907.730000000003</v>
      </c>
    </row>
    <row r="43" spans="2:33" x14ac:dyDescent="0.35">
      <c r="B43" s="37">
        <v>810080</v>
      </c>
      <c r="C43" s="410"/>
      <c r="D43" s="64" t="s">
        <v>69</v>
      </c>
      <c r="E43" s="39" t="s">
        <v>70</v>
      </c>
      <c r="F43" s="38" t="s">
        <v>71</v>
      </c>
      <c r="G43" s="110">
        <v>6</v>
      </c>
      <c r="H43" s="41"/>
      <c r="I43" s="246">
        <v>17000</v>
      </c>
      <c r="J43" s="66">
        <f t="shared" si="3"/>
        <v>102000</v>
      </c>
      <c r="N43" s="160">
        <v>810080</v>
      </c>
      <c r="O43" s="429"/>
      <c r="P43" s="161" t="s">
        <v>69</v>
      </c>
      <c r="Q43" s="162" t="s">
        <v>70</v>
      </c>
      <c r="R43" s="161" t="s">
        <v>71</v>
      </c>
      <c r="S43" s="163">
        <v>6</v>
      </c>
      <c r="T43" s="164">
        <v>0</v>
      </c>
      <c r="U43" s="236">
        <v>15278.770679726911</v>
      </c>
      <c r="V43" s="165">
        <f t="shared" si="4"/>
        <v>91672.624078361463</v>
      </c>
      <c r="Y43" s="37">
        <v>810080</v>
      </c>
      <c r="Z43" s="410"/>
      <c r="AA43" s="38" t="s">
        <v>69</v>
      </c>
      <c r="AB43" s="39" t="s">
        <v>70</v>
      </c>
      <c r="AC43" s="38" t="s">
        <v>71</v>
      </c>
      <c r="AD43" s="40">
        <v>6</v>
      </c>
      <c r="AE43" s="41"/>
      <c r="AF43" s="42">
        <v>20000</v>
      </c>
      <c r="AG43" s="66">
        <f t="shared" si="5"/>
        <v>120000</v>
      </c>
    </row>
    <row r="44" spans="2:33" x14ac:dyDescent="0.35">
      <c r="B44" s="37">
        <v>810080</v>
      </c>
      <c r="C44" s="411"/>
      <c r="D44" s="64" t="s">
        <v>72</v>
      </c>
      <c r="E44" s="39" t="s">
        <v>73</v>
      </c>
      <c r="F44" s="38" t="s">
        <v>71</v>
      </c>
      <c r="G44" s="110">
        <v>1.5</v>
      </c>
      <c r="H44" s="41"/>
      <c r="I44" s="246">
        <f>3500*1.3</f>
        <v>4550</v>
      </c>
      <c r="J44" s="66">
        <f t="shared" si="3"/>
        <v>6825</v>
      </c>
      <c r="N44" s="160">
        <v>810080</v>
      </c>
      <c r="O44" s="432"/>
      <c r="P44" s="161" t="s">
        <v>72</v>
      </c>
      <c r="Q44" s="162" t="s">
        <v>73</v>
      </c>
      <c r="R44" s="231" t="s">
        <v>55</v>
      </c>
      <c r="S44" s="229">
        <v>52</v>
      </c>
      <c r="T44" s="164">
        <v>0</v>
      </c>
      <c r="U44" s="236">
        <v>496.56004709112466</v>
      </c>
      <c r="V44" s="165">
        <f t="shared" si="4"/>
        <v>25821.122448738482</v>
      </c>
      <c r="Y44" s="37">
        <v>810080</v>
      </c>
      <c r="Z44" s="411"/>
      <c r="AA44" s="38" t="s">
        <v>72</v>
      </c>
      <c r="AB44" s="39" t="s">
        <v>73</v>
      </c>
      <c r="AC44" s="38" t="s">
        <v>71</v>
      </c>
      <c r="AD44" s="223">
        <v>6</v>
      </c>
      <c r="AE44" s="238">
        <v>1050</v>
      </c>
      <c r="AF44" s="246">
        <v>7000</v>
      </c>
      <c r="AG44" s="66">
        <f t="shared" si="5"/>
        <v>48300</v>
      </c>
    </row>
    <row r="45" spans="2:33" x14ac:dyDescent="0.35">
      <c r="B45" s="47"/>
      <c r="C45" s="47"/>
      <c r="D45" s="47" t="s">
        <v>74</v>
      </c>
      <c r="E45" s="48" t="s">
        <v>75</v>
      </c>
      <c r="F45" s="47"/>
      <c r="G45" s="49"/>
      <c r="H45" s="50"/>
      <c r="I45" s="51"/>
      <c r="J45" s="52">
        <f>SUM(J47:J76)</f>
        <v>1330366.2749999999</v>
      </c>
      <c r="N45" s="268"/>
      <c r="O45" s="268"/>
      <c r="P45" s="268" t="s">
        <v>74</v>
      </c>
      <c r="Q45" s="269" t="s">
        <v>75</v>
      </c>
      <c r="R45" s="268"/>
      <c r="S45" s="172"/>
      <c r="T45" s="173"/>
      <c r="U45" s="174"/>
      <c r="V45" s="175">
        <f>SUM(V47:V76)</f>
        <v>3004193.608055125</v>
      </c>
      <c r="Y45" s="47"/>
      <c r="Z45" s="47"/>
      <c r="AA45" s="47" t="s">
        <v>74</v>
      </c>
      <c r="AB45" s="48" t="s">
        <v>75</v>
      </c>
      <c r="AC45" s="47"/>
      <c r="AD45" s="49"/>
      <c r="AE45" s="50"/>
      <c r="AF45" s="51"/>
      <c r="AG45" s="52">
        <f>SUM(AG47:AG76)</f>
        <v>2055603.77</v>
      </c>
    </row>
    <row r="46" spans="2:33" x14ac:dyDescent="0.35">
      <c r="B46" s="53"/>
      <c r="C46" s="54"/>
      <c r="D46" s="53"/>
      <c r="E46" s="55" t="s">
        <v>76</v>
      </c>
      <c r="F46" s="56"/>
      <c r="G46" s="57"/>
      <c r="H46" s="58"/>
      <c r="I46" s="59"/>
      <c r="J46" s="60"/>
      <c r="N46" s="274"/>
      <c r="O46" s="275"/>
      <c r="P46" s="274"/>
      <c r="Q46" s="273" t="s">
        <v>76</v>
      </c>
      <c r="R46" s="272"/>
      <c r="S46" s="180"/>
      <c r="T46" s="181"/>
      <c r="U46" s="182"/>
      <c r="V46" s="183"/>
      <c r="Y46" s="53"/>
      <c r="Z46" s="54"/>
      <c r="AA46" s="53"/>
      <c r="AB46" s="55" t="s">
        <v>76</v>
      </c>
      <c r="AC46" s="56"/>
      <c r="AD46" s="57"/>
      <c r="AE46" s="58"/>
      <c r="AF46" s="59"/>
      <c r="AG46" s="60"/>
    </row>
    <row r="47" spans="2:33" ht="58" x14ac:dyDescent="0.35">
      <c r="B47" s="61">
        <v>810080</v>
      </c>
      <c r="C47" s="410" t="s">
        <v>75</v>
      </c>
      <c r="D47" s="38" t="s">
        <v>77</v>
      </c>
      <c r="E47" s="63" t="s">
        <v>78</v>
      </c>
      <c r="F47" s="62" t="s">
        <v>79</v>
      </c>
      <c r="G47" s="222">
        <v>1507.34</v>
      </c>
      <c r="H47" s="238">
        <v>18</v>
      </c>
      <c r="I47" s="42"/>
      <c r="J47" s="66">
        <f t="shared" ref="J47:J52" si="6">G47*H47+I47*G47</f>
        <v>27132.12</v>
      </c>
      <c r="K47" s="248" t="s">
        <v>385</v>
      </c>
      <c r="N47" s="184">
        <v>810080</v>
      </c>
      <c r="O47" s="451" t="s">
        <v>75</v>
      </c>
      <c r="P47" s="161" t="s">
        <v>77</v>
      </c>
      <c r="Q47" s="162" t="s">
        <v>78</v>
      </c>
      <c r="R47" s="169" t="s">
        <v>79</v>
      </c>
      <c r="S47" s="229">
        <v>1507.3400000000001</v>
      </c>
      <c r="T47" s="164">
        <v>0</v>
      </c>
      <c r="U47" s="236">
        <v>19.09846334965864</v>
      </c>
      <c r="V47" s="165">
        <f t="shared" ref="V47:V52" si="7">S47*T47+U47*S47</f>
        <v>28787.87774547446</v>
      </c>
      <c r="Y47" s="61">
        <v>810080</v>
      </c>
      <c r="Z47" s="410" t="s">
        <v>75</v>
      </c>
      <c r="AA47" s="38" t="s">
        <v>77</v>
      </c>
      <c r="AB47" s="39" t="s">
        <v>78</v>
      </c>
      <c r="AC47" s="62" t="s">
        <v>79</v>
      </c>
      <c r="AD47" s="223">
        <v>1798</v>
      </c>
      <c r="AE47" s="238">
        <v>15</v>
      </c>
      <c r="AF47" s="246">
        <v>35</v>
      </c>
      <c r="AG47" s="66">
        <f t="shared" ref="AG47:AG52" si="8">AD47*AE47+AF47*AD47</f>
        <v>89900</v>
      </c>
    </row>
    <row r="48" spans="2:33" ht="29" x14ac:dyDescent="0.35">
      <c r="B48" s="61">
        <v>810030</v>
      </c>
      <c r="C48" s="410"/>
      <c r="D48" s="38" t="s">
        <v>80</v>
      </c>
      <c r="E48" s="63" t="s">
        <v>81</v>
      </c>
      <c r="F48" s="62" t="s">
        <v>79</v>
      </c>
      <c r="G48" s="223">
        <v>1707.15</v>
      </c>
      <c r="H48" s="238">
        <v>10</v>
      </c>
      <c r="I48" s="247">
        <v>49</v>
      </c>
      <c r="J48" s="66">
        <f t="shared" si="6"/>
        <v>100721.85</v>
      </c>
      <c r="K48" s="117" t="s">
        <v>373</v>
      </c>
      <c r="N48" s="184">
        <v>810030</v>
      </c>
      <c r="O48" s="429"/>
      <c r="P48" s="161" t="s">
        <v>80</v>
      </c>
      <c r="Q48" s="185" t="s">
        <v>354</v>
      </c>
      <c r="R48" s="169" t="s">
        <v>79</v>
      </c>
      <c r="S48" s="229">
        <v>400.18400000000003</v>
      </c>
      <c r="T48" s="236">
        <v>62.525783074844838</v>
      </c>
      <c r="U48" s="236">
        <v>63.658540458012737</v>
      </c>
      <c r="V48" s="165">
        <f t="shared" si="7"/>
        <v>50496.947328673079</v>
      </c>
      <c r="Y48" s="61">
        <v>810030</v>
      </c>
      <c r="Z48" s="410"/>
      <c r="AA48" s="38" t="s">
        <v>80</v>
      </c>
      <c r="AB48" s="63" t="s">
        <v>81</v>
      </c>
      <c r="AC48" s="62" t="s">
        <v>79</v>
      </c>
      <c r="AD48" s="40">
        <v>1798</v>
      </c>
      <c r="AE48" s="238">
        <v>115</v>
      </c>
      <c r="AF48" s="246">
        <v>70</v>
      </c>
      <c r="AG48" s="66">
        <f t="shared" si="8"/>
        <v>332630</v>
      </c>
    </row>
    <row r="49" spans="2:33" ht="26" x14ac:dyDescent="0.35">
      <c r="B49" s="61">
        <v>810041</v>
      </c>
      <c r="C49" s="410"/>
      <c r="D49" s="38" t="s">
        <v>82</v>
      </c>
      <c r="E49" s="63" t="s">
        <v>83</v>
      </c>
      <c r="F49" s="62" t="s">
        <v>79</v>
      </c>
      <c r="G49" s="40">
        <v>151.91</v>
      </c>
      <c r="H49" s="238">
        <v>20</v>
      </c>
      <c r="I49" s="246">
        <v>32.5</v>
      </c>
      <c r="J49" s="66">
        <f t="shared" si="6"/>
        <v>7975.2749999999996</v>
      </c>
      <c r="K49" s="258"/>
      <c r="N49" s="184">
        <v>810041</v>
      </c>
      <c r="O49" s="429"/>
      <c r="P49" s="161" t="s">
        <v>82</v>
      </c>
      <c r="Q49" s="162" t="s">
        <v>83</v>
      </c>
      <c r="R49" s="169" t="s">
        <v>79</v>
      </c>
      <c r="S49" s="163">
        <v>159</v>
      </c>
      <c r="T49" s="236">
        <v>17.588322387983332</v>
      </c>
      <c r="U49" s="236">
        <v>70.41068680045349</v>
      </c>
      <c r="V49" s="165">
        <f t="shared" si="7"/>
        <v>13991.842460961454</v>
      </c>
      <c r="W49" s="186"/>
      <c r="Y49" s="61">
        <v>810041</v>
      </c>
      <c r="Z49" s="410"/>
      <c r="AA49" s="38" t="s">
        <v>82</v>
      </c>
      <c r="AB49" s="39" t="s">
        <v>83</v>
      </c>
      <c r="AC49" s="62" t="s">
        <v>79</v>
      </c>
      <c r="AD49" s="223">
        <v>72</v>
      </c>
      <c r="AE49" s="238">
        <v>21</v>
      </c>
      <c r="AF49" s="246">
        <v>25</v>
      </c>
      <c r="AG49" s="66">
        <f t="shared" si="8"/>
        <v>3312</v>
      </c>
    </row>
    <row r="50" spans="2:33" x14ac:dyDescent="0.35">
      <c r="B50" s="61">
        <v>810041</v>
      </c>
      <c r="C50" s="410"/>
      <c r="D50" s="38" t="s">
        <v>84</v>
      </c>
      <c r="E50" s="63" t="s">
        <v>85</v>
      </c>
      <c r="F50" s="62" t="str">
        <f>F49</f>
        <v>m²</v>
      </c>
      <c r="G50" s="223">
        <v>2260.96</v>
      </c>
      <c r="H50" s="238">
        <v>21</v>
      </c>
      <c r="I50" s="246">
        <v>40</v>
      </c>
      <c r="J50" s="66">
        <f t="shared" si="6"/>
        <v>137918.56</v>
      </c>
      <c r="N50" s="184">
        <v>810041</v>
      </c>
      <c r="O50" s="429"/>
      <c r="P50" s="161" t="s">
        <v>84</v>
      </c>
      <c r="Q50" s="162" t="s">
        <v>85</v>
      </c>
      <c r="R50" s="169" t="str">
        <f>R49</f>
        <v>m²</v>
      </c>
      <c r="S50" s="232">
        <v>2260.9639999999999</v>
      </c>
      <c r="T50" s="164">
        <v>19.09846334965864</v>
      </c>
      <c r="U50" s="164">
        <v>22.918156019590366</v>
      </c>
      <c r="V50" s="165">
        <f t="shared" si="7"/>
        <v>94998.063795574708</v>
      </c>
      <c r="Y50" s="61">
        <v>810041</v>
      </c>
      <c r="Z50" s="410"/>
      <c r="AA50" s="38" t="s">
        <v>84</v>
      </c>
      <c r="AB50" s="39" t="s">
        <v>85</v>
      </c>
      <c r="AC50" s="62" t="str">
        <f>AC49</f>
        <v>m²</v>
      </c>
      <c r="AD50" s="223">
        <v>1798</v>
      </c>
      <c r="AE50" s="238">
        <v>170</v>
      </c>
      <c r="AF50" s="246">
        <v>90</v>
      </c>
      <c r="AG50" s="66">
        <f t="shared" si="8"/>
        <v>467480</v>
      </c>
    </row>
    <row r="51" spans="2:33" ht="26" x14ac:dyDescent="0.35">
      <c r="B51" s="61">
        <v>810041</v>
      </c>
      <c r="C51" s="410"/>
      <c r="D51" s="38" t="s">
        <v>86</v>
      </c>
      <c r="E51" s="63" t="s">
        <v>87</v>
      </c>
      <c r="F51" s="62" t="str">
        <f>F50</f>
        <v>m²</v>
      </c>
      <c r="G51" s="40">
        <v>101.33</v>
      </c>
      <c r="H51" s="115">
        <v>19</v>
      </c>
      <c r="I51" s="246">
        <v>32.5</v>
      </c>
      <c r="J51" s="66">
        <f t="shared" si="6"/>
        <v>5218.4949999999999</v>
      </c>
      <c r="N51" s="184">
        <v>810041</v>
      </c>
      <c r="O51" s="429"/>
      <c r="P51" s="161" t="s">
        <v>86</v>
      </c>
      <c r="Q51" s="162" t="s">
        <v>87</v>
      </c>
      <c r="R51" s="169" t="str">
        <f>R50</f>
        <v>m²</v>
      </c>
      <c r="S51" s="187">
        <v>320.14720000000005</v>
      </c>
      <c r="T51" s="164">
        <v>16.442414587003814</v>
      </c>
      <c r="U51" s="164">
        <v>64.283899757883006</v>
      </c>
      <c r="V51" s="165">
        <f t="shared" si="7"/>
        <v>25844.303503835352</v>
      </c>
      <c r="W51" s="186"/>
      <c r="Y51" s="61">
        <v>810041</v>
      </c>
      <c r="Z51" s="410"/>
      <c r="AA51" s="38" t="s">
        <v>86</v>
      </c>
      <c r="AB51" s="39" t="s">
        <v>87</v>
      </c>
      <c r="AC51" s="62" t="str">
        <f>AC50</f>
        <v>m²</v>
      </c>
      <c r="AD51" s="40">
        <v>235</v>
      </c>
      <c r="AE51" s="238">
        <v>29</v>
      </c>
      <c r="AF51" s="246">
        <v>30</v>
      </c>
      <c r="AG51" s="66">
        <f t="shared" si="8"/>
        <v>13865</v>
      </c>
    </row>
    <row r="52" spans="2:33" ht="26" x14ac:dyDescent="0.35">
      <c r="B52" s="61">
        <v>810031</v>
      </c>
      <c r="C52" s="410"/>
      <c r="D52" s="64" t="s">
        <v>88</v>
      </c>
      <c r="E52" s="63" t="s">
        <v>89</v>
      </c>
      <c r="F52" s="62" t="s">
        <v>90</v>
      </c>
      <c r="G52" s="223">
        <v>48</v>
      </c>
      <c r="H52" s="238">
        <v>580</v>
      </c>
      <c r="I52" s="42"/>
      <c r="J52" s="66">
        <f t="shared" si="6"/>
        <v>27840</v>
      </c>
      <c r="K52" s="109" t="s">
        <v>278</v>
      </c>
      <c r="N52" s="184">
        <v>810031</v>
      </c>
      <c r="O52" s="429"/>
      <c r="P52" s="188" t="s">
        <v>88</v>
      </c>
      <c r="Q52" s="162" t="s">
        <v>89</v>
      </c>
      <c r="R52" s="169" t="s">
        <v>90</v>
      </c>
      <c r="S52" s="229">
        <v>10</v>
      </c>
      <c r="T52" s="236">
        <v>954.92316748293194</v>
      </c>
      <c r="U52" s="164">
        <v>0</v>
      </c>
      <c r="V52" s="165">
        <f t="shared" si="7"/>
        <v>9549.2316748293197</v>
      </c>
      <c r="Y52" s="61">
        <v>810031</v>
      </c>
      <c r="Z52" s="410"/>
      <c r="AA52" s="64" t="s">
        <v>88</v>
      </c>
      <c r="AB52" s="39" t="s">
        <v>89</v>
      </c>
      <c r="AC52" s="62" t="s">
        <v>90</v>
      </c>
      <c r="AD52" s="223">
        <v>1</v>
      </c>
      <c r="AE52" s="238">
        <v>2300</v>
      </c>
      <c r="AF52" s="246">
        <v>900</v>
      </c>
      <c r="AG52" s="66">
        <f t="shared" si="8"/>
        <v>3200</v>
      </c>
    </row>
    <row r="53" spans="2:33" x14ac:dyDescent="0.35">
      <c r="B53" s="61"/>
      <c r="C53" s="410"/>
      <c r="D53" s="53"/>
      <c r="E53" s="55" t="s">
        <v>91</v>
      </c>
      <c r="F53" s="56"/>
      <c r="G53" s="57"/>
      <c r="H53" s="58"/>
      <c r="I53" s="59"/>
      <c r="J53" s="60"/>
      <c r="N53" s="184"/>
      <c r="O53" s="429"/>
      <c r="P53" s="274"/>
      <c r="Q53" s="273" t="s">
        <v>91</v>
      </c>
      <c r="R53" s="272"/>
      <c r="S53" s="180"/>
      <c r="T53" s="181"/>
      <c r="U53" s="182"/>
      <c r="V53" s="183"/>
      <c r="Y53" s="61"/>
      <c r="Z53" s="410"/>
      <c r="AA53" s="53"/>
      <c r="AB53" s="55" t="s">
        <v>91</v>
      </c>
      <c r="AC53" s="56"/>
      <c r="AD53" s="57"/>
      <c r="AE53" s="58"/>
      <c r="AF53" s="59"/>
      <c r="AG53" s="60"/>
    </row>
    <row r="54" spans="2:33" ht="29" x14ac:dyDescent="0.35">
      <c r="B54" s="61">
        <v>810041</v>
      </c>
      <c r="C54" s="410"/>
      <c r="D54" s="38" t="s">
        <v>92</v>
      </c>
      <c r="E54" s="63" t="s">
        <v>93</v>
      </c>
      <c r="F54" s="62" t="s">
        <v>79</v>
      </c>
      <c r="G54" s="222">
        <v>825.22</v>
      </c>
      <c r="H54" s="238"/>
      <c r="I54" s="42">
        <v>25</v>
      </c>
      <c r="J54" s="66">
        <f t="shared" ref="J54:J63" si="9">G54*H54+I54*G54</f>
        <v>20630.5</v>
      </c>
      <c r="K54" s="248" t="s">
        <v>384</v>
      </c>
      <c r="N54" s="184">
        <v>810041</v>
      </c>
      <c r="O54" s="429"/>
      <c r="P54" s="161" t="s">
        <v>92</v>
      </c>
      <c r="Q54" s="162" t="s">
        <v>93</v>
      </c>
      <c r="R54" s="169" t="s">
        <v>79</v>
      </c>
      <c r="S54" s="229">
        <v>4362.3799999999992</v>
      </c>
      <c r="T54" s="164">
        <v>0</v>
      </c>
      <c r="U54" s="236">
        <v>12.732308899772427</v>
      </c>
      <c r="V54" s="165">
        <f t="shared" ref="V54:V63" si="10">S54*T54+U54*S54</f>
        <v>55543.169698189231</v>
      </c>
      <c r="Y54" s="61">
        <v>810041</v>
      </c>
      <c r="Z54" s="410"/>
      <c r="AA54" s="38" t="s">
        <v>92</v>
      </c>
      <c r="AB54" s="39" t="s">
        <v>93</v>
      </c>
      <c r="AC54" s="62" t="s">
        <v>79</v>
      </c>
      <c r="AD54" s="223">
        <f>922+794.2+59.69+52</f>
        <v>1827.89</v>
      </c>
      <c r="AE54" s="238">
        <v>15</v>
      </c>
      <c r="AF54" s="246">
        <v>35</v>
      </c>
      <c r="AG54" s="66">
        <f>AD54*AE54+AF54*AD54</f>
        <v>91394.5</v>
      </c>
    </row>
    <row r="55" spans="2:33" ht="43.5" x14ac:dyDescent="0.35">
      <c r="B55" s="61">
        <v>810041</v>
      </c>
      <c r="C55" s="410"/>
      <c r="D55" s="38" t="s">
        <v>94</v>
      </c>
      <c r="E55" s="63" t="s">
        <v>95</v>
      </c>
      <c r="F55" s="62" t="s">
        <v>79</v>
      </c>
      <c r="G55" s="110">
        <f>2163.15-83.8</f>
        <v>2079.35</v>
      </c>
      <c r="H55" s="115"/>
      <c r="I55" s="247">
        <v>55</v>
      </c>
      <c r="J55" s="66">
        <f t="shared" si="9"/>
        <v>114364.25</v>
      </c>
      <c r="K55" s="117" t="s">
        <v>284</v>
      </c>
      <c r="N55" s="184">
        <v>810041</v>
      </c>
      <c r="O55" s="429"/>
      <c r="P55" s="161" t="s">
        <v>94</v>
      </c>
      <c r="Q55" s="185" t="s">
        <v>95</v>
      </c>
      <c r="R55" s="169" t="s">
        <v>79</v>
      </c>
      <c r="S55" s="232">
        <v>1375.4499999999998</v>
      </c>
      <c r="T55" s="237">
        <v>0</v>
      </c>
      <c r="U55" s="164">
        <v>55.938412346610839</v>
      </c>
      <c r="V55" s="165">
        <f t="shared" si="10"/>
        <v>76940.489262145871</v>
      </c>
      <c r="W55" s="248" t="s">
        <v>373</v>
      </c>
      <c r="Y55" s="61">
        <v>810041</v>
      </c>
      <c r="Z55" s="410"/>
      <c r="AA55" s="38" t="s">
        <v>94</v>
      </c>
      <c r="AB55" s="63" t="s">
        <v>95</v>
      </c>
      <c r="AC55" s="62" t="s">
        <v>79</v>
      </c>
      <c r="AD55" s="223">
        <f>AD54</f>
        <v>1827.89</v>
      </c>
      <c r="AE55" s="238">
        <v>125</v>
      </c>
      <c r="AF55" s="246">
        <v>80</v>
      </c>
      <c r="AG55" s="66">
        <f>AD55*AE55+AF55*AD55</f>
        <v>374717.45</v>
      </c>
    </row>
    <row r="56" spans="2:33" x14ac:dyDescent="0.35">
      <c r="B56" s="61"/>
      <c r="C56" s="410"/>
      <c r="D56" s="38" t="s">
        <v>96</v>
      </c>
      <c r="E56" s="63" t="s">
        <v>344</v>
      </c>
      <c r="F56" s="62" t="s">
        <v>79</v>
      </c>
      <c r="G56" s="40">
        <v>62.92</v>
      </c>
      <c r="H56" s="115">
        <v>450</v>
      </c>
      <c r="I56" s="328"/>
      <c r="J56" s="66">
        <f t="shared" si="9"/>
        <v>28314</v>
      </c>
      <c r="N56" s="184"/>
      <c r="O56" s="429"/>
      <c r="P56" s="161" t="s">
        <v>96</v>
      </c>
      <c r="Q56" s="63" t="s">
        <v>344</v>
      </c>
      <c r="R56" s="62" t="s">
        <v>79</v>
      </c>
      <c r="S56" s="40">
        <v>63</v>
      </c>
      <c r="T56" s="224">
        <v>12171.756268151046</v>
      </c>
      <c r="U56" s="225">
        <v>4137.0454692585554</v>
      </c>
      <c r="V56" s="165">
        <f t="shared" si="10"/>
        <v>1027454.5094568048</v>
      </c>
      <c r="Y56" s="61"/>
      <c r="Z56" s="410"/>
      <c r="AA56" s="38" t="s">
        <v>96</v>
      </c>
      <c r="AB56" s="63" t="s">
        <v>344</v>
      </c>
      <c r="AC56" s="62" t="s">
        <v>79</v>
      </c>
      <c r="AD56" s="40"/>
      <c r="AE56" s="329"/>
      <c r="AF56" s="330"/>
      <c r="AG56" s="66"/>
    </row>
    <row r="57" spans="2:33" ht="29" x14ac:dyDescent="0.35">
      <c r="B57" s="61">
        <v>810041</v>
      </c>
      <c r="C57" s="410"/>
      <c r="D57" s="38" t="s">
        <v>97</v>
      </c>
      <c r="E57" s="63" t="s">
        <v>98</v>
      </c>
      <c r="F57" s="62" t="s">
        <v>79</v>
      </c>
      <c r="G57" s="223">
        <v>3171.75</v>
      </c>
      <c r="H57" s="115">
        <v>16</v>
      </c>
      <c r="I57" s="246">
        <v>32.5</v>
      </c>
      <c r="J57" s="66">
        <f t="shared" si="9"/>
        <v>153829.875</v>
      </c>
      <c r="K57" s="248" t="s">
        <v>383</v>
      </c>
      <c r="N57" s="184">
        <v>810041</v>
      </c>
      <c r="O57" s="429"/>
      <c r="P57" s="161" t="s">
        <v>97</v>
      </c>
      <c r="Q57" s="185" t="s">
        <v>98</v>
      </c>
      <c r="R57" s="169" t="s">
        <v>79</v>
      </c>
      <c r="S57" s="232">
        <v>1776.19</v>
      </c>
      <c r="T57" s="236">
        <v>31.830772249431067</v>
      </c>
      <c r="U57" s="164">
        <v>22.918156019590366</v>
      </c>
      <c r="V57" s="165">
        <f t="shared" si="10"/>
        <v>97244.49890215318</v>
      </c>
      <c r="Y57" s="61">
        <v>810041</v>
      </c>
      <c r="Z57" s="410"/>
      <c r="AA57" s="38" t="s">
        <v>97</v>
      </c>
      <c r="AB57" s="63" t="s">
        <v>98</v>
      </c>
      <c r="AC57" s="62" t="s">
        <v>79</v>
      </c>
      <c r="AD57" s="223">
        <v>922</v>
      </c>
      <c r="AE57" s="238">
        <v>21</v>
      </c>
      <c r="AF57" s="246">
        <v>30</v>
      </c>
      <c r="AG57" s="66">
        <f t="shared" ref="AG57:AG63" si="11">AD57*AE57+AF57*AD57</f>
        <v>47022</v>
      </c>
    </row>
    <row r="58" spans="2:33" ht="26" x14ac:dyDescent="0.35">
      <c r="B58" s="61">
        <v>810041</v>
      </c>
      <c r="C58" s="410"/>
      <c r="D58" s="38" t="s">
        <v>99</v>
      </c>
      <c r="E58" s="293" t="s">
        <v>401</v>
      </c>
      <c r="F58" s="62" t="s">
        <v>79</v>
      </c>
      <c r="G58" s="226">
        <v>0</v>
      </c>
      <c r="H58" s="250">
        <v>16</v>
      </c>
      <c r="I58" s="249">
        <v>28</v>
      </c>
      <c r="J58" s="66">
        <f t="shared" si="9"/>
        <v>0</v>
      </c>
      <c r="N58" s="184">
        <v>810041</v>
      </c>
      <c r="O58" s="429"/>
      <c r="P58" s="161" t="s">
        <v>99</v>
      </c>
      <c r="Q58" s="293" t="s">
        <v>401</v>
      </c>
      <c r="R58" s="169" t="s">
        <v>79</v>
      </c>
      <c r="S58" s="233"/>
      <c r="T58" s="237">
        <v>31.830772249431067</v>
      </c>
      <c r="U58" s="237">
        <v>22.918156019590366</v>
      </c>
      <c r="V58" s="165">
        <f t="shared" si="10"/>
        <v>0</v>
      </c>
      <c r="Y58" s="61">
        <v>810041</v>
      </c>
      <c r="Z58" s="410"/>
      <c r="AA58" s="38" t="s">
        <v>99</v>
      </c>
      <c r="AB58" s="293" t="s">
        <v>401</v>
      </c>
      <c r="AC58" s="62" t="s">
        <v>79</v>
      </c>
      <c r="AD58" s="40">
        <v>1</v>
      </c>
      <c r="AE58" s="238">
        <v>35000</v>
      </c>
      <c r="AF58" s="246">
        <v>25000</v>
      </c>
      <c r="AG58" s="66">
        <f t="shared" si="11"/>
        <v>60000</v>
      </c>
    </row>
    <row r="59" spans="2:33" ht="26" x14ac:dyDescent="0.35">
      <c r="B59" s="61">
        <v>810230</v>
      </c>
      <c r="C59" s="410"/>
      <c r="D59" s="38" t="s">
        <v>101</v>
      </c>
      <c r="E59" s="63" t="s">
        <v>102</v>
      </c>
      <c r="F59" s="62" t="s">
        <v>103</v>
      </c>
      <c r="G59" s="222">
        <f>425</f>
        <v>425</v>
      </c>
      <c r="H59" s="41">
        <v>5</v>
      </c>
      <c r="I59" s="42">
        <v>15</v>
      </c>
      <c r="J59" s="66">
        <f t="shared" si="9"/>
        <v>8500</v>
      </c>
      <c r="N59" s="184">
        <v>810230</v>
      </c>
      <c r="O59" s="429"/>
      <c r="P59" s="161" t="s">
        <v>101</v>
      </c>
      <c r="Q59" s="185" t="s">
        <v>300</v>
      </c>
      <c r="R59" s="169" t="s">
        <v>103</v>
      </c>
      <c r="S59" s="229">
        <v>2919</v>
      </c>
      <c r="T59" s="236">
        <v>5.0929235599089706</v>
      </c>
      <c r="U59" s="236">
        <v>8.9126162298406992</v>
      </c>
      <c r="V59" s="165">
        <f t="shared" si="10"/>
        <v>40882.170646279286</v>
      </c>
      <c r="Y59" s="61">
        <v>810230</v>
      </c>
      <c r="Z59" s="410"/>
      <c r="AA59" s="38" t="s">
        <v>101</v>
      </c>
      <c r="AB59" s="63" t="s">
        <v>102</v>
      </c>
      <c r="AC59" s="62" t="s">
        <v>103</v>
      </c>
      <c r="AD59" s="40">
        <v>1260</v>
      </c>
      <c r="AE59" s="41"/>
      <c r="AF59" s="246">
        <v>30</v>
      </c>
      <c r="AG59" s="66">
        <f t="shared" si="11"/>
        <v>37800</v>
      </c>
    </row>
    <row r="60" spans="2:33" ht="29" x14ac:dyDescent="0.35">
      <c r="B60" s="61">
        <v>810041</v>
      </c>
      <c r="C60" s="410"/>
      <c r="D60" s="38" t="s">
        <v>104</v>
      </c>
      <c r="E60" s="63" t="s">
        <v>105</v>
      </c>
      <c r="F60" s="62" t="s">
        <v>103</v>
      </c>
      <c r="G60" s="222">
        <v>0</v>
      </c>
      <c r="H60" s="224"/>
      <c r="I60" s="225"/>
      <c r="J60" s="66">
        <f t="shared" si="9"/>
        <v>0</v>
      </c>
      <c r="K60" s="248" t="s">
        <v>382</v>
      </c>
      <c r="N60" s="184">
        <v>810041</v>
      </c>
      <c r="O60" s="429"/>
      <c r="P60" s="161" t="s">
        <v>104</v>
      </c>
      <c r="Q60" s="185" t="s">
        <v>301</v>
      </c>
      <c r="R60" s="169" t="s">
        <v>103</v>
      </c>
      <c r="S60" s="229">
        <v>2919</v>
      </c>
      <c r="T60" s="236">
        <v>7.6393853398634555</v>
      </c>
      <c r="U60" s="236">
        <v>8.9126162298406992</v>
      </c>
      <c r="V60" s="165">
        <f t="shared" si="10"/>
        <v>48315.292581966423</v>
      </c>
      <c r="Y60" s="61">
        <v>810041</v>
      </c>
      <c r="Z60" s="410"/>
      <c r="AA60" s="38" t="s">
        <v>104</v>
      </c>
      <c r="AB60" s="63" t="s">
        <v>105</v>
      </c>
      <c r="AC60" s="62" t="s">
        <v>103</v>
      </c>
      <c r="AD60" s="40">
        <v>751</v>
      </c>
      <c r="AE60" s="238">
        <v>15</v>
      </c>
      <c r="AF60" s="246">
        <v>40</v>
      </c>
      <c r="AG60" s="66">
        <f t="shared" si="11"/>
        <v>41305</v>
      </c>
    </row>
    <row r="61" spans="2:33" x14ac:dyDescent="0.35">
      <c r="B61" s="61">
        <v>810210</v>
      </c>
      <c r="C61" s="410"/>
      <c r="D61" s="38" t="s">
        <v>106</v>
      </c>
      <c r="E61" s="63" t="s">
        <v>107</v>
      </c>
      <c r="F61" s="111" t="s">
        <v>228</v>
      </c>
      <c r="G61" s="110">
        <f>32.91+50.89</f>
        <v>83.8</v>
      </c>
      <c r="H61" s="238">
        <v>200</v>
      </c>
      <c r="I61" s="246">
        <v>30</v>
      </c>
      <c r="J61" s="66">
        <f t="shared" si="9"/>
        <v>19274</v>
      </c>
      <c r="N61" s="184">
        <v>810210</v>
      </c>
      <c r="O61" s="429"/>
      <c r="P61" s="161" t="s">
        <v>106</v>
      </c>
      <c r="Q61" s="185" t="s">
        <v>107</v>
      </c>
      <c r="R61" s="251" t="s">
        <v>79</v>
      </c>
      <c r="S61" s="229">
        <v>125.76</v>
      </c>
      <c r="T61" s="236">
        <v>1260.4985810774701</v>
      </c>
      <c r="U61" s="236">
        <v>840.33238738498017</v>
      </c>
      <c r="V61" s="165">
        <f t="shared" si="10"/>
        <v>264200.50259383774</v>
      </c>
      <c r="Y61" s="61">
        <v>810210</v>
      </c>
      <c r="Z61" s="410"/>
      <c r="AA61" s="38" t="s">
        <v>106</v>
      </c>
      <c r="AB61" s="63" t="s">
        <v>107</v>
      </c>
      <c r="AC61" s="62" t="s">
        <v>46</v>
      </c>
      <c r="AD61" s="40">
        <v>1</v>
      </c>
      <c r="AE61" s="238">
        <v>28000</v>
      </c>
      <c r="AF61" s="246">
        <v>18000</v>
      </c>
      <c r="AG61" s="66">
        <f t="shared" si="11"/>
        <v>46000</v>
      </c>
    </row>
    <row r="62" spans="2:33" x14ac:dyDescent="0.35">
      <c r="B62" s="61">
        <v>810210</v>
      </c>
      <c r="C62" s="410"/>
      <c r="D62" s="38" t="s">
        <v>108</v>
      </c>
      <c r="E62" s="63" t="s">
        <v>109</v>
      </c>
      <c r="F62" s="62" t="s">
        <v>228</v>
      </c>
      <c r="G62" s="110">
        <f>G61</f>
        <v>83.8</v>
      </c>
      <c r="H62" s="238">
        <v>120</v>
      </c>
      <c r="I62" s="246">
        <v>30</v>
      </c>
      <c r="J62" s="66">
        <f t="shared" si="9"/>
        <v>12570</v>
      </c>
      <c r="N62" s="184">
        <v>810210</v>
      </c>
      <c r="O62" s="429"/>
      <c r="P62" s="161" t="s">
        <v>108</v>
      </c>
      <c r="Q62" s="185" t="s">
        <v>109</v>
      </c>
      <c r="R62" s="251" t="s">
        <v>79</v>
      </c>
      <c r="S62" s="229">
        <v>125.76</v>
      </c>
      <c r="T62" s="236">
        <v>85.943085073463877</v>
      </c>
      <c r="U62" s="236">
        <v>31.830772249431071</v>
      </c>
      <c r="V62" s="165">
        <f t="shared" si="10"/>
        <v>14811.24029692727</v>
      </c>
      <c r="Y62" s="61">
        <v>810210</v>
      </c>
      <c r="Z62" s="410"/>
      <c r="AA62" s="38" t="s">
        <v>108</v>
      </c>
      <c r="AB62" s="63" t="s">
        <v>109</v>
      </c>
      <c r="AC62" s="62" t="s">
        <v>46</v>
      </c>
      <c r="AD62" s="40">
        <v>1</v>
      </c>
      <c r="AE62" s="238">
        <v>9500</v>
      </c>
      <c r="AF62" s="246">
        <v>8000</v>
      </c>
      <c r="AG62" s="66">
        <f t="shared" si="11"/>
        <v>17500</v>
      </c>
    </row>
    <row r="63" spans="2:33" ht="26" x14ac:dyDescent="0.35">
      <c r="B63" s="61">
        <v>810041</v>
      </c>
      <c r="C63" s="410"/>
      <c r="D63" s="38" t="s">
        <v>110</v>
      </c>
      <c r="E63" s="63" t="s">
        <v>111</v>
      </c>
      <c r="F63" s="65" t="s">
        <v>79</v>
      </c>
      <c r="G63" s="223">
        <v>45</v>
      </c>
      <c r="H63" s="41">
        <v>19</v>
      </c>
      <c r="I63" s="42">
        <v>32.5</v>
      </c>
      <c r="J63" s="66">
        <f t="shared" si="9"/>
        <v>2317.5</v>
      </c>
      <c r="N63" s="184">
        <v>810041</v>
      </c>
      <c r="O63" s="429"/>
      <c r="P63" s="161" t="s">
        <v>110</v>
      </c>
      <c r="Q63" s="185" t="s">
        <v>111</v>
      </c>
      <c r="R63" s="190" t="s">
        <v>79</v>
      </c>
      <c r="S63" s="232">
        <v>17.16</v>
      </c>
      <c r="T63" s="236">
        <v>31.830772249431067</v>
      </c>
      <c r="U63" s="164">
        <v>22.918156019590366</v>
      </c>
      <c r="V63" s="165">
        <f t="shared" si="10"/>
        <v>939.49160909640773</v>
      </c>
      <c r="Y63" s="61">
        <v>810041</v>
      </c>
      <c r="Z63" s="410"/>
      <c r="AA63" s="38" t="s">
        <v>110</v>
      </c>
      <c r="AB63" s="63" t="s">
        <v>111</v>
      </c>
      <c r="AC63" s="65" t="s">
        <v>79</v>
      </c>
      <c r="AD63" s="40">
        <v>794.2</v>
      </c>
      <c r="AE63" s="238">
        <v>22</v>
      </c>
      <c r="AF63" s="246">
        <v>25</v>
      </c>
      <c r="AG63" s="66">
        <f t="shared" si="11"/>
        <v>37327.4</v>
      </c>
    </row>
    <row r="64" spans="2:33" x14ac:dyDescent="0.35">
      <c r="B64" s="61">
        <v>810051</v>
      </c>
      <c r="C64" s="410"/>
      <c r="D64" s="53"/>
      <c r="E64" s="55" t="s">
        <v>112</v>
      </c>
      <c r="F64" s="56"/>
      <c r="G64" s="57"/>
      <c r="H64" s="58"/>
      <c r="I64" s="59"/>
      <c r="J64" s="60"/>
      <c r="N64" s="184">
        <v>810051</v>
      </c>
      <c r="O64" s="429"/>
      <c r="P64" s="274"/>
      <c r="Q64" s="273" t="s">
        <v>112</v>
      </c>
      <c r="R64" s="272"/>
      <c r="S64" s="180"/>
      <c r="T64" s="181"/>
      <c r="U64" s="182"/>
      <c r="V64" s="183"/>
      <c r="Y64" s="61">
        <v>810051</v>
      </c>
      <c r="Z64" s="410"/>
      <c r="AA64" s="53"/>
      <c r="AB64" s="55" t="s">
        <v>112</v>
      </c>
      <c r="AC64" s="56"/>
      <c r="AD64" s="57"/>
      <c r="AE64" s="58"/>
      <c r="AF64" s="59"/>
      <c r="AG64" s="60"/>
    </row>
    <row r="65" spans="2:33" x14ac:dyDescent="0.35">
      <c r="B65" s="61">
        <v>810051</v>
      </c>
      <c r="C65" s="410"/>
      <c r="D65" s="38" t="s">
        <v>113</v>
      </c>
      <c r="E65" s="63" t="s">
        <v>114</v>
      </c>
      <c r="F65" s="62" t="s">
        <v>79</v>
      </c>
      <c r="G65" s="223">
        <v>3444.25</v>
      </c>
      <c r="H65" s="41">
        <v>0</v>
      </c>
      <c r="I65" s="42">
        <v>27</v>
      </c>
      <c r="J65" s="66">
        <f t="shared" ref="J65:J71" si="12">G65*H65+I65*G65</f>
        <v>92994.75</v>
      </c>
      <c r="K65" s="109" t="s">
        <v>241</v>
      </c>
      <c r="N65" s="184">
        <v>810051</v>
      </c>
      <c r="O65" s="429"/>
      <c r="P65" s="161" t="s">
        <v>113</v>
      </c>
      <c r="Q65" s="162" t="s">
        <v>114</v>
      </c>
      <c r="R65" s="169" t="s">
        <v>79</v>
      </c>
      <c r="S65" s="229">
        <v>4362.3799999999992</v>
      </c>
      <c r="T65" s="164">
        <v>0</v>
      </c>
      <c r="U65" s="164">
        <v>12.732308899772427</v>
      </c>
      <c r="V65" s="165">
        <f t="shared" ref="V65:V71" si="13">S65*T65+U65*S65</f>
        <v>55543.169698189231</v>
      </c>
      <c r="Y65" s="61">
        <v>810051</v>
      </c>
      <c r="Z65" s="410"/>
      <c r="AA65" s="38" t="s">
        <v>113</v>
      </c>
      <c r="AB65" s="39" t="s">
        <v>114</v>
      </c>
      <c r="AC65" s="62" t="s">
        <v>79</v>
      </c>
      <c r="AD65" s="223">
        <f>AD54</f>
        <v>1827.89</v>
      </c>
      <c r="AE65" s="41">
        <v>15</v>
      </c>
      <c r="AF65" s="246">
        <v>35</v>
      </c>
      <c r="AG65" s="66">
        <f t="shared" ref="AG65:AG71" si="14">AD65*AE65+AF65*AD65</f>
        <v>91394.5</v>
      </c>
    </row>
    <row r="66" spans="2:33" x14ac:dyDescent="0.35">
      <c r="B66" s="61">
        <v>810051</v>
      </c>
      <c r="C66" s="410"/>
      <c r="D66" s="38" t="s">
        <v>115</v>
      </c>
      <c r="E66" s="63" t="s">
        <v>272</v>
      </c>
      <c r="F66" s="62" t="s">
        <v>79</v>
      </c>
      <c r="G66" s="223">
        <f>G65</f>
        <v>3444.25</v>
      </c>
      <c r="H66" s="238">
        <v>20</v>
      </c>
      <c r="I66" s="246">
        <v>40</v>
      </c>
      <c r="J66" s="66">
        <f t="shared" si="12"/>
        <v>206655</v>
      </c>
      <c r="N66" s="184">
        <v>810051</v>
      </c>
      <c r="O66" s="429"/>
      <c r="P66" s="161" t="s">
        <v>115</v>
      </c>
      <c r="Q66" s="162" t="s">
        <v>302</v>
      </c>
      <c r="R66" s="169" t="s">
        <v>79</v>
      </c>
      <c r="S66" s="229">
        <v>4362.3799999999992</v>
      </c>
      <c r="T66" s="236">
        <v>56.982559765770297</v>
      </c>
      <c r="U66" s="236">
        <v>58.598383351325765</v>
      </c>
      <c r="V66" s="165">
        <f t="shared" si="13"/>
        <v>504207.9946351574</v>
      </c>
      <c r="Y66" s="61">
        <v>810051</v>
      </c>
      <c r="Z66" s="410"/>
      <c r="AA66" s="38" t="s">
        <v>115</v>
      </c>
      <c r="AB66" s="39" t="s">
        <v>302</v>
      </c>
      <c r="AC66" s="62" t="s">
        <v>79</v>
      </c>
      <c r="AD66" s="223">
        <f>AD65</f>
        <v>1827.89</v>
      </c>
      <c r="AE66" s="41">
        <v>8</v>
      </c>
      <c r="AF66" s="246">
        <v>30</v>
      </c>
      <c r="AG66" s="66">
        <f t="shared" si="14"/>
        <v>69459.820000000007</v>
      </c>
    </row>
    <row r="67" spans="2:33" ht="26" x14ac:dyDescent="0.35">
      <c r="B67" s="61">
        <v>810051</v>
      </c>
      <c r="C67" s="410"/>
      <c r="D67" s="64" t="s">
        <v>116</v>
      </c>
      <c r="E67" s="63" t="s">
        <v>117</v>
      </c>
      <c r="F67" s="62" t="s">
        <v>79</v>
      </c>
      <c r="G67" s="223">
        <v>3171.75</v>
      </c>
      <c r="H67" s="238">
        <v>5</v>
      </c>
      <c r="I67" s="246">
        <v>90</v>
      </c>
      <c r="J67" s="66">
        <f t="shared" si="12"/>
        <v>301316.25</v>
      </c>
      <c r="K67" s="109">
        <f>G65*0.05</f>
        <v>172.21250000000001</v>
      </c>
      <c r="N67" s="184">
        <v>810051</v>
      </c>
      <c r="O67" s="429"/>
      <c r="P67" s="161" t="s">
        <v>116</v>
      </c>
      <c r="Q67" s="185" t="s">
        <v>117</v>
      </c>
      <c r="R67" s="169" t="s">
        <v>79</v>
      </c>
      <c r="S67" s="163">
        <v>3171.76</v>
      </c>
      <c r="T67" s="164">
        <v>46.088131644600438</v>
      </c>
      <c r="U67" s="236">
        <v>50.929235599089708</v>
      </c>
      <c r="V67" s="165">
        <f t="shared" si="13"/>
        <v>307715.80472884665</v>
      </c>
      <c r="Y67" s="61">
        <v>810051</v>
      </c>
      <c r="Z67" s="410"/>
      <c r="AA67" s="38" t="s">
        <v>116</v>
      </c>
      <c r="AB67" s="63" t="s">
        <v>117</v>
      </c>
      <c r="AC67" s="62" t="s">
        <v>79</v>
      </c>
      <c r="AD67" s="321">
        <f>AD66</f>
        <v>1827.89</v>
      </c>
      <c r="AE67" s="41"/>
      <c r="AF67" s="246">
        <v>90</v>
      </c>
      <c r="AG67" s="66">
        <f t="shared" si="14"/>
        <v>164510.1</v>
      </c>
    </row>
    <row r="68" spans="2:33" ht="26" x14ac:dyDescent="0.35">
      <c r="B68" s="61">
        <v>810051</v>
      </c>
      <c r="C68" s="410"/>
      <c r="D68" s="64" t="s">
        <v>118</v>
      </c>
      <c r="E68" s="63" t="s">
        <v>345</v>
      </c>
      <c r="F68" s="62" t="s">
        <v>79</v>
      </c>
      <c r="G68" s="40">
        <v>272.5</v>
      </c>
      <c r="H68" s="238">
        <v>5</v>
      </c>
      <c r="I68" s="42">
        <v>50</v>
      </c>
      <c r="J68" s="66">
        <f t="shared" si="12"/>
        <v>14987.5</v>
      </c>
      <c r="K68" s="248">
        <v>180</v>
      </c>
      <c r="N68" s="184">
        <v>810051</v>
      </c>
      <c r="O68" s="429"/>
      <c r="P68" s="161" t="s">
        <v>118</v>
      </c>
      <c r="Q68" s="63" t="s">
        <v>345</v>
      </c>
      <c r="R68" s="62" t="s">
        <v>79</v>
      </c>
      <c r="S68" s="40">
        <v>272.5</v>
      </c>
      <c r="T68" s="322">
        <v>66.92432597751781</v>
      </c>
      <c r="U68" s="322">
        <v>50.929235599089708</v>
      </c>
      <c r="V68" s="165">
        <f t="shared" si="13"/>
        <v>32115.095529625549</v>
      </c>
      <c r="Y68" s="61">
        <v>810051</v>
      </c>
      <c r="Z68" s="410"/>
      <c r="AA68" s="38" t="s">
        <v>118</v>
      </c>
      <c r="AB68" s="63" t="s">
        <v>345</v>
      </c>
      <c r="AC68" s="62" t="s">
        <v>68</v>
      </c>
      <c r="AD68" s="40">
        <v>189</v>
      </c>
      <c r="AE68" s="41">
        <v>89</v>
      </c>
      <c r="AF68" s="246">
        <v>25</v>
      </c>
      <c r="AG68" s="66">
        <f t="shared" si="14"/>
        <v>21546</v>
      </c>
    </row>
    <row r="69" spans="2:33" x14ac:dyDescent="0.35">
      <c r="B69" s="61">
        <v>810051</v>
      </c>
      <c r="C69" s="410"/>
      <c r="D69" s="38" t="s">
        <v>120</v>
      </c>
      <c r="E69" s="63" t="s">
        <v>356</v>
      </c>
      <c r="F69" s="62" t="s">
        <v>68</v>
      </c>
      <c r="G69" s="40">
        <v>666.76</v>
      </c>
      <c r="H69" s="238">
        <v>30</v>
      </c>
      <c r="I69" s="42">
        <v>10</v>
      </c>
      <c r="J69" s="66">
        <f t="shared" si="12"/>
        <v>26670.400000000001</v>
      </c>
      <c r="K69" s="248">
        <v>11.85</v>
      </c>
      <c r="N69" s="184">
        <v>810051</v>
      </c>
      <c r="O69" s="429"/>
      <c r="P69" s="161" t="s">
        <v>120</v>
      </c>
      <c r="Q69" s="162" t="s">
        <v>357</v>
      </c>
      <c r="R69" s="169" t="s">
        <v>68</v>
      </c>
      <c r="S69" s="163">
        <v>503.29</v>
      </c>
      <c r="T69" s="236">
        <v>201.17048061640435</v>
      </c>
      <c r="U69" s="236">
        <v>38.196926699317281</v>
      </c>
      <c r="V69" s="165">
        <f t="shared" si="13"/>
        <v>120471.22242792955</v>
      </c>
      <c r="Y69" s="61">
        <v>810051</v>
      </c>
      <c r="Z69" s="410"/>
      <c r="AA69" s="38" t="s">
        <v>120</v>
      </c>
      <c r="AB69" s="39" t="s">
        <v>121</v>
      </c>
      <c r="AC69" s="62" t="s">
        <v>68</v>
      </c>
      <c r="AD69" s="223">
        <v>212</v>
      </c>
      <c r="AE69" s="238">
        <v>150</v>
      </c>
      <c r="AF69" s="246">
        <v>30</v>
      </c>
      <c r="AG69" s="66">
        <f t="shared" si="14"/>
        <v>38160</v>
      </c>
    </row>
    <row r="70" spans="2:33" x14ac:dyDescent="0.35">
      <c r="B70" s="61"/>
      <c r="C70" s="410"/>
      <c r="D70" s="38" t="s">
        <v>122</v>
      </c>
      <c r="E70" s="63" t="s">
        <v>346</v>
      </c>
      <c r="F70" s="62" t="s">
        <v>68</v>
      </c>
      <c r="G70" s="40">
        <v>296.3</v>
      </c>
      <c r="H70" s="115">
        <v>10</v>
      </c>
      <c r="I70" s="328">
        <v>10</v>
      </c>
      <c r="J70" s="66">
        <f t="shared" si="12"/>
        <v>5926</v>
      </c>
      <c r="K70" s="109" t="s">
        <v>381</v>
      </c>
      <c r="N70" s="184"/>
      <c r="O70" s="429"/>
      <c r="P70" s="161" t="s">
        <v>122</v>
      </c>
      <c r="Q70" s="39" t="s">
        <v>346</v>
      </c>
      <c r="R70" s="62" t="s">
        <v>68</v>
      </c>
      <c r="S70" s="40">
        <v>296.13</v>
      </c>
      <c r="T70" s="322">
        <v>38.145284454419802</v>
      </c>
      <c r="U70" s="322">
        <v>71.921245673546338</v>
      </c>
      <c r="V70" s="165">
        <f t="shared" si="13"/>
        <v>32594.001566794614</v>
      </c>
      <c r="Y70" s="61">
        <v>810051</v>
      </c>
      <c r="Z70" s="410"/>
      <c r="AA70" s="38" t="s">
        <v>122</v>
      </c>
      <c r="AB70" s="39" t="s">
        <v>346</v>
      </c>
      <c r="AC70" s="62" t="s">
        <v>68</v>
      </c>
      <c r="AD70" s="283"/>
      <c r="AE70" s="224">
        <v>0</v>
      </c>
      <c r="AF70" s="225"/>
      <c r="AG70" s="66">
        <f t="shared" si="14"/>
        <v>0</v>
      </c>
    </row>
    <row r="71" spans="2:33" ht="39" x14ac:dyDescent="0.35">
      <c r="B71" s="61">
        <v>810051</v>
      </c>
      <c r="C71" s="410"/>
      <c r="D71" s="38" t="s">
        <v>125</v>
      </c>
      <c r="E71" s="63" t="s">
        <v>123</v>
      </c>
      <c r="F71" s="62" t="s">
        <v>79</v>
      </c>
      <c r="G71" s="223">
        <v>163.22999999999999</v>
      </c>
      <c r="H71" s="238">
        <v>35</v>
      </c>
      <c r="I71" s="42">
        <v>30</v>
      </c>
      <c r="J71" s="66">
        <f t="shared" si="12"/>
        <v>10609.949999999999</v>
      </c>
      <c r="K71" s="109">
        <f>SUM(K67:K70)</f>
        <v>364.0625</v>
      </c>
      <c r="N71" s="184">
        <v>810051</v>
      </c>
      <c r="O71" s="429"/>
      <c r="P71" s="161" t="s">
        <v>125</v>
      </c>
      <c r="Q71" s="162" t="s">
        <v>123</v>
      </c>
      <c r="R71" s="169" t="s">
        <v>79</v>
      </c>
      <c r="S71" s="191">
        <v>163.22999999999999</v>
      </c>
      <c r="T71" s="164">
        <v>12.083597761329022</v>
      </c>
      <c r="U71" s="236">
        <v>44.563081149203491</v>
      </c>
      <c r="V71" s="165">
        <f t="shared" si="13"/>
        <v>9246.4373985662223</v>
      </c>
      <c r="Y71" s="61">
        <v>810051</v>
      </c>
      <c r="Z71" s="410"/>
      <c r="AA71" s="38" t="s">
        <v>125</v>
      </c>
      <c r="AB71" s="39" t="s">
        <v>123</v>
      </c>
      <c r="AC71" s="62" t="s">
        <v>79</v>
      </c>
      <c r="AD71" s="40">
        <v>60</v>
      </c>
      <c r="AE71" s="41">
        <v>0</v>
      </c>
      <c r="AF71" s="246">
        <v>70</v>
      </c>
      <c r="AG71" s="66">
        <f t="shared" si="14"/>
        <v>4200</v>
      </c>
    </row>
    <row r="72" spans="2:33" x14ac:dyDescent="0.35">
      <c r="B72" s="61">
        <v>810210</v>
      </c>
      <c r="C72" s="410"/>
      <c r="D72" s="53"/>
      <c r="E72" s="55" t="s">
        <v>124</v>
      </c>
      <c r="F72" s="56"/>
      <c r="G72" s="57"/>
      <c r="H72" s="58"/>
      <c r="I72" s="59"/>
      <c r="J72" s="60"/>
      <c r="N72" s="184">
        <v>810210</v>
      </c>
      <c r="O72" s="429"/>
      <c r="P72" s="274"/>
      <c r="Q72" s="273" t="s">
        <v>124</v>
      </c>
      <c r="R72" s="272"/>
      <c r="S72" s="180"/>
      <c r="T72" s="181"/>
      <c r="U72" s="182"/>
      <c r="V72" s="183"/>
      <c r="Y72" s="61">
        <v>810210</v>
      </c>
      <c r="Z72" s="410"/>
      <c r="AA72" s="53"/>
      <c r="AB72" s="55" t="s">
        <v>124</v>
      </c>
      <c r="AC72" s="56"/>
      <c r="AD72" s="57"/>
      <c r="AE72" s="58"/>
      <c r="AF72" s="59"/>
      <c r="AG72" s="60"/>
    </row>
    <row r="73" spans="2:33" x14ac:dyDescent="0.35">
      <c r="B73" s="61">
        <v>810210</v>
      </c>
      <c r="C73" s="410"/>
      <c r="D73" s="38" t="s">
        <v>125</v>
      </c>
      <c r="E73" s="63" t="s">
        <v>126</v>
      </c>
      <c r="F73" s="38" t="s">
        <v>79</v>
      </c>
      <c r="G73" s="40"/>
      <c r="H73" s="224"/>
      <c r="I73" s="225"/>
      <c r="J73" s="66">
        <f>G73*H73+I73*G73</f>
        <v>0</v>
      </c>
      <c r="N73" s="184">
        <v>810210</v>
      </c>
      <c r="O73" s="429"/>
      <c r="P73" s="161" t="s">
        <v>127</v>
      </c>
      <c r="Q73" s="162" t="s">
        <v>126</v>
      </c>
      <c r="R73" s="161" t="s">
        <v>79</v>
      </c>
      <c r="S73" s="229">
        <v>190</v>
      </c>
      <c r="T73" s="236">
        <v>231.63889581355977</v>
      </c>
      <c r="U73" s="236">
        <v>50.929235599089708</v>
      </c>
      <c r="V73" s="165">
        <f>S73*T73+U73*S73</f>
        <v>53687.944968403397</v>
      </c>
      <c r="Y73" s="61">
        <v>810210</v>
      </c>
      <c r="Z73" s="410"/>
      <c r="AA73" s="38" t="s">
        <v>125</v>
      </c>
      <c r="AB73" s="39" t="s">
        <v>126</v>
      </c>
      <c r="AC73" s="38" t="s">
        <v>79</v>
      </c>
      <c r="AD73" s="40">
        <v>0</v>
      </c>
      <c r="AE73" s="224"/>
      <c r="AF73" s="225"/>
      <c r="AG73" s="66">
        <f>AD73*AE73+AF73*AD73</f>
        <v>0</v>
      </c>
    </row>
    <row r="74" spans="2:33" x14ac:dyDescent="0.35">
      <c r="B74" s="61">
        <v>810210</v>
      </c>
      <c r="C74" s="410"/>
      <c r="D74" s="38" t="s">
        <v>127</v>
      </c>
      <c r="E74" s="63" t="s">
        <v>128</v>
      </c>
      <c r="F74" s="38" t="s">
        <v>103</v>
      </c>
      <c r="G74" s="40"/>
      <c r="H74" s="115"/>
      <c r="I74" s="328"/>
      <c r="J74" s="66">
        <f>G74*H74+I74*G74</f>
        <v>0</v>
      </c>
      <c r="N74" s="184">
        <v>810210</v>
      </c>
      <c r="O74" s="429"/>
      <c r="P74" s="161" t="s">
        <v>129</v>
      </c>
      <c r="Q74" s="162" t="s">
        <v>128</v>
      </c>
      <c r="R74" s="161" t="s">
        <v>103</v>
      </c>
      <c r="S74" s="235"/>
      <c r="T74" s="237">
        <v>133.02188568845236</v>
      </c>
      <c r="U74" s="237">
        <v>79.113370240900991</v>
      </c>
      <c r="V74" s="165">
        <f>S74*T74+U74*S74</f>
        <v>0</v>
      </c>
      <c r="Y74" s="61">
        <v>810210</v>
      </c>
      <c r="Z74" s="410"/>
      <c r="AA74" s="38" t="s">
        <v>127</v>
      </c>
      <c r="AB74" s="39" t="s">
        <v>128</v>
      </c>
      <c r="AC74" s="38" t="s">
        <v>103</v>
      </c>
      <c r="AD74" s="40">
        <v>0</v>
      </c>
      <c r="AE74" s="41"/>
      <c r="AF74" s="42"/>
      <c r="AG74" s="66">
        <f>AD74*AE74+AF74*AD74</f>
        <v>0</v>
      </c>
    </row>
    <row r="75" spans="2:33" x14ac:dyDescent="0.35">
      <c r="B75" s="61">
        <v>810210</v>
      </c>
      <c r="C75" s="410"/>
      <c r="D75" s="38" t="s">
        <v>129</v>
      </c>
      <c r="E75" s="63" t="s">
        <v>130</v>
      </c>
      <c r="F75" s="38" t="s">
        <v>103</v>
      </c>
      <c r="G75" s="40">
        <v>2</v>
      </c>
      <c r="H75" s="238">
        <v>500</v>
      </c>
      <c r="I75" s="42"/>
      <c r="J75" s="66">
        <f>G75*H75+I75*G75</f>
        <v>1000</v>
      </c>
      <c r="N75" s="184">
        <v>810210</v>
      </c>
      <c r="O75" s="429"/>
      <c r="P75" s="161" t="s">
        <v>131</v>
      </c>
      <c r="Q75" s="162" t="s">
        <v>130</v>
      </c>
      <c r="R75" s="161" t="s">
        <v>103</v>
      </c>
      <c r="S75" s="163">
        <v>15</v>
      </c>
      <c r="T75" s="236">
        <v>51.336669483882424</v>
      </c>
      <c r="U75" s="164">
        <v>15.401000845164727</v>
      </c>
      <c r="V75" s="165">
        <f>S75*T75+U75*S75</f>
        <v>1001.0650549357072</v>
      </c>
      <c r="Y75" s="61">
        <v>810210</v>
      </c>
      <c r="Z75" s="410"/>
      <c r="AA75" s="38" t="s">
        <v>129</v>
      </c>
      <c r="AB75" s="39" t="s">
        <v>130</v>
      </c>
      <c r="AC75" s="38" t="s">
        <v>103</v>
      </c>
      <c r="AD75" s="40">
        <v>3</v>
      </c>
      <c r="AE75" s="41">
        <v>850</v>
      </c>
      <c r="AF75" s="42">
        <v>110</v>
      </c>
      <c r="AG75" s="66">
        <f>AD75*AE75+AF75*AD75</f>
        <v>2880</v>
      </c>
    </row>
    <row r="76" spans="2:33" x14ac:dyDescent="0.35">
      <c r="B76" s="61">
        <v>810210</v>
      </c>
      <c r="C76" s="67"/>
      <c r="D76" s="38" t="s">
        <v>131</v>
      </c>
      <c r="E76" s="63" t="s">
        <v>132</v>
      </c>
      <c r="F76" s="38" t="s">
        <v>103</v>
      </c>
      <c r="G76" s="40">
        <v>6</v>
      </c>
      <c r="H76" s="238">
        <v>600</v>
      </c>
      <c r="I76" s="42"/>
      <c r="J76" s="66">
        <f>G76*H76+I76*G76</f>
        <v>3600</v>
      </c>
      <c r="N76" s="184">
        <v>810210</v>
      </c>
      <c r="O76" s="271"/>
      <c r="P76" s="161" t="s">
        <v>388</v>
      </c>
      <c r="Q76" s="162" t="s">
        <v>132</v>
      </c>
      <c r="R76" s="161" t="s">
        <v>103</v>
      </c>
      <c r="S76" s="163">
        <v>10</v>
      </c>
      <c r="T76" s="236">
        <v>2256.6744293956649</v>
      </c>
      <c r="U76" s="236">
        <v>1504.4496195971101</v>
      </c>
      <c r="V76" s="165">
        <f>S76*T76+U76*S76</f>
        <v>37611.240489927746</v>
      </c>
      <c r="Y76" s="61">
        <v>810210</v>
      </c>
      <c r="Z76" s="67"/>
      <c r="AA76" s="38" t="s">
        <v>131</v>
      </c>
      <c r="AB76" s="39" t="s">
        <v>132</v>
      </c>
      <c r="AC76" s="38" t="s">
        <v>103</v>
      </c>
      <c r="AD76" s="40">
        <v>3</v>
      </c>
      <c r="AE76" s="224"/>
      <c r="AF76" s="225"/>
      <c r="AG76" s="66">
        <f>AD76*AE76+AF76*AD76</f>
        <v>0</v>
      </c>
    </row>
    <row r="77" spans="2:33" x14ac:dyDescent="0.35">
      <c r="B77" s="68"/>
      <c r="C77" s="68"/>
      <c r="D77" s="47" t="s">
        <v>133</v>
      </c>
      <c r="E77" s="48" t="s">
        <v>134</v>
      </c>
      <c r="F77" s="47"/>
      <c r="G77" s="49"/>
      <c r="H77" s="50"/>
      <c r="I77" s="51"/>
      <c r="J77" s="52">
        <f>SUM(J81:J101)</f>
        <v>247843.02499999999</v>
      </c>
      <c r="N77" s="270"/>
      <c r="O77" s="270"/>
      <c r="P77" s="268" t="s">
        <v>133</v>
      </c>
      <c r="Q77" s="269" t="s">
        <v>134</v>
      </c>
      <c r="R77" s="268"/>
      <c r="S77" s="172"/>
      <c r="T77" s="173"/>
      <c r="U77" s="174"/>
      <c r="V77" s="175">
        <f>SUM(V81:V101)</f>
        <v>681320.55692352203</v>
      </c>
      <c r="Y77" s="68"/>
      <c r="Z77" s="68"/>
      <c r="AA77" s="47" t="s">
        <v>133</v>
      </c>
      <c r="AB77" s="48" t="s">
        <v>134</v>
      </c>
      <c r="AC77" s="47"/>
      <c r="AD77" s="49"/>
      <c r="AE77" s="50"/>
      <c r="AF77" s="51"/>
      <c r="AG77" s="52">
        <f>SUM(AG78:AG101)</f>
        <v>481008</v>
      </c>
    </row>
    <row r="78" spans="2:33" x14ac:dyDescent="0.35">
      <c r="B78" s="61">
        <v>810213</v>
      </c>
      <c r="C78" s="294"/>
      <c r="D78" s="38" t="s">
        <v>135</v>
      </c>
      <c r="E78" s="299" t="s">
        <v>402</v>
      </c>
      <c r="F78" s="300" t="s">
        <v>228</v>
      </c>
      <c r="G78" s="295"/>
      <c r="H78" s="333"/>
      <c r="I78" s="334"/>
      <c r="J78" s="298"/>
      <c r="N78" s="184">
        <v>810213</v>
      </c>
      <c r="O78" s="301"/>
      <c r="P78" s="38" t="s">
        <v>135</v>
      </c>
      <c r="Q78" s="299" t="s">
        <v>402</v>
      </c>
      <c r="R78" s="300" t="s">
        <v>228</v>
      </c>
      <c r="S78" s="302"/>
      <c r="T78" s="331"/>
      <c r="U78" s="332"/>
      <c r="V78" s="305"/>
      <c r="Y78" s="61">
        <v>810213</v>
      </c>
      <c r="Z78" s="409" t="s">
        <v>134</v>
      </c>
      <c r="AA78" s="38" t="s">
        <v>135</v>
      </c>
      <c r="AB78" s="299" t="s">
        <v>402</v>
      </c>
      <c r="AC78" s="300" t="s">
        <v>228</v>
      </c>
      <c r="AD78" s="40"/>
      <c r="AE78" s="227"/>
      <c r="AF78" s="240"/>
      <c r="AG78" s="66"/>
    </row>
    <row r="79" spans="2:33" x14ac:dyDescent="0.35">
      <c r="B79" s="61">
        <v>810213</v>
      </c>
      <c r="C79" s="294"/>
      <c r="D79" s="38" t="s">
        <v>137</v>
      </c>
      <c r="E79" s="63" t="s">
        <v>93</v>
      </c>
      <c r="F79" s="300" t="s">
        <v>228</v>
      </c>
      <c r="G79" s="295"/>
      <c r="H79" s="333"/>
      <c r="I79" s="334"/>
      <c r="J79" s="298"/>
      <c r="N79" s="184">
        <v>810213</v>
      </c>
      <c r="O79" s="301"/>
      <c r="P79" s="38" t="s">
        <v>137</v>
      </c>
      <c r="Q79" s="63" t="s">
        <v>93</v>
      </c>
      <c r="R79" s="300" t="s">
        <v>228</v>
      </c>
      <c r="S79" s="302"/>
      <c r="T79" s="331"/>
      <c r="U79" s="332"/>
      <c r="V79" s="305"/>
      <c r="Y79" s="61">
        <v>810213</v>
      </c>
      <c r="Z79" s="410"/>
      <c r="AA79" s="38" t="s">
        <v>137</v>
      </c>
      <c r="AB79" s="63" t="s">
        <v>93</v>
      </c>
      <c r="AC79" s="300" t="s">
        <v>228</v>
      </c>
      <c r="AD79" s="40"/>
      <c r="AE79" s="227"/>
      <c r="AF79" s="240"/>
      <c r="AG79" s="66"/>
    </row>
    <row r="80" spans="2:33" x14ac:dyDescent="0.35">
      <c r="B80" s="61">
        <v>810213</v>
      </c>
      <c r="C80" s="294"/>
      <c r="D80" s="38" t="s">
        <v>139</v>
      </c>
      <c r="E80" s="63" t="s">
        <v>403</v>
      </c>
      <c r="F80" s="300" t="s">
        <v>228</v>
      </c>
      <c r="G80" s="295"/>
      <c r="H80" s="333"/>
      <c r="I80" s="334"/>
      <c r="J80" s="298"/>
      <c r="N80" s="184">
        <v>810213</v>
      </c>
      <c r="O80" s="301"/>
      <c r="P80" s="38" t="s">
        <v>139</v>
      </c>
      <c r="Q80" s="63" t="s">
        <v>403</v>
      </c>
      <c r="R80" s="300" t="s">
        <v>228</v>
      </c>
      <c r="S80" s="302"/>
      <c r="T80" s="331"/>
      <c r="U80" s="332"/>
      <c r="V80" s="305"/>
      <c r="Y80" s="61">
        <v>810213</v>
      </c>
      <c r="Z80" s="410"/>
      <c r="AA80" s="38" t="s">
        <v>139</v>
      </c>
      <c r="AB80" s="63" t="s">
        <v>403</v>
      </c>
      <c r="AC80" s="300" t="s">
        <v>228</v>
      </c>
      <c r="AD80" s="40"/>
      <c r="AE80" s="227"/>
      <c r="AF80" s="240"/>
      <c r="AG80" s="66"/>
    </row>
    <row r="81" spans="2:34" ht="43.5" x14ac:dyDescent="0.35">
      <c r="B81" s="61">
        <v>810213</v>
      </c>
      <c r="C81" s="409" t="s">
        <v>134</v>
      </c>
      <c r="D81" s="38" t="s">
        <v>141</v>
      </c>
      <c r="E81" s="39" t="s">
        <v>136</v>
      </c>
      <c r="F81" s="62" t="s">
        <v>79</v>
      </c>
      <c r="G81" s="40">
        <v>272.51</v>
      </c>
      <c r="H81" s="69">
        <v>10</v>
      </c>
      <c r="I81" s="70">
        <f>I55</f>
        <v>55</v>
      </c>
      <c r="J81" s="66">
        <f t="shared" ref="J81:J101" si="15">G81*H81+I81*G81</f>
        <v>17713.149999999998</v>
      </c>
      <c r="K81" s="117" t="s">
        <v>375</v>
      </c>
      <c r="N81" s="184">
        <v>810213</v>
      </c>
      <c r="O81" s="445" t="s">
        <v>134</v>
      </c>
      <c r="P81" s="38" t="s">
        <v>141</v>
      </c>
      <c r="Q81" s="162" t="s">
        <v>136</v>
      </c>
      <c r="R81" s="169" t="s">
        <v>79</v>
      </c>
      <c r="S81" s="229">
        <v>258.55</v>
      </c>
      <c r="T81" s="237">
        <v>0</v>
      </c>
      <c r="U81" s="236">
        <v>55.938412346610839</v>
      </c>
      <c r="V81" s="165">
        <f t="shared" ref="V81:V101" si="16">S81*T81+U81*S81</f>
        <v>14462.876512216233</v>
      </c>
      <c r="W81" s="248" t="s">
        <v>373</v>
      </c>
      <c r="Y81" s="61">
        <v>810213</v>
      </c>
      <c r="Z81" s="410"/>
      <c r="AA81" s="38" t="s">
        <v>135</v>
      </c>
      <c r="AB81" s="39" t="s">
        <v>136</v>
      </c>
      <c r="AC81" s="62" t="s">
        <v>79</v>
      </c>
      <c r="AD81" s="40">
        <v>121</v>
      </c>
      <c r="AE81" s="318">
        <v>115</v>
      </c>
      <c r="AF81" s="253">
        <v>80</v>
      </c>
      <c r="AG81" s="66">
        <f t="shared" ref="AG81:AG101" si="17">AD81*AE81+AF81*AD81</f>
        <v>23595</v>
      </c>
      <c r="AH81" s="117" t="s">
        <v>375</v>
      </c>
    </row>
    <row r="82" spans="2:34" x14ac:dyDescent="0.35">
      <c r="B82" s="61">
        <v>810213</v>
      </c>
      <c r="C82" s="410"/>
      <c r="D82" s="38" t="s">
        <v>143</v>
      </c>
      <c r="E82" s="63" t="s">
        <v>138</v>
      </c>
      <c r="F82" s="62" t="s">
        <v>79</v>
      </c>
      <c r="G82" s="223">
        <v>0</v>
      </c>
      <c r="H82" s="115">
        <v>80</v>
      </c>
      <c r="I82" s="247">
        <f>(35*1.35)+20</f>
        <v>67.25</v>
      </c>
      <c r="J82" s="66">
        <f t="shared" si="15"/>
        <v>0</v>
      </c>
      <c r="K82" s="248" t="s">
        <v>380</v>
      </c>
      <c r="N82" s="184">
        <v>810213</v>
      </c>
      <c r="O82" s="429"/>
      <c r="P82" s="38" t="s">
        <v>143</v>
      </c>
      <c r="Q82" s="162" t="s">
        <v>138</v>
      </c>
      <c r="R82" s="169" t="s">
        <v>79</v>
      </c>
      <c r="S82" s="229">
        <v>400.18400000000003</v>
      </c>
      <c r="T82" s="236">
        <v>172.50104220359793</v>
      </c>
      <c r="U82" s="164">
        <v>63.658540458012737</v>
      </c>
      <c r="V82" s="165">
        <f t="shared" si="16"/>
        <v>94507.286427854007</v>
      </c>
      <c r="Y82" s="61">
        <v>810213</v>
      </c>
      <c r="Z82" s="410"/>
      <c r="AA82" s="38" t="s">
        <v>137</v>
      </c>
      <c r="AB82" s="39" t="s">
        <v>138</v>
      </c>
      <c r="AC82" s="62" t="s">
        <v>79</v>
      </c>
      <c r="AD82" s="40">
        <v>365</v>
      </c>
      <c r="AE82" s="69">
        <f>170+125</f>
        <v>295</v>
      </c>
      <c r="AF82" s="70">
        <f>70+90</f>
        <v>160</v>
      </c>
      <c r="AG82" s="66">
        <f t="shared" si="17"/>
        <v>166075</v>
      </c>
    </row>
    <row r="83" spans="2:34" ht="43.5" x14ac:dyDescent="0.35">
      <c r="B83" s="61">
        <v>810213</v>
      </c>
      <c r="C83" s="410"/>
      <c r="D83" s="38" t="s">
        <v>145</v>
      </c>
      <c r="E83" s="63" t="s">
        <v>140</v>
      </c>
      <c r="F83" s="62" t="s">
        <v>79</v>
      </c>
      <c r="G83" s="223">
        <f>30.5+10.4</f>
        <v>40.9</v>
      </c>
      <c r="H83" s="115">
        <v>10</v>
      </c>
      <c r="I83" s="119">
        <f>35*1.35</f>
        <v>47.25</v>
      </c>
      <c r="J83" s="66">
        <f t="shared" si="15"/>
        <v>2341.5249999999996</v>
      </c>
      <c r="K83" s="117" t="s">
        <v>375</v>
      </c>
      <c r="N83" s="184">
        <v>810213</v>
      </c>
      <c r="O83" s="429"/>
      <c r="P83" s="38" t="s">
        <v>145</v>
      </c>
      <c r="Q83" s="162" t="s">
        <v>140</v>
      </c>
      <c r="R83" s="169" t="s">
        <v>79</v>
      </c>
      <c r="S83" s="229">
        <v>200.09200000000001</v>
      </c>
      <c r="T83" s="236">
        <v>235.83632128690343</v>
      </c>
      <c r="U83" s="236">
        <v>70.024394503814023</v>
      </c>
      <c r="V83" s="165">
        <f t="shared" si="16"/>
        <v>61200.282343996238</v>
      </c>
      <c r="W83" s="345" t="s">
        <v>375</v>
      </c>
      <c r="Y83" s="61">
        <v>810213</v>
      </c>
      <c r="Z83" s="410"/>
      <c r="AA83" s="38" t="s">
        <v>139</v>
      </c>
      <c r="AB83" s="39" t="s">
        <v>140</v>
      </c>
      <c r="AC83" s="62" t="s">
        <v>79</v>
      </c>
      <c r="AD83" s="40"/>
      <c r="AE83" s="69"/>
      <c r="AF83" s="240"/>
      <c r="AG83" s="66">
        <f t="shared" si="17"/>
        <v>0</v>
      </c>
      <c r="AH83" s="117" t="s">
        <v>375</v>
      </c>
    </row>
    <row r="84" spans="2:34" x14ac:dyDescent="0.35">
      <c r="B84" s="61">
        <v>810213</v>
      </c>
      <c r="C84" s="410"/>
      <c r="D84" s="38" t="s">
        <v>146</v>
      </c>
      <c r="E84" s="63" t="s">
        <v>142</v>
      </c>
      <c r="F84" s="38" t="s">
        <v>103</v>
      </c>
      <c r="G84" s="40">
        <f>124-61</f>
        <v>63</v>
      </c>
      <c r="H84" s="69">
        <v>180</v>
      </c>
      <c r="I84" s="70"/>
      <c r="J84" s="66">
        <f t="shared" si="15"/>
        <v>11340</v>
      </c>
      <c r="K84" s="109" t="s">
        <v>285</v>
      </c>
      <c r="N84" s="184">
        <v>810213</v>
      </c>
      <c r="O84" s="429"/>
      <c r="P84" s="38" t="s">
        <v>146</v>
      </c>
      <c r="Q84" s="162" t="s">
        <v>142</v>
      </c>
      <c r="R84" s="161" t="s">
        <v>103</v>
      </c>
      <c r="S84" s="229">
        <v>179</v>
      </c>
      <c r="T84" s="236">
        <v>190.98463349658641</v>
      </c>
      <c r="U84" s="236">
        <v>63.661544498862135</v>
      </c>
      <c r="V84" s="165">
        <f t="shared" si="16"/>
        <v>45581.665861185291</v>
      </c>
      <c r="W84" s="186"/>
      <c r="Y84" s="61">
        <v>810213</v>
      </c>
      <c r="Z84" s="410"/>
      <c r="AA84" s="38" t="s">
        <v>141</v>
      </c>
      <c r="AB84" s="39" t="s">
        <v>142</v>
      </c>
      <c r="AC84" s="38" t="s">
        <v>103</v>
      </c>
      <c r="AD84" s="223">
        <v>33</v>
      </c>
      <c r="AE84" s="252">
        <v>70</v>
      </c>
      <c r="AF84" s="253">
        <v>30</v>
      </c>
      <c r="AG84" s="66">
        <f t="shared" si="17"/>
        <v>3300</v>
      </c>
    </row>
    <row r="85" spans="2:34" ht="39" x14ac:dyDescent="0.35">
      <c r="B85" s="61">
        <v>810213</v>
      </c>
      <c r="C85" s="410"/>
      <c r="D85" s="38" t="s">
        <v>148</v>
      </c>
      <c r="E85" s="63" t="s">
        <v>144</v>
      </c>
      <c r="F85" s="62" t="s">
        <v>79</v>
      </c>
      <c r="G85" s="40">
        <f>272.51</f>
        <v>272.51</v>
      </c>
      <c r="H85" s="69">
        <v>30</v>
      </c>
      <c r="I85" s="70">
        <v>55</v>
      </c>
      <c r="J85" s="66">
        <f t="shared" si="15"/>
        <v>23163.35</v>
      </c>
      <c r="N85" s="184">
        <v>810213</v>
      </c>
      <c r="O85" s="429"/>
      <c r="P85" s="38" t="s">
        <v>148</v>
      </c>
      <c r="Q85" s="162" t="s">
        <v>303</v>
      </c>
      <c r="R85" s="169" t="s">
        <v>79</v>
      </c>
      <c r="S85" s="163">
        <v>272.51</v>
      </c>
      <c r="T85" s="164">
        <v>127.18020702725103</v>
      </c>
      <c r="U85" s="236">
        <v>50.929235599089708</v>
      </c>
      <c r="V85" s="165">
        <f t="shared" si="16"/>
        <v>48536.604210104109</v>
      </c>
      <c r="Y85" s="61">
        <v>810213</v>
      </c>
      <c r="Z85" s="410"/>
      <c r="AA85" s="38" t="s">
        <v>143</v>
      </c>
      <c r="AB85" s="39" t="s">
        <v>144</v>
      </c>
      <c r="AC85" s="62" t="s">
        <v>79</v>
      </c>
      <c r="AD85" s="40">
        <v>121</v>
      </c>
      <c r="AE85" s="69">
        <v>0</v>
      </c>
      <c r="AF85" s="253">
        <v>90</v>
      </c>
      <c r="AG85" s="66">
        <f t="shared" si="17"/>
        <v>10890</v>
      </c>
    </row>
    <row r="86" spans="2:34" x14ac:dyDescent="0.35">
      <c r="B86" s="61">
        <v>810213</v>
      </c>
      <c r="C86" s="410"/>
      <c r="D86" s="38" t="s">
        <v>150</v>
      </c>
      <c r="E86" s="39" t="s">
        <v>121</v>
      </c>
      <c r="F86" s="62" t="s">
        <v>68</v>
      </c>
      <c r="G86" s="223">
        <v>30</v>
      </c>
      <c r="H86" s="324">
        <v>65</v>
      </c>
      <c r="I86" s="325">
        <v>30</v>
      </c>
      <c r="J86" s="66">
        <f t="shared" si="15"/>
        <v>2850</v>
      </c>
      <c r="N86" s="184">
        <v>810213</v>
      </c>
      <c r="O86" s="429"/>
      <c r="P86" s="38" t="s">
        <v>150</v>
      </c>
      <c r="Q86" s="162" t="s">
        <v>121</v>
      </c>
      <c r="R86" s="169" t="s">
        <v>68</v>
      </c>
      <c r="S86" s="323">
        <v>164.69</v>
      </c>
      <c r="T86" s="322">
        <v>201.17048061640435</v>
      </c>
      <c r="U86" s="322">
        <v>38.196926699317281</v>
      </c>
      <c r="V86" s="165">
        <f t="shared" si="16"/>
        <v>39421.418310826193</v>
      </c>
      <c r="Y86" s="61">
        <v>810213</v>
      </c>
      <c r="Z86" s="410"/>
      <c r="AA86" s="38" t="s">
        <v>145</v>
      </c>
      <c r="AB86" s="39" t="s">
        <v>121</v>
      </c>
      <c r="AC86" s="62" t="s">
        <v>68</v>
      </c>
      <c r="AD86" s="40">
        <v>210</v>
      </c>
      <c r="AE86" s="252">
        <v>150</v>
      </c>
      <c r="AF86" s="253">
        <v>30</v>
      </c>
      <c r="AG86" s="66">
        <f t="shared" si="17"/>
        <v>37800</v>
      </c>
    </row>
    <row r="87" spans="2:34" ht="26" x14ac:dyDescent="0.35">
      <c r="B87" s="61">
        <v>810213</v>
      </c>
      <c r="C87" s="410"/>
      <c r="D87" s="38" t="s">
        <v>152</v>
      </c>
      <c r="E87" s="63" t="s">
        <v>147</v>
      </c>
      <c r="F87" s="62" t="s">
        <v>103</v>
      </c>
      <c r="G87" s="44">
        <v>0</v>
      </c>
      <c r="H87" s="318">
        <v>250</v>
      </c>
      <c r="I87" s="319">
        <v>15</v>
      </c>
      <c r="J87" s="66">
        <f t="shared" si="15"/>
        <v>0</v>
      </c>
      <c r="N87" s="184">
        <v>810213</v>
      </c>
      <c r="O87" s="429"/>
      <c r="P87" s="38" t="s">
        <v>152</v>
      </c>
      <c r="Q87" s="162" t="s">
        <v>147</v>
      </c>
      <c r="R87" s="169" t="s">
        <v>103</v>
      </c>
      <c r="S87" s="163">
        <v>0</v>
      </c>
      <c r="T87" s="237">
        <v>1247.7662721776978</v>
      </c>
      <c r="U87" s="237">
        <v>0</v>
      </c>
      <c r="V87" s="165">
        <f t="shared" si="16"/>
        <v>0</v>
      </c>
      <c r="W87" s="186"/>
      <c r="Y87" s="61">
        <v>810213</v>
      </c>
      <c r="Z87" s="410"/>
      <c r="AA87" s="38" t="s">
        <v>146</v>
      </c>
      <c r="AB87" s="39" t="s">
        <v>147</v>
      </c>
      <c r="AC87" s="62" t="s">
        <v>103</v>
      </c>
      <c r="AD87" s="40">
        <v>0</v>
      </c>
      <c r="AE87" s="318">
        <v>450</v>
      </c>
      <c r="AF87" s="319">
        <v>30</v>
      </c>
      <c r="AG87" s="66">
        <f t="shared" si="17"/>
        <v>0</v>
      </c>
    </row>
    <row r="88" spans="2:34" ht="26" x14ac:dyDescent="0.35">
      <c r="B88" s="61">
        <v>810213</v>
      </c>
      <c r="C88" s="410"/>
      <c r="D88" s="38" t="s">
        <v>154</v>
      </c>
      <c r="E88" s="63" t="s">
        <v>149</v>
      </c>
      <c r="F88" s="62" t="s">
        <v>103</v>
      </c>
      <c r="G88" s="223">
        <v>63</v>
      </c>
      <c r="H88" s="252">
        <v>800</v>
      </c>
      <c r="I88" s="70">
        <v>25</v>
      </c>
      <c r="J88" s="66">
        <f t="shared" si="15"/>
        <v>51975</v>
      </c>
      <c r="K88" s="109" t="s">
        <v>294</v>
      </c>
      <c r="N88" s="184">
        <v>810213</v>
      </c>
      <c r="O88" s="429"/>
      <c r="P88" s="38" t="s">
        <v>154</v>
      </c>
      <c r="Q88" s="162" t="s">
        <v>304</v>
      </c>
      <c r="R88" s="169" t="s">
        <v>103</v>
      </c>
      <c r="S88" s="163">
        <v>63</v>
      </c>
      <c r="T88" s="236">
        <v>846.69854183486632</v>
      </c>
      <c r="U88" s="164">
        <v>0</v>
      </c>
      <c r="V88" s="165">
        <f t="shared" si="16"/>
        <v>53342.008135596581</v>
      </c>
      <c r="Y88" s="61">
        <v>810213</v>
      </c>
      <c r="Z88" s="410"/>
      <c r="AA88" s="38" t="s">
        <v>148</v>
      </c>
      <c r="AB88" s="39" t="s">
        <v>149</v>
      </c>
      <c r="AC88" s="62" t="s">
        <v>103</v>
      </c>
      <c r="AD88" s="223">
        <v>33</v>
      </c>
      <c r="AE88" s="252">
        <f>650+460+200</f>
        <v>1310</v>
      </c>
      <c r="AF88" s="253">
        <v>80</v>
      </c>
      <c r="AG88" s="66">
        <f t="shared" si="17"/>
        <v>45870</v>
      </c>
    </row>
    <row r="89" spans="2:34" x14ac:dyDescent="0.35">
      <c r="B89" s="61">
        <v>810213</v>
      </c>
      <c r="C89" s="410"/>
      <c r="D89" s="38" t="s">
        <v>156</v>
      </c>
      <c r="E89" s="63" t="s">
        <v>151</v>
      </c>
      <c r="F89" s="62" t="s">
        <v>103</v>
      </c>
      <c r="G89" s="223">
        <v>63</v>
      </c>
      <c r="H89" s="252">
        <v>140</v>
      </c>
      <c r="I89" s="70">
        <v>30</v>
      </c>
      <c r="J89" s="66">
        <f t="shared" si="15"/>
        <v>10710</v>
      </c>
      <c r="N89" s="184">
        <v>810213</v>
      </c>
      <c r="O89" s="429"/>
      <c r="P89" s="38" t="s">
        <v>156</v>
      </c>
      <c r="Q89" s="162" t="s">
        <v>151</v>
      </c>
      <c r="R89" s="169" t="s">
        <v>103</v>
      </c>
      <c r="S89" s="163">
        <v>63</v>
      </c>
      <c r="T89" s="236">
        <v>108.22462564806563</v>
      </c>
      <c r="U89" s="236">
        <v>31.830772249431067</v>
      </c>
      <c r="V89" s="165">
        <f t="shared" si="16"/>
        <v>8823.4900675422923</v>
      </c>
      <c r="Y89" s="61">
        <v>810213</v>
      </c>
      <c r="Z89" s="410"/>
      <c r="AA89" s="38" t="s">
        <v>150</v>
      </c>
      <c r="AB89" s="39" t="s">
        <v>151</v>
      </c>
      <c r="AC89" s="62" t="s">
        <v>103</v>
      </c>
      <c r="AD89" s="223">
        <v>33</v>
      </c>
      <c r="AE89" s="69">
        <v>70</v>
      </c>
      <c r="AF89" s="253">
        <v>30</v>
      </c>
      <c r="AG89" s="66">
        <f t="shared" si="17"/>
        <v>3300</v>
      </c>
    </row>
    <row r="90" spans="2:34" ht="26" x14ac:dyDescent="0.35">
      <c r="B90" s="61">
        <v>810213</v>
      </c>
      <c r="C90" s="410"/>
      <c r="D90" s="38" t="s">
        <v>158</v>
      </c>
      <c r="E90" s="63" t="s">
        <v>153</v>
      </c>
      <c r="F90" s="62" t="s">
        <v>79</v>
      </c>
      <c r="G90" s="40">
        <f>6*1.3*2.5</f>
        <v>19.5</v>
      </c>
      <c r="H90" s="252">
        <v>550</v>
      </c>
      <c r="I90" s="70">
        <v>100</v>
      </c>
      <c r="J90" s="66">
        <f t="shared" si="15"/>
        <v>12675</v>
      </c>
      <c r="K90" s="257"/>
      <c r="N90" s="184">
        <v>810213</v>
      </c>
      <c r="O90" s="429"/>
      <c r="P90" s="38" t="s">
        <v>158</v>
      </c>
      <c r="Q90" s="162" t="s">
        <v>153</v>
      </c>
      <c r="R90" s="169" t="s">
        <v>79</v>
      </c>
      <c r="S90" s="163">
        <v>18</v>
      </c>
      <c r="T90" s="164">
        <v>528.27622856045775</v>
      </c>
      <c r="U90" s="164">
        <v>0</v>
      </c>
      <c r="V90" s="165">
        <f t="shared" si="16"/>
        <v>9508.9721140882393</v>
      </c>
      <c r="Y90" s="61">
        <v>810213</v>
      </c>
      <c r="Z90" s="410"/>
      <c r="AA90" s="38" t="s">
        <v>152</v>
      </c>
      <c r="AB90" s="39" t="s">
        <v>153</v>
      </c>
      <c r="AC90" s="62" t="s">
        <v>79</v>
      </c>
      <c r="AD90" s="40">
        <v>3</v>
      </c>
      <c r="AE90" s="252">
        <v>700</v>
      </c>
      <c r="AF90" s="253">
        <v>60</v>
      </c>
      <c r="AG90" s="66">
        <f t="shared" si="17"/>
        <v>2280</v>
      </c>
    </row>
    <row r="91" spans="2:34" ht="26" x14ac:dyDescent="0.35">
      <c r="B91" s="61">
        <v>810213</v>
      </c>
      <c r="C91" s="410"/>
      <c r="D91" s="38" t="s">
        <v>160</v>
      </c>
      <c r="E91" s="63" t="s">
        <v>155</v>
      </c>
      <c r="F91" s="38" t="s">
        <v>103</v>
      </c>
      <c r="G91" s="40">
        <v>4</v>
      </c>
      <c r="H91" s="69">
        <v>2100</v>
      </c>
      <c r="I91" s="253">
        <v>300</v>
      </c>
      <c r="J91" s="66">
        <f t="shared" si="15"/>
        <v>9600</v>
      </c>
      <c r="N91" s="184">
        <v>810213</v>
      </c>
      <c r="O91" s="429"/>
      <c r="P91" s="38" t="s">
        <v>160</v>
      </c>
      <c r="Q91" s="162" t="s">
        <v>155</v>
      </c>
      <c r="R91" s="161" t="s">
        <v>103</v>
      </c>
      <c r="S91" s="163">
        <v>2</v>
      </c>
      <c r="T91" s="236">
        <v>2147.0492497686241</v>
      </c>
      <c r="U91" s="164">
        <v>0</v>
      </c>
      <c r="V91" s="165">
        <f t="shared" si="16"/>
        <v>4294.0984995372482</v>
      </c>
      <c r="Y91" s="61">
        <v>810213</v>
      </c>
      <c r="Z91" s="410"/>
      <c r="AA91" s="38" t="s">
        <v>154</v>
      </c>
      <c r="AB91" s="39" t="s">
        <v>155</v>
      </c>
      <c r="AC91" s="38" t="s">
        <v>103</v>
      </c>
      <c r="AD91" s="40">
        <v>2</v>
      </c>
      <c r="AE91" s="252">
        <v>2900</v>
      </c>
      <c r="AF91" s="253">
        <v>300</v>
      </c>
      <c r="AG91" s="66">
        <f t="shared" si="17"/>
        <v>6400</v>
      </c>
    </row>
    <row r="92" spans="2:34" x14ac:dyDescent="0.35">
      <c r="B92" s="61">
        <v>810213</v>
      </c>
      <c r="C92" s="410"/>
      <c r="D92" s="38" t="s">
        <v>162</v>
      </c>
      <c r="E92" s="63" t="s">
        <v>157</v>
      </c>
      <c r="F92" s="38" t="s">
        <v>46</v>
      </c>
      <c r="G92" s="40">
        <v>2</v>
      </c>
      <c r="H92" s="252">
        <v>9000</v>
      </c>
      <c r="I92" s="70"/>
      <c r="J92" s="66">
        <f t="shared" si="15"/>
        <v>18000</v>
      </c>
      <c r="N92" s="184">
        <v>810213</v>
      </c>
      <c r="O92" s="429"/>
      <c r="P92" s="38" t="s">
        <v>162</v>
      </c>
      <c r="Q92" s="162" t="s">
        <v>157</v>
      </c>
      <c r="R92" s="161" t="s">
        <v>46</v>
      </c>
      <c r="S92" s="163">
        <v>1</v>
      </c>
      <c r="T92" s="236">
        <v>5495.2645211417794</v>
      </c>
      <c r="U92" s="236">
        <v>1317.641183419649</v>
      </c>
      <c r="V92" s="165">
        <f t="shared" si="16"/>
        <v>6812.9057045614281</v>
      </c>
      <c r="Y92" s="61">
        <v>810213</v>
      </c>
      <c r="Z92" s="410"/>
      <c r="AA92" s="38" t="s">
        <v>156</v>
      </c>
      <c r="AB92" s="39" t="s">
        <v>157</v>
      </c>
      <c r="AC92" s="38" t="s">
        <v>46</v>
      </c>
      <c r="AD92" s="40">
        <v>1</v>
      </c>
      <c r="AE92" s="252">
        <v>4900</v>
      </c>
      <c r="AF92" s="253">
        <v>1680</v>
      </c>
      <c r="AG92" s="66">
        <f t="shared" si="17"/>
        <v>6580</v>
      </c>
    </row>
    <row r="93" spans="2:34" x14ac:dyDescent="0.35">
      <c r="B93" s="61">
        <v>810213</v>
      </c>
      <c r="C93" s="410"/>
      <c r="D93" s="38" t="s">
        <v>164</v>
      </c>
      <c r="E93" s="63" t="s">
        <v>159</v>
      </c>
      <c r="F93" s="38" t="s">
        <v>103</v>
      </c>
      <c r="G93" s="40">
        <v>63</v>
      </c>
      <c r="H93" s="252">
        <v>700</v>
      </c>
      <c r="I93" s="253">
        <v>200</v>
      </c>
      <c r="J93" s="66">
        <f t="shared" si="15"/>
        <v>56700</v>
      </c>
      <c r="N93" s="184">
        <v>810213</v>
      </c>
      <c r="O93" s="429"/>
      <c r="P93" s="38" t="s">
        <v>164</v>
      </c>
      <c r="Q93" s="162" t="s">
        <v>159</v>
      </c>
      <c r="R93" s="161" t="s">
        <v>103</v>
      </c>
      <c r="S93" s="229">
        <v>75.599999999999994</v>
      </c>
      <c r="T93" s="164">
        <v>50.929235599089708</v>
      </c>
      <c r="U93" s="164">
        <v>12.732308899772427</v>
      </c>
      <c r="V93" s="165">
        <f t="shared" si="16"/>
        <v>4812.8127641139772</v>
      </c>
      <c r="Y93" s="61">
        <v>810213</v>
      </c>
      <c r="Z93" s="410"/>
      <c r="AA93" s="38" t="s">
        <v>158</v>
      </c>
      <c r="AB93" s="39" t="s">
        <v>159</v>
      </c>
      <c r="AC93" s="38" t="s">
        <v>103</v>
      </c>
      <c r="AD93" s="223">
        <v>33</v>
      </c>
      <c r="AE93" s="252">
        <v>3600</v>
      </c>
      <c r="AF93" s="253">
        <v>100</v>
      </c>
      <c r="AG93" s="66">
        <f t="shared" si="17"/>
        <v>122100</v>
      </c>
    </row>
    <row r="94" spans="2:34" x14ac:dyDescent="0.35">
      <c r="B94" s="61">
        <v>810213</v>
      </c>
      <c r="C94" s="410"/>
      <c r="D94" s="38" t="s">
        <v>165</v>
      </c>
      <c r="E94" s="63" t="s">
        <v>161</v>
      </c>
      <c r="F94" s="38" t="s">
        <v>46</v>
      </c>
      <c r="G94" s="44">
        <v>0</v>
      </c>
      <c r="H94" s="318">
        <v>680</v>
      </c>
      <c r="I94" s="320">
        <v>30</v>
      </c>
      <c r="J94" s="66">
        <f t="shared" si="15"/>
        <v>0</v>
      </c>
      <c r="N94" s="184">
        <v>810213</v>
      </c>
      <c r="O94" s="429"/>
      <c r="P94" s="38" t="s">
        <v>165</v>
      </c>
      <c r="Q94" s="162" t="s">
        <v>161</v>
      </c>
      <c r="R94" s="161" t="s">
        <v>46</v>
      </c>
      <c r="S94" s="163">
        <v>0</v>
      </c>
      <c r="T94" s="237">
        <v>46323.322854597041</v>
      </c>
      <c r="U94" s="237">
        <v>6617.6175506567197</v>
      </c>
      <c r="V94" s="165">
        <f t="shared" si="16"/>
        <v>0</v>
      </c>
      <c r="W94" s="168"/>
      <c r="Y94" s="61">
        <v>810213</v>
      </c>
      <c r="Z94" s="410"/>
      <c r="AA94" s="38" t="s">
        <v>160</v>
      </c>
      <c r="AB94" s="39" t="s">
        <v>161</v>
      </c>
      <c r="AC94" s="38" t="s">
        <v>46</v>
      </c>
      <c r="AD94" s="40"/>
      <c r="AE94" s="318"/>
      <c r="AF94" s="320">
        <v>350</v>
      </c>
      <c r="AG94" s="66">
        <f t="shared" si="17"/>
        <v>0</v>
      </c>
    </row>
    <row r="95" spans="2:34" x14ac:dyDescent="0.35">
      <c r="B95" s="61">
        <v>810213</v>
      </c>
      <c r="C95" s="410"/>
      <c r="D95" s="38" t="s">
        <v>167</v>
      </c>
      <c r="E95" s="39" t="s">
        <v>163</v>
      </c>
      <c r="F95" s="38" t="s">
        <v>103</v>
      </c>
      <c r="G95" s="239"/>
      <c r="H95" s="227"/>
      <c r="I95" s="240"/>
      <c r="J95" s="66">
        <f t="shared" si="15"/>
        <v>0</v>
      </c>
      <c r="K95" s="109" t="s">
        <v>379</v>
      </c>
      <c r="N95" s="184">
        <v>810213</v>
      </c>
      <c r="O95" s="429"/>
      <c r="P95" s="38" t="s">
        <v>167</v>
      </c>
      <c r="Q95" s="162" t="s">
        <v>163</v>
      </c>
      <c r="R95" s="161" t="s">
        <v>103</v>
      </c>
      <c r="S95" s="163">
        <v>63</v>
      </c>
      <c r="T95" s="236">
        <v>305.69548795487066</v>
      </c>
      <c r="U95" s="164">
        <v>76.617678646351109</v>
      </c>
      <c r="V95" s="165">
        <f t="shared" si="16"/>
        <v>24085.729495876971</v>
      </c>
      <c r="W95" s="186"/>
      <c r="Y95" s="61">
        <v>810213</v>
      </c>
      <c r="Z95" s="410"/>
      <c r="AA95" s="38" t="s">
        <v>162</v>
      </c>
      <c r="AB95" s="39" t="s">
        <v>163</v>
      </c>
      <c r="AC95" s="38" t="s">
        <v>103</v>
      </c>
      <c r="AD95" s="223">
        <v>9</v>
      </c>
      <c r="AE95" s="69">
        <v>360</v>
      </c>
      <c r="AF95" s="70">
        <v>110</v>
      </c>
      <c r="AG95" s="66">
        <f t="shared" si="17"/>
        <v>4230</v>
      </c>
    </row>
    <row r="96" spans="2:34" x14ac:dyDescent="0.35">
      <c r="B96" s="61">
        <v>810213</v>
      </c>
      <c r="C96" s="410"/>
      <c r="D96" s="38" t="s">
        <v>169</v>
      </c>
      <c r="E96" s="39" t="s">
        <v>126</v>
      </c>
      <c r="F96" s="38" t="s">
        <v>103</v>
      </c>
      <c r="G96" s="239"/>
      <c r="H96" s="227"/>
      <c r="I96" s="240"/>
      <c r="J96" s="66">
        <f t="shared" si="15"/>
        <v>0</v>
      </c>
      <c r="K96" s="109" t="s">
        <v>379</v>
      </c>
      <c r="N96" s="184">
        <v>810213</v>
      </c>
      <c r="O96" s="429"/>
      <c r="P96" s="38" t="s">
        <v>169</v>
      </c>
      <c r="Q96" s="162" t="s">
        <v>126</v>
      </c>
      <c r="R96" s="161" t="s">
        <v>103</v>
      </c>
      <c r="S96" s="163">
        <v>126</v>
      </c>
      <c r="T96" s="236">
        <v>255.89758207016905</v>
      </c>
      <c r="U96" s="164">
        <v>17.825232459681398</v>
      </c>
      <c r="V96" s="165">
        <f t="shared" si="16"/>
        <v>34489.074630761155</v>
      </c>
      <c r="W96" s="168"/>
      <c r="Y96" s="61">
        <v>810213</v>
      </c>
      <c r="Z96" s="410"/>
      <c r="AA96" s="38" t="s">
        <v>164</v>
      </c>
      <c r="AB96" s="39" t="s">
        <v>126</v>
      </c>
      <c r="AC96" s="38" t="s">
        <v>103</v>
      </c>
      <c r="AD96" s="40"/>
      <c r="AE96" s="227"/>
      <c r="AF96" s="240"/>
      <c r="AG96" s="66">
        <f t="shared" si="17"/>
        <v>0</v>
      </c>
    </row>
    <row r="97" spans="2:33" x14ac:dyDescent="0.35">
      <c r="B97" s="61">
        <v>810213</v>
      </c>
      <c r="C97" s="410"/>
      <c r="D97" s="38" t="s">
        <v>171</v>
      </c>
      <c r="E97" s="39" t="s">
        <v>166</v>
      </c>
      <c r="F97" s="38" t="s">
        <v>103</v>
      </c>
      <c r="G97" s="239"/>
      <c r="H97" s="227"/>
      <c r="I97" s="240"/>
      <c r="J97" s="66">
        <f t="shared" si="15"/>
        <v>0</v>
      </c>
      <c r="K97" s="109" t="s">
        <v>378</v>
      </c>
      <c r="N97" s="184">
        <v>810213</v>
      </c>
      <c r="O97" s="429"/>
      <c r="P97" s="38" t="s">
        <v>171</v>
      </c>
      <c r="Q97" s="162" t="s">
        <v>166</v>
      </c>
      <c r="R97" s="161" t="s">
        <v>103</v>
      </c>
      <c r="S97" s="163">
        <v>63</v>
      </c>
      <c r="T97" s="236">
        <v>127.32308899772427</v>
      </c>
      <c r="U97" s="164">
        <v>31.830772249431067</v>
      </c>
      <c r="V97" s="165">
        <f t="shared" si="16"/>
        <v>10026.693258570787</v>
      </c>
      <c r="Y97" s="61">
        <v>810213</v>
      </c>
      <c r="Z97" s="410"/>
      <c r="AA97" s="38" t="s">
        <v>165</v>
      </c>
      <c r="AB97" s="39" t="s">
        <v>166</v>
      </c>
      <c r="AC97" s="38" t="s">
        <v>103</v>
      </c>
      <c r="AD97" s="40"/>
      <c r="AE97" s="227"/>
      <c r="AF97" s="240"/>
      <c r="AG97" s="66">
        <f t="shared" si="17"/>
        <v>0</v>
      </c>
    </row>
    <row r="98" spans="2:33" x14ac:dyDescent="0.35">
      <c r="B98" s="61">
        <v>810213</v>
      </c>
      <c r="C98" s="410"/>
      <c r="D98" s="38" t="s">
        <v>173</v>
      </c>
      <c r="E98" s="39" t="s">
        <v>168</v>
      </c>
      <c r="F98" s="38" t="s">
        <v>103</v>
      </c>
      <c r="G98" s="223">
        <v>4</v>
      </c>
      <c r="H98" s="252">
        <v>550</v>
      </c>
      <c r="I98" s="70">
        <v>50</v>
      </c>
      <c r="J98" s="66">
        <f t="shared" si="15"/>
        <v>2400</v>
      </c>
      <c r="N98" s="184">
        <v>810213</v>
      </c>
      <c r="O98" s="429"/>
      <c r="P98" s="38" t="s">
        <v>173</v>
      </c>
      <c r="Q98" s="162" t="s">
        <v>168</v>
      </c>
      <c r="R98" s="161" t="s">
        <v>103</v>
      </c>
      <c r="S98" s="229">
        <v>3</v>
      </c>
      <c r="T98" s="236">
        <v>838.54986413901202</v>
      </c>
      <c r="U98" s="164">
        <v>76.617678646351109</v>
      </c>
      <c r="V98" s="165">
        <f t="shared" si="16"/>
        <v>2745.5026283560892</v>
      </c>
      <c r="Y98" s="61">
        <v>810213</v>
      </c>
      <c r="Z98" s="410"/>
      <c r="AA98" s="38" t="s">
        <v>167</v>
      </c>
      <c r="AB98" s="39" t="s">
        <v>168</v>
      </c>
      <c r="AC98" s="38" t="s">
        <v>103</v>
      </c>
      <c r="AD98" s="40">
        <v>2</v>
      </c>
      <c r="AE98" s="69">
        <v>650</v>
      </c>
      <c r="AF98" s="70">
        <v>60</v>
      </c>
      <c r="AG98" s="66">
        <f t="shared" si="17"/>
        <v>1420</v>
      </c>
    </row>
    <row r="99" spans="2:33" x14ac:dyDescent="0.35">
      <c r="B99" s="61">
        <v>810213</v>
      </c>
      <c r="C99" s="410"/>
      <c r="D99" s="38" t="s">
        <v>404</v>
      </c>
      <c r="E99" s="39" t="s">
        <v>170</v>
      </c>
      <c r="F99" s="38" t="s">
        <v>103</v>
      </c>
      <c r="G99" s="44">
        <v>2</v>
      </c>
      <c r="H99" s="252">
        <v>450</v>
      </c>
      <c r="I99" s="325"/>
      <c r="J99" s="66">
        <f t="shared" si="15"/>
        <v>900</v>
      </c>
      <c r="N99" s="184">
        <v>810213</v>
      </c>
      <c r="O99" s="429"/>
      <c r="P99" s="38" t="s">
        <v>404</v>
      </c>
      <c r="Q99" s="162" t="s">
        <v>170</v>
      </c>
      <c r="R99" s="161" t="s">
        <v>103</v>
      </c>
      <c r="S99" s="229">
        <v>60</v>
      </c>
      <c r="T99" s="236">
        <v>762.1560107403775</v>
      </c>
      <c r="U99" s="164">
        <v>76.617678646351109</v>
      </c>
      <c r="V99" s="165">
        <f t="shared" si="16"/>
        <v>50326.421363203714</v>
      </c>
      <c r="Y99" s="61">
        <v>810213</v>
      </c>
      <c r="Z99" s="410"/>
      <c r="AA99" s="38" t="s">
        <v>169</v>
      </c>
      <c r="AB99" s="39" t="s">
        <v>170</v>
      </c>
      <c r="AC99" s="38" t="s">
        <v>103</v>
      </c>
      <c r="AD99" s="40">
        <v>2</v>
      </c>
      <c r="AE99" s="69">
        <v>589</v>
      </c>
      <c r="AF99" s="70">
        <v>60</v>
      </c>
      <c r="AG99" s="66">
        <f t="shared" si="17"/>
        <v>1298</v>
      </c>
    </row>
    <row r="100" spans="2:33" x14ac:dyDescent="0.35">
      <c r="B100" s="61">
        <v>810213</v>
      </c>
      <c r="C100" s="410"/>
      <c r="D100" s="38" t="s">
        <v>405</v>
      </c>
      <c r="E100" s="39" t="s">
        <v>172</v>
      </c>
      <c r="F100" s="38" t="s">
        <v>79</v>
      </c>
      <c r="G100" s="44">
        <f>35.2+10.8</f>
        <v>46</v>
      </c>
      <c r="H100" s="324">
        <v>100</v>
      </c>
      <c r="I100" s="325"/>
      <c r="J100" s="66">
        <f t="shared" si="15"/>
        <v>4600</v>
      </c>
      <c r="N100" s="184">
        <v>810213</v>
      </c>
      <c r="O100" s="429"/>
      <c r="P100" s="38" t="s">
        <v>405</v>
      </c>
      <c r="Q100" s="162" t="s">
        <v>172</v>
      </c>
      <c r="R100" s="161" t="s">
        <v>79</v>
      </c>
      <c r="S100" s="163">
        <v>77.98</v>
      </c>
      <c r="T100" s="236">
        <v>1270.2769943124954</v>
      </c>
      <c r="U100" s="236">
        <v>423.90949250902315</v>
      </c>
      <c r="V100" s="165">
        <f t="shared" si="16"/>
        <v>132112.66224234202</v>
      </c>
      <c r="Y100" s="61">
        <v>810213</v>
      </c>
      <c r="Z100" s="410"/>
      <c r="AA100" s="38" t="s">
        <v>171</v>
      </c>
      <c r="AB100" s="39" t="s">
        <v>172</v>
      </c>
      <c r="AC100" s="38" t="s">
        <v>79</v>
      </c>
      <c r="AD100" s="40"/>
      <c r="AE100" s="227"/>
      <c r="AF100" s="240"/>
      <c r="AG100" s="66">
        <f t="shared" si="17"/>
        <v>0</v>
      </c>
    </row>
    <row r="101" spans="2:33" ht="26" x14ac:dyDescent="0.35">
      <c r="B101" s="61">
        <v>810213</v>
      </c>
      <c r="C101" s="411"/>
      <c r="D101" s="38" t="s">
        <v>406</v>
      </c>
      <c r="E101" s="39" t="s">
        <v>400</v>
      </c>
      <c r="F101" s="38" t="s">
        <v>103</v>
      </c>
      <c r="G101" s="40">
        <v>61</v>
      </c>
      <c r="H101" s="252">
        <v>350</v>
      </c>
      <c r="I101" s="253">
        <v>25</v>
      </c>
      <c r="J101" s="66">
        <f t="shared" si="15"/>
        <v>22875</v>
      </c>
      <c r="N101" s="184">
        <v>810213</v>
      </c>
      <c r="O101" s="432"/>
      <c r="P101" s="38" t="s">
        <v>406</v>
      </c>
      <c r="Q101" s="162" t="s">
        <v>174</v>
      </c>
      <c r="R101" s="161" t="s">
        <v>103</v>
      </c>
      <c r="S101" s="163">
        <v>63</v>
      </c>
      <c r="T101" s="236">
        <v>575.08019607602125</v>
      </c>
      <c r="U101" s="322">
        <v>0</v>
      </c>
      <c r="V101" s="165">
        <f t="shared" si="16"/>
        <v>36230.052352789338</v>
      </c>
      <c r="Y101" s="61">
        <v>810213</v>
      </c>
      <c r="Z101" s="411"/>
      <c r="AA101" s="38" t="s">
        <v>173</v>
      </c>
      <c r="AB101" s="39" t="s">
        <v>174</v>
      </c>
      <c r="AC101" s="38" t="s">
        <v>103</v>
      </c>
      <c r="AD101" s="223">
        <v>33</v>
      </c>
      <c r="AE101" s="252">
        <v>1310</v>
      </c>
      <c r="AF101" s="253">
        <v>80</v>
      </c>
      <c r="AG101" s="66">
        <f t="shared" si="17"/>
        <v>45870</v>
      </c>
    </row>
    <row r="102" spans="2:33" x14ac:dyDescent="0.35">
      <c r="B102" s="72"/>
      <c r="C102" s="72"/>
      <c r="D102" s="47" t="s">
        <v>175</v>
      </c>
      <c r="E102" s="48" t="s">
        <v>176</v>
      </c>
      <c r="F102" s="47"/>
      <c r="G102" s="49"/>
      <c r="H102" s="50"/>
      <c r="I102" s="51"/>
      <c r="J102" s="52">
        <f>SUM(J103:J114)</f>
        <v>350621.58500000002</v>
      </c>
      <c r="N102" s="268"/>
      <c r="O102" s="268"/>
      <c r="P102" s="268" t="s">
        <v>175</v>
      </c>
      <c r="Q102" s="269" t="s">
        <v>176</v>
      </c>
      <c r="R102" s="268"/>
      <c r="S102" s="172"/>
      <c r="T102" s="173"/>
      <c r="U102" s="174"/>
      <c r="V102" s="175">
        <f>SUM(V103:V114)</f>
        <v>223568.27387197004</v>
      </c>
      <c r="Y102" s="72"/>
      <c r="Z102" s="72"/>
      <c r="AA102" s="47" t="s">
        <v>175</v>
      </c>
      <c r="AB102" s="48" t="s">
        <v>176</v>
      </c>
      <c r="AC102" s="47"/>
      <c r="AD102" s="49"/>
      <c r="AE102" s="50"/>
      <c r="AF102" s="51"/>
      <c r="AG102" s="52">
        <f>SUM(AG103:AG114)</f>
        <v>190455.6</v>
      </c>
    </row>
    <row r="103" spans="2:33" x14ac:dyDescent="0.35">
      <c r="B103" s="61">
        <v>810260</v>
      </c>
      <c r="C103" s="421" t="s">
        <v>176</v>
      </c>
      <c r="D103" s="38" t="s">
        <v>177</v>
      </c>
      <c r="E103" s="39" t="s">
        <v>178</v>
      </c>
      <c r="F103" s="38" t="s">
        <v>79</v>
      </c>
      <c r="G103" s="110">
        <v>118.5</v>
      </c>
      <c r="H103" s="238">
        <v>70</v>
      </c>
      <c r="I103" s="42"/>
      <c r="J103" s="66">
        <f t="shared" ref="J103:J114" si="18">G103*H103+I103*G103</f>
        <v>8295</v>
      </c>
      <c r="N103" s="184">
        <v>810260</v>
      </c>
      <c r="O103" s="446" t="s">
        <v>176</v>
      </c>
      <c r="P103" s="161" t="s">
        <v>177</v>
      </c>
      <c r="Q103" s="162" t="s">
        <v>178</v>
      </c>
      <c r="R103" s="161" t="s">
        <v>79</v>
      </c>
      <c r="S103" s="229">
        <v>60</v>
      </c>
      <c r="T103" s="164">
        <v>0</v>
      </c>
      <c r="U103" s="164">
        <v>19.09846334965864</v>
      </c>
      <c r="V103" s="165">
        <f t="shared" ref="V103:V114" si="19">S103*T103+U103*S103</f>
        <v>1145.9078009795185</v>
      </c>
      <c r="Y103" s="61">
        <v>810260</v>
      </c>
      <c r="Z103" s="421" t="s">
        <v>176</v>
      </c>
      <c r="AA103" s="38" t="s">
        <v>177</v>
      </c>
      <c r="AB103" s="39" t="s">
        <v>178</v>
      </c>
      <c r="AC103" s="38" t="s">
        <v>79</v>
      </c>
      <c r="AD103" s="40">
        <v>126</v>
      </c>
      <c r="AE103" s="238">
        <v>35</v>
      </c>
      <c r="AF103" s="246">
        <v>65</v>
      </c>
      <c r="AG103" s="66">
        <f t="shared" ref="AG103:AG114" si="20">AD103*AE103+AF103*AD103</f>
        <v>12600</v>
      </c>
    </row>
    <row r="104" spans="2:33" ht="29" x14ac:dyDescent="0.35">
      <c r="B104" s="61">
        <v>810260</v>
      </c>
      <c r="C104" s="422"/>
      <c r="D104" s="38" t="s">
        <v>179</v>
      </c>
      <c r="E104" s="63" t="s">
        <v>180</v>
      </c>
      <c r="F104" s="38" t="s">
        <v>79</v>
      </c>
      <c r="G104" s="223">
        <v>28.164999999999999</v>
      </c>
      <c r="H104" s="238">
        <v>10</v>
      </c>
      <c r="I104" s="42">
        <v>45</v>
      </c>
      <c r="J104" s="66">
        <f t="shared" si="18"/>
        <v>1549.0749999999998</v>
      </c>
      <c r="K104" s="117" t="s">
        <v>375</v>
      </c>
      <c r="N104" s="184">
        <v>810260</v>
      </c>
      <c r="O104" s="429"/>
      <c r="P104" s="161" t="s">
        <v>179</v>
      </c>
      <c r="Q104" s="162" t="s">
        <v>180</v>
      </c>
      <c r="R104" s="161" t="s">
        <v>79</v>
      </c>
      <c r="S104" s="163">
        <v>41.2</v>
      </c>
      <c r="T104" s="164">
        <v>65.712780153287881</v>
      </c>
      <c r="U104" s="164">
        <v>63.658540458012737</v>
      </c>
      <c r="V104" s="165">
        <f t="shared" si="19"/>
        <v>5330.0984091855862</v>
      </c>
      <c r="Y104" s="61">
        <v>810260</v>
      </c>
      <c r="Z104" s="422"/>
      <c r="AA104" s="38" t="s">
        <v>179</v>
      </c>
      <c r="AB104" s="39" t="s">
        <v>180</v>
      </c>
      <c r="AC104" s="38" t="s">
        <v>79</v>
      </c>
      <c r="AD104" s="40">
        <v>45</v>
      </c>
      <c r="AE104" s="238">
        <v>230</v>
      </c>
      <c r="AF104" s="246">
        <v>170</v>
      </c>
      <c r="AG104" s="66">
        <f t="shared" si="20"/>
        <v>18000</v>
      </c>
    </row>
    <row r="105" spans="2:33" ht="29" x14ac:dyDescent="0.35">
      <c r="B105" s="61">
        <v>810260</v>
      </c>
      <c r="C105" s="422"/>
      <c r="D105" s="38" t="s">
        <v>181</v>
      </c>
      <c r="E105" s="63" t="s">
        <v>182</v>
      </c>
      <c r="F105" s="38" t="s">
        <v>79</v>
      </c>
      <c r="G105" s="223">
        <f>G104*2</f>
        <v>56.33</v>
      </c>
      <c r="H105" s="254">
        <v>10</v>
      </c>
      <c r="I105" s="105">
        <v>67</v>
      </c>
      <c r="J105" s="66">
        <f t="shared" si="18"/>
        <v>4337.41</v>
      </c>
      <c r="K105" s="117" t="s">
        <v>375</v>
      </c>
      <c r="N105" s="184">
        <v>810260</v>
      </c>
      <c r="O105" s="429"/>
      <c r="P105" s="161" t="s">
        <v>181</v>
      </c>
      <c r="Q105" s="162" t="s">
        <v>182</v>
      </c>
      <c r="R105" s="161" t="s">
        <v>79</v>
      </c>
      <c r="S105" s="167">
        <v>61.8</v>
      </c>
      <c r="T105" s="236">
        <v>97.380419694940628</v>
      </c>
      <c r="U105" s="164">
        <v>63.658540458012737</v>
      </c>
      <c r="V105" s="165">
        <f t="shared" si="19"/>
        <v>9952.2077374525179</v>
      </c>
      <c r="Y105" s="61">
        <v>810260</v>
      </c>
      <c r="Z105" s="422"/>
      <c r="AA105" s="38" t="s">
        <v>181</v>
      </c>
      <c r="AB105" s="39" t="s">
        <v>182</v>
      </c>
      <c r="AC105" s="38" t="s">
        <v>79</v>
      </c>
      <c r="AD105" s="40">
        <v>45</v>
      </c>
      <c r="AE105" s="238">
        <v>280</v>
      </c>
      <c r="AF105" s="246">
        <v>210</v>
      </c>
      <c r="AG105" s="66">
        <f t="shared" si="20"/>
        <v>22050</v>
      </c>
    </row>
    <row r="106" spans="2:33" x14ac:dyDescent="0.35">
      <c r="B106" s="61">
        <v>810260</v>
      </c>
      <c r="C106" s="422"/>
      <c r="D106" s="38" t="s">
        <v>183</v>
      </c>
      <c r="E106" s="63" t="s">
        <v>184</v>
      </c>
      <c r="F106" s="38" t="s">
        <v>68</v>
      </c>
      <c r="G106" s="103">
        <f>24.49+48.28+48.28</f>
        <v>121.05</v>
      </c>
      <c r="H106" s="104">
        <v>68</v>
      </c>
      <c r="I106" s="105">
        <v>10</v>
      </c>
      <c r="J106" s="66">
        <f t="shared" si="18"/>
        <v>9441.9</v>
      </c>
      <c r="N106" s="184">
        <v>810260</v>
      </c>
      <c r="O106" s="429"/>
      <c r="P106" s="161" t="s">
        <v>183</v>
      </c>
      <c r="Q106" s="162" t="s">
        <v>184</v>
      </c>
      <c r="R106" s="161" t="s">
        <v>68</v>
      </c>
      <c r="S106" s="167">
        <v>143.6</v>
      </c>
      <c r="T106" s="236">
        <v>230.48768288387197</v>
      </c>
      <c r="U106" s="164">
        <v>50.929235599089708</v>
      </c>
      <c r="V106" s="165">
        <f t="shared" si="19"/>
        <v>40411.469494153294</v>
      </c>
      <c r="W106" s="186"/>
      <c r="Y106" s="61">
        <v>810260</v>
      </c>
      <c r="Z106" s="422"/>
      <c r="AA106" s="38" t="s">
        <v>183</v>
      </c>
      <c r="AB106" s="39" t="s">
        <v>184</v>
      </c>
      <c r="AC106" s="38" t="s">
        <v>68</v>
      </c>
      <c r="AD106" s="223">
        <v>44</v>
      </c>
      <c r="AE106" s="41">
        <v>190</v>
      </c>
      <c r="AF106" s="42">
        <v>60</v>
      </c>
      <c r="AG106" s="66">
        <f t="shared" si="20"/>
        <v>11000</v>
      </c>
    </row>
    <row r="107" spans="2:33" x14ac:dyDescent="0.35">
      <c r="B107" s="61">
        <v>810260</v>
      </c>
      <c r="C107" s="422"/>
      <c r="D107" s="38" t="s">
        <v>185</v>
      </c>
      <c r="E107" s="63" t="s">
        <v>186</v>
      </c>
      <c r="F107" s="38" t="s">
        <v>228</v>
      </c>
      <c r="G107" s="228">
        <v>62.16</v>
      </c>
      <c r="H107" s="254">
        <v>380</v>
      </c>
      <c r="I107" s="105"/>
      <c r="J107" s="66">
        <f t="shared" si="18"/>
        <v>23620.799999999999</v>
      </c>
      <c r="N107" s="184">
        <v>810260</v>
      </c>
      <c r="O107" s="429"/>
      <c r="P107" s="161" t="s">
        <v>185</v>
      </c>
      <c r="Q107" s="162" t="s">
        <v>186</v>
      </c>
      <c r="R107" s="161" t="s">
        <v>68</v>
      </c>
      <c r="S107" s="326">
        <v>1.27</v>
      </c>
      <c r="T107" s="236">
        <v>1328.0806581327504</v>
      </c>
      <c r="U107" s="164">
        <v>386.21829311920487</v>
      </c>
      <c r="V107" s="165">
        <f t="shared" si="19"/>
        <v>2177.1596680899834</v>
      </c>
      <c r="Y107" s="61">
        <v>810260</v>
      </c>
      <c r="Z107" s="422"/>
      <c r="AA107" s="38" t="s">
        <v>185</v>
      </c>
      <c r="AB107" s="39" t="s">
        <v>186</v>
      </c>
      <c r="AC107" s="38" t="s">
        <v>68</v>
      </c>
      <c r="AD107" s="40">
        <v>26</v>
      </c>
      <c r="AE107" s="238">
        <v>1320</v>
      </c>
      <c r="AF107" s="42">
        <v>310</v>
      </c>
      <c r="AG107" s="66">
        <f t="shared" si="20"/>
        <v>42380</v>
      </c>
    </row>
    <row r="108" spans="2:33" x14ac:dyDescent="0.35">
      <c r="B108" s="61">
        <v>810260</v>
      </c>
      <c r="C108" s="422"/>
      <c r="D108" s="64" t="s">
        <v>187</v>
      </c>
      <c r="E108" s="63" t="s">
        <v>121</v>
      </c>
      <c r="F108" s="38" t="s">
        <v>68</v>
      </c>
      <c r="G108" s="40">
        <v>36.76</v>
      </c>
      <c r="H108" s="41">
        <v>35</v>
      </c>
      <c r="I108" s="42"/>
      <c r="J108" s="66">
        <f t="shared" si="18"/>
        <v>1286.5999999999999</v>
      </c>
      <c r="K108" s="109" t="s">
        <v>254</v>
      </c>
      <c r="N108" s="184">
        <v>810260</v>
      </c>
      <c r="O108" s="429"/>
      <c r="P108" s="161" t="s">
        <v>187</v>
      </c>
      <c r="Q108" s="162" t="s">
        <v>121</v>
      </c>
      <c r="R108" s="161" t="s">
        <v>68</v>
      </c>
      <c r="S108" s="163">
        <v>36.76</v>
      </c>
      <c r="T108" s="164">
        <v>201.17048061640435</v>
      </c>
      <c r="U108" s="164">
        <v>38.196926699317281</v>
      </c>
      <c r="V108" s="165">
        <f t="shared" si="19"/>
        <v>8799.1458929259261</v>
      </c>
      <c r="Y108" s="61">
        <v>810260</v>
      </c>
      <c r="Z108" s="422"/>
      <c r="AA108" s="38" t="s">
        <v>187</v>
      </c>
      <c r="AB108" s="39" t="s">
        <v>121</v>
      </c>
      <c r="AC108" s="38" t="s">
        <v>68</v>
      </c>
      <c r="AD108" s="40">
        <v>21</v>
      </c>
      <c r="AE108" s="41">
        <v>180</v>
      </c>
      <c r="AF108" s="42">
        <v>60</v>
      </c>
      <c r="AG108" s="66">
        <f t="shared" si="20"/>
        <v>5040</v>
      </c>
    </row>
    <row r="109" spans="2:33" x14ac:dyDescent="0.35">
      <c r="B109" s="61">
        <v>810260</v>
      </c>
      <c r="C109" s="422"/>
      <c r="D109" s="38" t="s">
        <v>188</v>
      </c>
      <c r="E109" s="63" t="s">
        <v>347</v>
      </c>
      <c r="F109" s="38" t="s">
        <v>79</v>
      </c>
      <c r="G109" s="40">
        <v>67.73</v>
      </c>
      <c r="H109" s="238">
        <f>2800*1.25</f>
        <v>3500</v>
      </c>
      <c r="I109" s="42">
        <v>80</v>
      </c>
      <c r="J109" s="66">
        <f t="shared" si="18"/>
        <v>242473.4</v>
      </c>
      <c r="N109" s="184">
        <v>810260</v>
      </c>
      <c r="O109" s="429"/>
      <c r="P109" s="161" t="s">
        <v>188</v>
      </c>
      <c r="Q109" s="63" t="s">
        <v>347</v>
      </c>
      <c r="R109" s="161" t="s">
        <v>79</v>
      </c>
      <c r="S109" s="163">
        <v>67.73</v>
      </c>
      <c r="T109" s="164">
        <v>267.37848689522093</v>
      </c>
      <c r="U109" s="164">
        <v>19.09846334965864</v>
      </c>
      <c r="V109" s="165">
        <f t="shared" si="19"/>
        <v>19403.083840085692</v>
      </c>
      <c r="Y109" s="61">
        <v>810260</v>
      </c>
      <c r="Z109" s="422"/>
      <c r="AA109" s="38" t="s">
        <v>188</v>
      </c>
      <c r="AB109" s="39" t="s">
        <v>189</v>
      </c>
      <c r="AC109" s="38" t="s">
        <v>79</v>
      </c>
      <c r="AD109" s="40">
        <v>16</v>
      </c>
      <c r="AE109" s="238">
        <v>1280</v>
      </c>
      <c r="AF109" s="246">
        <v>920</v>
      </c>
      <c r="AG109" s="66">
        <f t="shared" si="20"/>
        <v>35200</v>
      </c>
    </row>
    <row r="110" spans="2:33" x14ac:dyDescent="0.35">
      <c r="B110" s="61">
        <v>810260</v>
      </c>
      <c r="C110" s="422"/>
      <c r="D110" s="38" t="s">
        <v>190</v>
      </c>
      <c r="E110" s="63" t="s">
        <v>191</v>
      </c>
      <c r="F110" s="38" t="s">
        <v>79</v>
      </c>
      <c r="G110" s="223">
        <f>26.23-11.85</f>
        <v>14.38</v>
      </c>
      <c r="H110" s="41">
        <v>680</v>
      </c>
      <c r="I110" s="42"/>
      <c r="J110" s="66">
        <f t="shared" si="18"/>
        <v>9778.4</v>
      </c>
      <c r="N110" s="184">
        <v>810260</v>
      </c>
      <c r="O110" s="429"/>
      <c r="P110" s="161" t="s">
        <v>190</v>
      </c>
      <c r="Q110" s="162" t="s">
        <v>191</v>
      </c>
      <c r="R110" s="161" t="s">
        <v>79</v>
      </c>
      <c r="S110" s="163">
        <v>150</v>
      </c>
      <c r="T110" s="164">
        <v>572.95390048975923</v>
      </c>
      <c r="U110" s="164">
        <v>152.78770679726912</v>
      </c>
      <c r="V110" s="165">
        <f t="shared" si="19"/>
        <v>108861.24109305425</v>
      </c>
      <c r="Y110" s="61">
        <v>810260</v>
      </c>
      <c r="Z110" s="422"/>
      <c r="AA110" s="38" t="s">
        <v>190</v>
      </c>
      <c r="AB110" s="39" t="s">
        <v>191</v>
      </c>
      <c r="AC110" s="38" t="s">
        <v>79</v>
      </c>
      <c r="AD110" s="223">
        <v>8.08</v>
      </c>
      <c r="AE110" s="238">
        <v>1210</v>
      </c>
      <c r="AF110" s="42">
        <v>360</v>
      </c>
      <c r="AG110" s="66">
        <f t="shared" si="20"/>
        <v>12685.599999999999</v>
      </c>
    </row>
    <row r="111" spans="2:33" x14ac:dyDescent="0.35">
      <c r="B111" s="61">
        <v>810260</v>
      </c>
      <c r="C111" s="422"/>
      <c r="D111" s="38" t="s">
        <v>192</v>
      </c>
      <c r="E111" s="63" t="s">
        <v>193</v>
      </c>
      <c r="F111" s="38" t="s">
        <v>68</v>
      </c>
      <c r="G111" s="223">
        <v>10.14</v>
      </c>
      <c r="H111" s="41">
        <v>250</v>
      </c>
      <c r="I111" s="42"/>
      <c r="J111" s="66">
        <f t="shared" si="18"/>
        <v>2535</v>
      </c>
      <c r="N111" s="184">
        <v>810260</v>
      </c>
      <c r="O111" s="429"/>
      <c r="P111" s="161" t="s">
        <v>192</v>
      </c>
      <c r="Q111" s="162" t="s">
        <v>193</v>
      </c>
      <c r="R111" s="161" t="s">
        <v>68</v>
      </c>
      <c r="S111" s="163">
        <v>136</v>
      </c>
      <c r="T111" s="164">
        <v>64.922043079939598</v>
      </c>
      <c r="U111" s="164">
        <v>17.825232459681398</v>
      </c>
      <c r="V111" s="165">
        <f t="shared" si="19"/>
        <v>11253.629473388455</v>
      </c>
      <c r="Y111" s="61">
        <v>810260</v>
      </c>
      <c r="Z111" s="422"/>
      <c r="AA111" s="38" t="s">
        <v>192</v>
      </c>
      <c r="AB111" s="39" t="s">
        <v>193</v>
      </c>
      <c r="AC111" s="38" t="s">
        <v>68</v>
      </c>
      <c r="AD111" s="40">
        <v>0</v>
      </c>
      <c r="AE111" s="41"/>
      <c r="AF111" s="42"/>
      <c r="AG111" s="66">
        <f t="shared" si="20"/>
        <v>0</v>
      </c>
    </row>
    <row r="112" spans="2:33" x14ac:dyDescent="0.35">
      <c r="B112" s="61">
        <v>810260</v>
      </c>
      <c r="C112" s="422"/>
      <c r="D112" s="38" t="s">
        <v>194</v>
      </c>
      <c r="E112" s="63" t="s">
        <v>195</v>
      </c>
      <c r="F112" s="327" t="s">
        <v>228</v>
      </c>
      <c r="G112" s="223">
        <f>62.16+G104</f>
        <v>90.324999999999989</v>
      </c>
      <c r="H112" s="41">
        <v>320</v>
      </c>
      <c r="I112" s="42"/>
      <c r="J112" s="66">
        <f t="shared" si="18"/>
        <v>28903.999999999996</v>
      </c>
      <c r="N112" s="184">
        <v>810260</v>
      </c>
      <c r="O112" s="429"/>
      <c r="P112" s="161" t="s">
        <v>194</v>
      </c>
      <c r="Q112" s="162" t="s">
        <v>195</v>
      </c>
      <c r="R112" s="161" t="s">
        <v>46</v>
      </c>
      <c r="S112" s="163">
        <v>1</v>
      </c>
      <c r="T112" s="236">
        <v>6445.7313805097911</v>
      </c>
      <c r="U112" s="236">
        <v>2387.3079187073299</v>
      </c>
      <c r="V112" s="165">
        <f t="shared" si="19"/>
        <v>8833.0392992171219</v>
      </c>
      <c r="Y112" s="61">
        <v>810260</v>
      </c>
      <c r="Z112" s="422"/>
      <c r="AA112" s="38" t="s">
        <v>194</v>
      </c>
      <c r="AB112" s="39" t="s">
        <v>195</v>
      </c>
      <c r="AC112" s="38" t="s">
        <v>46</v>
      </c>
      <c r="AD112" s="40">
        <v>1</v>
      </c>
      <c r="AE112" s="238">
        <v>10000</v>
      </c>
      <c r="AF112" s="42">
        <v>4200</v>
      </c>
      <c r="AG112" s="66">
        <f t="shared" si="20"/>
        <v>14200</v>
      </c>
    </row>
    <row r="113" spans="2:33" x14ac:dyDescent="0.35">
      <c r="B113" s="61">
        <v>810260</v>
      </c>
      <c r="C113" s="422"/>
      <c r="D113" s="38" t="s">
        <v>196</v>
      </c>
      <c r="E113" s="63" t="s">
        <v>197</v>
      </c>
      <c r="F113" s="38" t="s">
        <v>103</v>
      </c>
      <c r="G113" s="40">
        <v>1</v>
      </c>
      <c r="H113" s="238">
        <v>3200</v>
      </c>
      <c r="I113" s="328"/>
      <c r="J113" s="66">
        <f t="shared" si="18"/>
        <v>3200</v>
      </c>
      <c r="N113" s="184">
        <v>810260</v>
      </c>
      <c r="O113" s="429"/>
      <c r="P113" s="161" t="s">
        <v>196</v>
      </c>
      <c r="Q113" s="162" t="s">
        <v>197</v>
      </c>
      <c r="R113" s="161" t="s">
        <v>103</v>
      </c>
      <c r="S113" s="163">
        <v>1</v>
      </c>
      <c r="T113" s="236">
        <v>2707.6528106256042</v>
      </c>
      <c r="U113" s="236">
        <v>1160.4226331252589</v>
      </c>
      <c r="V113" s="165">
        <f t="shared" si="19"/>
        <v>3868.0754437508631</v>
      </c>
      <c r="Y113" s="61">
        <v>810260</v>
      </c>
      <c r="Z113" s="422"/>
      <c r="AA113" s="38" t="s">
        <v>196</v>
      </c>
      <c r="AB113" s="39" t="s">
        <v>197</v>
      </c>
      <c r="AC113" s="38" t="s">
        <v>103</v>
      </c>
      <c r="AD113" s="40">
        <v>1</v>
      </c>
      <c r="AE113" s="238">
        <v>5500</v>
      </c>
      <c r="AF113" s="246">
        <v>1800</v>
      </c>
      <c r="AG113" s="66">
        <f t="shared" si="20"/>
        <v>7300</v>
      </c>
    </row>
    <row r="114" spans="2:33" x14ac:dyDescent="0.35">
      <c r="B114" s="61">
        <v>810260</v>
      </c>
      <c r="C114" s="423"/>
      <c r="D114" s="38" t="s">
        <v>198</v>
      </c>
      <c r="E114" s="39" t="s">
        <v>199</v>
      </c>
      <c r="F114" s="38" t="s">
        <v>46</v>
      </c>
      <c r="G114" s="223">
        <v>4</v>
      </c>
      <c r="H114" s="238">
        <v>3800</v>
      </c>
      <c r="I114" s="42"/>
      <c r="J114" s="66">
        <f t="shared" si="18"/>
        <v>15200</v>
      </c>
      <c r="N114" s="184">
        <v>810260</v>
      </c>
      <c r="O114" s="432"/>
      <c r="P114" s="161" t="s">
        <v>198</v>
      </c>
      <c r="Q114" s="162" t="s">
        <v>199</v>
      </c>
      <c r="R114" s="161" t="s">
        <v>46</v>
      </c>
      <c r="S114" s="163">
        <v>1</v>
      </c>
      <c r="T114" s="236">
        <v>2578.2925522039163</v>
      </c>
      <c r="U114" s="164">
        <v>954.92316748293194</v>
      </c>
      <c r="V114" s="165">
        <f t="shared" si="19"/>
        <v>3533.2157196868484</v>
      </c>
      <c r="Y114" s="61">
        <v>810260</v>
      </c>
      <c r="Z114" s="423"/>
      <c r="AA114" s="38" t="s">
        <v>198</v>
      </c>
      <c r="AB114" s="39" t="s">
        <v>199</v>
      </c>
      <c r="AC114" s="38" t="s">
        <v>46</v>
      </c>
      <c r="AD114" s="40">
        <v>1</v>
      </c>
      <c r="AE114" s="238">
        <v>6500</v>
      </c>
      <c r="AF114" s="246">
        <v>3500</v>
      </c>
      <c r="AG114" s="66">
        <f t="shared" si="20"/>
        <v>10000</v>
      </c>
    </row>
    <row r="115" spans="2:33" x14ac:dyDescent="0.35">
      <c r="B115" s="72"/>
      <c r="C115" s="72"/>
      <c r="D115" s="47" t="s">
        <v>200</v>
      </c>
      <c r="E115" s="48" t="s">
        <v>407</v>
      </c>
      <c r="F115" s="47"/>
      <c r="G115" s="49"/>
      <c r="H115" s="50"/>
      <c r="I115" s="51"/>
      <c r="J115" s="52">
        <f>SUM(J116:J136)</f>
        <v>0</v>
      </c>
      <c r="N115" s="72"/>
      <c r="O115" s="72"/>
      <c r="P115" s="47" t="s">
        <v>200</v>
      </c>
      <c r="Q115" s="48" t="s">
        <v>407</v>
      </c>
      <c r="R115" s="47"/>
      <c r="S115" s="49"/>
      <c r="T115" s="50"/>
      <c r="U115" s="51"/>
      <c r="V115" s="52">
        <f>SUM(V116:V136)</f>
        <v>0</v>
      </c>
      <c r="Y115" s="72"/>
      <c r="Z115" s="72"/>
      <c r="AA115" s="47" t="s">
        <v>200</v>
      </c>
      <c r="AB115" s="48" t="s">
        <v>407</v>
      </c>
      <c r="AC115" s="47"/>
      <c r="AD115" s="49"/>
      <c r="AE115" s="50"/>
      <c r="AF115" s="51"/>
      <c r="AG115" s="52">
        <f>SUM(AG116:AG136)</f>
        <v>0</v>
      </c>
    </row>
    <row r="116" spans="2:33" x14ac:dyDescent="0.35">
      <c r="B116" s="61">
        <v>810051</v>
      </c>
      <c r="C116" s="282"/>
      <c r="D116" s="38" t="s">
        <v>305</v>
      </c>
      <c r="E116" s="63" t="s">
        <v>93</v>
      </c>
      <c r="F116" s="38" t="s">
        <v>228</v>
      </c>
      <c r="G116" s="40"/>
      <c r="H116" s="224"/>
      <c r="I116" s="225"/>
      <c r="J116" s="66"/>
      <c r="N116" s="61">
        <v>810051</v>
      </c>
      <c r="O116" s="282"/>
      <c r="P116" s="38" t="s">
        <v>305</v>
      </c>
      <c r="Q116" s="63" t="s">
        <v>93</v>
      </c>
      <c r="R116" s="38" t="s">
        <v>228</v>
      </c>
      <c r="S116" s="40"/>
      <c r="T116" s="224"/>
      <c r="U116" s="225"/>
      <c r="V116" s="66"/>
      <c r="Y116" s="61">
        <v>810051</v>
      </c>
      <c r="Z116" s="282"/>
      <c r="AA116" s="38" t="s">
        <v>305</v>
      </c>
      <c r="AB116" s="63" t="s">
        <v>93</v>
      </c>
      <c r="AC116" s="38" t="s">
        <v>228</v>
      </c>
      <c r="AD116" s="40"/>
      <c r="AE116" s="224"/>
      <c r="AF116" s="225"/>
      <c r="AG116" s="66"/>
    </row>
    <row r="117" spans="2:33" x14ac:dyDescent="0.35">
      <c r="B117" s="61">
        <v>810051</v>
      </c>
      <c r="C117" s="282"/>
      <c r="D117" s="38" t="s">
        <v>307</v>
      </c>
      <c r="E117" s="39" t="s">
        <v>408</v>
      </c>
      <c r="F117" s="38" t="s">
        <v>103</v>
      </c>
      <c r="G117" s="40"/>
      <c r="H117" s="224"/>
      <c r="I117" s="225"/>
      <c r="J117" s="66"/>
      <c r="N117" s="61">
        <v>810051</v>
      </c>
      <c r="O117" s="282"/>
      <c r="P117" s="38" t="s">
        <v>307</v>
      </c>
      <c r="Q117" s="39" t="s">
        <v>408</v>
      </c>
      <c r="R117" s="38" t="s">
        <v>103</v>
      </c>
      <c r="S117" s="40"/>
      <c r="T117" s="224"/>
      <c r="U117" s="225"/>
      <c r="V117" s="66"/>
      <c r="Y117" s="61">
        <v>810051</v>
      </c>
      <c r="Z117" s="282"/>
      <c r="AA117" s="38" t="s">
        <v>307</v>
      </c>
      <c r="AB117" s="39" t="s">
        <v>408</v>
      </c>
      <c r="AC117" s="38" t="s">
        <v>103</v>
      </c>
      <c r="AD117" s="40"/>
      <c r="AE117" s="224"/>
      <c r="AF117" s="225"/>
      <c r="AG117" s="66"/>
    </row>
    <row r="118" spans="2:33" x14ac:dyDescent="0.35">
      <c r="B118" s="61">
        <v>810051</v>
      </c>
      <c r="C118" s="282"/>
      <c r="D118" s="38" t="s">
        <v>309</v>
      </c>
      <c r="E118" s="63" t="s">
        <v>78</v>
      </c>
      <c r="F118" s="38" t="s">
        <v>228</v>
      </c>
      <c r="G118" s="40"/>
      <c r="H118" s="224"/>
      <c r="I118" s="225"/>
      <c r="J118" s="66"/>
      <c r="N118" s="61">
        <v>810051</v>
      </c>
      <c r="O118" s="282"/>
      <c r="P118" s="38" t="s">
        <v>309</v>
      </c>
      <c r="Q118" s="63" t="s">
        <v>78</v>
      </c>
      <c r="R118" s="38" t="s">
        <v>228</v>
      </c>
      <c r="S118" s="40"/>
      <c r="T118" s="224"/>
      <c r="U118" s="225"/>
      <c r="V118" s="66"/>
      <c r="Y118" s="61">
        <v>810051</v>
      </c>
      <c r="Z118" s="282"/>
      <c r="AA118" s="38" t="s">
        <v>309</v>
      </c>
      <c r="AB118" s="63" t="s">
        <v>78</v>
      </c>
      <c r="AC118" s="38" t="s">
        <v>228</v>
      </c>
      <c r="AD118" s="40"/>
      <c r="AE118" s="224"/>
      <c r="AF118" s="225"/>
      <c r="AG118" s="66"/>
    </row>
    <row r="119" spans="2:33" x14ac:dyDescent="0.35">
      <c r="B119" s="61">
        <v>810051</v>
      </c>
      <c r="C119" s="282"/>
      <c r="D119" s="38" t="s">
        <v>311</v>
      </c>
      <c r="E119" s="63" t="s">
        <v>409</v>
      </c>
      <c r="F119" s="38" t="s">
        <v>228</v>
      </c>
      <c r="G119" s="40"/>
      <c r="H119" s="224"/>
      <c r="I119" s="225"/>
      <c r="J119" s="66"/>
      <c r="N119" s="61">
        <v>810051</v>
      </c>
      <c r="O119" s="282"/>
      <c r="P119" s="38" t="s">
        <v>311</v>
      </c>
      <c r="Q119" s="63" t="s">
        <v>409</v>
      </c>
      <c r="R119" s="38" t="s">
        <v>228</v>
      </c>
      <c r="S119" s="40"/>
      <c r="T119" s="224"/>
      <c r="U119" s="225"/>
      <c r="V119" s="66"/>
      <c r="Y119" s="61">
        <v>810051</v>
      </c>
      <c r="Z119" s="282"/>
      <c r="AA119" s="38" t="s">
        <v>311</v>
      </c>
      <c r="AB119" s="63" t="s">
        <v>409</v>
      </c>
      <c r="AC119" s="38" t="s">
        <v>228</v>
      </c>
      <c r="AD119" s="40"/>
      <c r="AE119" s="224"/>
      <c r="AF119" s="225"/>
      <c r="AG119" s="66"/>
    </row>
    <row r="120" spans="2:33" ht="15" x14ac:dyDescent="0.35">
      <c r="B120" s="61">
        <v>810051</v>
      </c>
      <c r="C120" s="282"/>
      <c r="D120" s="38" t="s">
        <v>312</v>
      </c>
      <c r="E120" s="306" t="s">
        <v>425</v>
      </c>
      <c r="F120" s="38" t="s">
        <v>228</v>
      </c>
      <c r="G120" s="40"/>
      <c r="H120" s="224"/>
      <c r="I120" s="225"/>
      <c r="J120" s="66"/>
      <c r="N120" s="61">
        <v>810051</v>
      </c>
      <c r="O120" s="282"/>
      <c r="P120" s="38" t="s">
        <v>312</v>
      </c>
      <c r="Q120" s="306" t="s">
        <v>425</v>
      </c>
      <c r="R120" s="38" t="s">
        <v>228</v>
      </c>
      <c r="S120" s="40"/>
      <c r="T120" s="224"/>
      <c r="U120" s="225"/>
      <c r="V120" s="66"/>
      <c r="Y120" s="61">
        <v>810051</v>
      </c>
      <c r="Z120" s="282"/>
      <c r="AA120" s="38" t="s">
        <v>312</v>
      </c>
      <c r="AB120" s="306" t="s">
        <v>425</v>
      </c>
      <c r="AC120" s="38" t="s">
        <v>228</v>
      </c>
      <c r="AD120" s="40"/>
      <c r="AE120" s="224"/>
      <c r="AF120" s="225"/>
      <c r="AG120" s="66"/>
    </row>
    <row r="121" spans="2:33" x14ac:dyDescent="0.35">
      <c r="B121" s="61">
        <v>810051</v>
      </c>
      <c r="C121" s="282"/>
      <c r="D121" s="38" t="s">
        <v>314</v>
      </c>
      <c r="E121" s="63" t="s">
        <v>426</v>
      </c>
      <c r="F121" s="38" t="s">
        <v>275</v>
      </c>
      <c r="G121" s="40"/>
      <c r="H121" s="224"/>
      <c r="I121" s="225"/>
      <c r="J121" s="66"/>
      <c r="N121" s="61">
        <v>810051</v>
      </c>
      <c r="O121" s="282"/>
      <c r="P121" s="38" t="s">
        <v>314</v>
      </c>
      <c r="Q121" s="63" t="s">
        <v>426</v>
      </c>
      <c r="R121" s="38" t="s">
        <v>275</v>
      </c>
      <c r="S121" s="40"/>
      <c r="T121" s="224"/>
      <c r="U121" s="225"/>
      <c r="V121" s="66"/>
      <c r="Y121" s="61">
        <v>810051</v>
      </c>
      <c r="Z121" s="282"/>
      <c r="AA121" s="38" t="s">
        <v>314</v>
      </c>
      <c r="AB121" s="63" t="s">
        <v>426</v>
      </c>
      <c r="AC121" s="38" t="s">
        <v>275</v>
      </c>
      <c r="AD121" s="40"/>
      <c r="AE121" s="224"/>
      <c r="AF121" s="225"/>
      <c r="AG121" s="66"/>
    </row>
    <row r="122" spans="2:33" x14ac:dyDescent="0.35">
      <c r="B122" s="61">
        <v>810051</v>
      </c>
      <c r="C122" s="282"/>
      <c r="D122" s="38" t="s">
        <v>316</v>
      </c>
      <c r="E122" s="63" t="s">
        <v>346</v>
      </c>
      <c r="F122" s="38" t="s">
        <v>68</v>
      </c>
      <c r="G122" s="40"/>
      <c r="H122" s="224"/>
      <c r="I122" s="225"/>
      <c r="J122" s="66"/>
      <c r="N122" s="61">
        <v>810051</v>
      </c>
      <c r="O122" s="282"/>
      <c r="P122" s="38" t="s">
        <v>316</v>
      </c>
      <c r="Q122" s="63" t="s">
        <v>346</v>
      </c>
      <c r="R122" s="38" t="s">
        <v>68</v>
      </c>
      <c r="S122" s="40"/>
      <c r="T122" s="224"/>
      <c r="U122" s="225"/>
      <c r="V122" s="66"/>
      <c r="Y122" s="61">
        <v>810051</v>
      </c>
      <c r="Z122" s="282"/>
      <c r="AA122" s="38" t="s">
        <v>316</v>
      </c>
      <c r="AB122" s="63" t="s">
        <v>346</v>
      </c>
      <c r="AC122" s="38" t="s">
        <v>68</v>
      </c>
      <c r="AD122" s="40"/>
      <c r="AE122" s="224"/>
      <c r="AF122" s="225"/>
      <c r="AG122" s="66"/>
    </row>
    <row r="123" spans="2:33" ht="15" x14ac:dyDescent="0.35">
      <c r="B123" s="61">
        <v>810051</v>
      </c>
      <c r="C123" s="282"/>
      <c r="D123" s="38" t="s">
        <v>318</v>
      </c>
      <c r="E123" s="306" t="s">
        <v>410</v>
      </c>
      <c r="F123" s="307" t="s">
        <v>68</v>
      </c>
      <c r="G123" s="40"/>
      <c r="H123" s="224"/>
      <c r="I123" s="225"/>
      <c r="J123" s="66"/>
      <c r="N123" s="61">
        <v>810051</v>
      </c>
      <c r="O123" s="282"/>
      <c r="P123" s="38" t="s">
        <v>318</v>
      </c>
      <c r="Q123" s="306" t="s">
        <v>410</v>
      </c>
      <c r="R123" s="307" t="s">
        <v>68</v>
      </c>
      <c r="S123" s="40"/>
      <c r="T123" s="224"/>
      <c r="U123" s="225"/>
      <c r="V123" s="66"/>
      <c r="Y123" s="61">
        <v>810051</v>
      </c>
      <c r="Z123" s="282"/>
      <c r="AA123" s="38" t="s">
        <v>318</v>
      </c>
      <c r="AB123" s="306" t="s">
        <v>410</v>
      </c>
      <c r="AC123" s="307" t="s">
        <v>68</v>
      </c>
      <c r="AD123" s="40"/>
      <c r="AE123" s="224"/>
      <c r="AF123" s="225"/>
      <c r="AG123" s="66"/>
    </row>
    <row r="124" spans="2:33" ht="15" x14ac:dyDescent="0.35">
      <c r="B124" s="61">
        <v>810051</v>
      </c>
      <c r="C124" s="282"/>
      <c r="D124" s="38" t="s">
        <v>320</v>
      </c>
      <c r="E124" s="306" t="s">
        <v>412</v>
      </c>
      <c r="F124" s="307" t="s">
        <v>68</v>
      </c>
      <c r="G124" s="40"/>
      <c r="H124" s="224"/>
      <c r="I124" s="225"/>
      <c r="J124" s="66"/>
      <c r="N124" s="61">
        <v>810051</v>
      </c>
      <c r="O124" s="282"/>
      <c r="P124" s="38" t="s">
        <v>320</v>
      </c>
      <c r="Q124" s="306" t="s">
        <v>412</v>
      </c>
      <c r="R124" s="307" t="s">
        <v>68</v>
      </c>
      <c r="S124" s="40"/>
      <c r="T124" s="224"/>
      <c r="U124" s="225"/>
      <c r="V124" s="66"/>
      <c r="Y124" s="61">
        <v>810051</v>
      </c>
      <c r="Z124" s="282"/>
      <c r="AA124" s="38" t="s">
        <v>320</v>
      </c>
      <c r="AB124" s="306" t="s">
        <v>412</v>
      </c>
      <c r="AC124" s="307" t="s">
        <v>68</v>
      </c>
      <c r="AD124" s="40"/>
      <c r="AE124" s="224"/>
      <c r="AF124" s="225"/>
      <c r="AG124" s="66"/>
    </row>
    <row r="125" spans="2:33" ht="15" x14ac:dyDescent="0.35">
      <c r="B125" s="61">
        <v>810051</v>
      </c>
      <c r="C125" s="282"/>
      <c r="D125" s="38" t="s">
        <v>322</v>
      </c>
      <c r="E125" s="308" t="s">
        <v>413</v>
      </c>
      <c r="F125" s="38" t="s">
        <v>206</v>
      </c>
      <c r="G125" s="40"/>
      <c r="H125" s="224"/>
      <c r="I125" s="225"/>
      <c r="J125" s="66"/>
      <c r="N125" s="61">
        <v>810051</v>
      </c>
      <c r="O125" s="282"/>
      <c r="P125" s="38" t="s">
        <v>322</v>
      </c>
      <c r="Q125" s="308" t="s">
        <v>413</v>
      </c>
      <c r="R125" s="38" t="s">
        <v>206</v>
      </c>
      <c r="S125" s="40"/>
      <c r="T125" s="224"/>
      <c r="U125" s="225"/>
      <c r="V125" s="66"/>
      <c r="Y125" s="61">
        <v>810051</v>
      </c>
      <c r="Z125" s="282"/>
      <c r="AA125" s="38" t="s">
        <v>322</v>
      </c>
      <c r="AB125" s="308" t="s">
        <v>413</v>
      </c>
      <c r="AC125" s="38" t="s">
        <v>206</v>
      </c>
      <c r="AD125" s="40"/>
      <c r="AE125" s="224"/>
      <c r="AF125" s="225"/>
      <c r="AG125" s="66"/>
    </row>
    <row r="126" spans="2:33" ht="30" x14ac:dyDescent="0.35">
      <c r="B126" s="61">
        <v>810051</v>
      </c>
      <c r="C126" s="282"/>
      <c r="D126" s="38" t="s">
        <v>324</v>
      </c>
      <c r="E126" s="306" t="s">
        <v>414</v>
      </c>
      <c r="F126" s="309" t="s">
        <v>206</v>
      </c>
      <c r="G126" s="40"/>
      <c r="H126" s="224"/>
      <c r="I126" s="225"/>
      <c r="J126" s="66"/>
      <c r="N126" s="61">
        <v>810051</v>
      </c>
      <c r="O126" s="282"/>
      <c r="P126" s="38" t="s">
        <v>324</v>
      </c>
      <c r="Q126" s="306" t="s">
        <v>414</v>
      </c>
      <c r="R126" s="309" t="s">
        <v>206</v>
      </c>
      <c r="S126" s="40"/>
      <c r="T126" s="224"/>
      <c r="U126" s="225"/>
      <c r="V126" s="66"/>
      <c r="Y126" s="61">
        <v>810051</v>
      </c>
      <c r="Z126" s="282"/>
      <c r="AA126" s="38" t="s">
        <v>324</v>
      </c>
      <c r="AB126" s="306" t="s">
        <v>414</v>
      </c>
      <c r="AC126" s="309" t="s">
        <v>206</v>
      </c>
      <c r="AD126" s="40"/>
      <c r="AE126" s="224"/>
      <c r="AF126" s="225"/>
      <c r="AG126" s="66"/>
    </row>
    <row r="127" spans="2:33" ht="15" x14ac:dyDescent="0.35">
      <c r="B127" s="61">
        <v>810051</v>
      </c>
      <c r="C127" s="282"/>
      <c r="D127" s="38"/>
      <c r="E127" s="311" t="s">
        <v>419</v>
      </c>
      <c r="F127" s="113"/>
      <c r="G127" s="313"/>
      <c r="H127" s="314"/>
      <c r="I127" s="315"/>
      <c r="J127" s="316"/>
      <c r="N127" s="61">
        <v>810051</v>
      </c>
      <c r="O127" s="282"/>
      <c r="P127" s="38"/>
      <c r="Q127" s="311" t="s">
        <v>419</v>
      </c>
      <c r="R127" s="113"/>
      <c r="S127" s="313"/>
      <c r="T127" s="314"/>
      <c r="U127" s="315"/>
      <c r="V127" s="316"/>
      <c r="Y127" s="61">
        <v>810051</v>
      </c>
      <c r="Z127" s="282"/>
      <c r="AA127" s="38"/>
      <c r="AB127" s="311" t="s">
        <v>419</v>
      </c>
      <c r="AC127" s="113"/>
      <c r="AD127" s="313"/>
      <c r="AE127" s="314"/>
      <c r="AF127" s="315"/>
      <c r="AG127" s="316"/>
    </row>
    <row r="128" spans="2:33" ht="15" x14ac:dyDescent="0.35">
      <c r="B128" s="61">
        <v>810051</v>
      </c>
      <c r="C128" s="282"/>
      <c r="D128" s="38" t="s">
        <v>324</v>
      </c>
      <c r="E128" s="306" t="s">
        <v>415</v>
      </c>
      <c r="F128" s="309" t="s">
        <v>79</v>
      </c>
      <c r="G128" s="40"/>
      <c r="H128" s="224"/>
      <c r="I128" s="225"/>
      <c r="J128" s="66"/>
      <c r="N128" s="61">
        <v>810051</v>
      </c>
      <c r="O128" s="282"/>
      <c r="P128" s="38" t="s">
        <v>324</v>
      </c>
      <c r="Q128" s="306" t="s">
        <v>415</v>
      </c>
      <c r="R128" s="309" t="s">
        <v>79</v>
      </c>
      <c r="S128" s="40"/>
      <c r="T128" s="224"/>
      <c r="U128" s="225"/>
      <c r="V128" s="66"/>
      <c r="Y128" s="61">
        <v>810051</v>
      </c>
      <c r="Z128" s="282"/>
      <c r="AA128" s="38" t="s">
        <v>324</v>
      </c>
      <c r="AB128" s="306" t="s">
        <v>415</v>
      </c>
      <c r="AC128" s="309" t="s">
        <v>79</v>
      </c>
      <c r="AD128" s="40"/>
      <c r="AE128" s="224"/>
      <c r="AF128" s="225"/>
      <c r="AG128" s="66"/>
    </row>
    <row r="129" spans="2:33" ht="15" x14ac:dyDescent="0.35">
      <c r="B129" s="61">
        <v>810051</v>
      </c>
      <c r="C129" s="282"/>
      <c r="D129" s="38" t="s">
        <v>326</v>
      </c>
      <c r="E129" s="306" t="s">
        <v>416</v>
      </c>
      <c r="F129" s="310" t="s">
        <v>411</v>
      </c>
      <c r="G129" s="40"/>
      <c r="H129" s="224"/>
      <c r="I129" s="225"/>
      <c r="J129" s="66"/>
      <c r="N129" s="61">
        <v>810051</v>
      </c>
      <c r="O129" s="282"/>
      <c r="P129" s="38" t="s">
        <v>326</v>
      </c>
      <c r="Q129" s="306" t="s">
        <v>416</v>
      </c>
      <c r="R129" s="310" t="s">
        <v>411</v>
      </c>
      <c r="S129" s="40"/>
      <c r="T129" s="224"/>
      <c r="U129" s="225"/>
      <c r="V129" s="66"/>
      <c r="Y129" s="61">
        <v>810051</v>
      </c>
      <c r="Z129" s="282"/>
      <c r="AA129" s="38" t="s">
        <v>326</v>
      </c>
      <c r="AB129" s="306" t="s">
        <v>416</v>
      </c>
      <c r="AC129" s="310" t="s">
        <v>411</v>
      </c>
      <c r="AD129" s="40"/>
      <c r="AE129" s="224"/>
      <c r="AF129" s="225"/>
      <c r="AG129" s="66"/>
    </row>
    <row r="130" spans="2:33" ht="15" x14ac:dyDescent="0.35">
      <c r="B130" s="61">
        <v>810051</v>
      </c>
      <c r="C130" s="282"/>
      <c r="D130" s="38" t="s">
        <v>329</v>
      </c>
      <c r="E130" s="306" t="s">
        <v>417</v>
      </c>
      <c r="F130" s="309" t="s">
        <v>411</v>
      </c>
      <c r="G130" s="40"/>
      <c r="H130" s="224"/>
      <c r="I130" s="225"/>
      <c r="J130" s="66"/>
      <c r="N130" s="61">
        <v>810051</v>
      </c>
      <c r="O130" s="282"/>
      <c r="P130" s="38" t="s">
        <v>329</v>
      </c>
      <c r="Q130" s="306" t="s">
        <v>417</v>
      </c>
      <c r="R130" s="309" t="s">
        <v>411</v>
      </c>
      <c r="S130" s="40"/>
      <c r="T130" s="224"/>
      <c r="U130" s="225"/>
      <c r="V130" s="66"/>
      <c r="Y130" s="61">
        <v>810051</v>
      </c>
      <c r="Z130" s="282"/>
      <c r="AA130" s="38" t="s">
        <v>329</v>
      </c>
      <c r="AB130" s="306" t="s">
        <v>417</v>
      </c>
      <c r="AC130" s="309" t="s">
        <v>411</v>
      </c>
      <c r="AD130" s="40"/>
      <c r="AE130" s="224"/>
      <c r="AF130" s="225"/>
      <c r="AG130" s="66"/>
    </row>
    <row r="131" spans="2:33" ht="15" x14ac:dyDescent="0.35">
      <c r="B131" s="61">
        <v>810051</v>
      </c>
      <c r="C131" s="282"/>
      <c r="D131" s="38" t="s">
        <v>331</v>
      </c>
      <c r="E131" s="306" t="s">
        <v>418</v>
      </c>
      <c r="F131" s="309" t="s">
        <v>411</v>
      </c>
      <c r="G131" s="40"/>
      <c r="H131" s="224"/>
      <c r="I131" s="225"/>
      <c r="J131" s="66"/>
      <c r="N131" s="61">
        <v>810051</v>
      </c>
      <c r="O131" s="282"/>
      <c r="P131" s="38" t="s">
        <v>331</v>
      </c>
      <c r="Q131" s="306" t="s">
        <v>418</v>
      </c>
      <c r="R131" s="309" t="s">
        <v>411</v>
      </c>
      <c r="S131" s="40"/>
      <c r="T131" s="224"/>
      <c r="U131" s="225"/>
      <c r="V131" s="66"/>
      <c r="Y131" s="61">
        <v>810051</v>
      </c>
      <c r="Z131" s="282"/>
      <c r="AA131" s="38" t="s">
        <v>331</v>
      </c>
      <c r="AB131" s="306" t="s">
        <v>418</v>
      </c>
      <c r="AC131" s="309" t="s">
        <v>411</v>
      </c>
      <c r="AD131" s="40"/>
      <c r="AE131" s="224"/>
      <c r="AF131" s="225"/>
      <c r="AG131" s="66"/>
    </row>
    <row r="132" spans="2:33" ht="15" x14ac:dyDescent="0.35">
      <c r="B132" s="61">
        <v>810051</v>
      </c>
      <c r="C132" s="282"/>
      <c r="D132" s="38"/>
      <c r="E132" s="311" t="s">
        <v>424</v>
      </c>
      <c r="F132" s="317"/>
      <c r="G132" s="313"/>
      <c r="H132" s="314"/>
      <c r="I132" s="315"/>
      <c r="J132" s="316"/>
      <c r="N132" s="61">
        <v>810051</v>
      </c>
      <c r="O132" s="282"/>
      <c r="P132" s="38"/>
      <c r="Q132" s="311" t="s">
        <v>424</v>
      </c>
      <c r="R132" s="317"/>
      <c r="S132" s="313"/>
      <c r="T132" s="314"/>
      <c r="U132" s="315"/>
      <c r="V132" s="316"/>
      <c r="Y132" s="61">
        <v>810051</v>
      </c>
      <c r="Z132" s="282"/>
      <c r="AA132" s="38"/>
      <c r="AB132" s="311" t="s">
        <v>424</v>
      </c>
      <c r="AC132" s="317"/>
      <c r="AD132" s="313"/>
      <c r="AE132" s="314"/>
      <c r="AF132" s="315"/>
      <c r="AG132" s="316"/>
    </row>
    <row r="133" spans="2:33" ht="15" x14ac:dyDescent="0.35">
      <c r="B133" s="61">
        <v>810051</v>
      </c>
      <c r="C133" s="282"/>
      <c r="D133" s="38" t="s">
        <v>331</v>
      </c>
      <c r="E133" s="306" t="s">
        <v>420</v>
      </c>
      <c r="F133" s="312" t="s">
        <v>79</v>
      </c>
      <c r="G133" s="40"/>
      <c r="H133" s="224"/>
      <c r="I133" s="225"/>
      <c r="J133" s="66"/>
      <c r="N133" s="61">
        <v>810051</v>
      </c>
      <c r="O133" s="282"/>
      <c r="P133" s="38" t="s">
        <v>331</v>
      </c>
      <c r="Q133" s="306" t="s">
        <v>420</v>
      </c>
      <c r="R133" s="312" t="s">
        <v>79</v>
      </c>
      <c r="S133" s="40"/>
      <c r="T133" s="224"/>
      <c r="U133" s="225"/>
      <c r="V133" s="66"/>
      <c r="Y133" s="61">
        <v>810051</v>
      </c>
      <c r="Z133" s="282"/>
      <c r="AA133" s="38" t="s">
        <v>331</v>
      </c>
      <c r="AB133" s="306" t="s">
        <v>420</v>
      </c>
      <c r="AC133" s="312" t="s">
        <v>79</v>
      </c>
      <c r="AD133" s="40"/>
      <c r="AE133" s="224"/>
      <c r="AF133" s="225"/>
      <c r="AG133" s="66"/>
    </row>
    <row r="134" spans="2:33" ht="15" x14ac:dyDescent="0.35">
      <c r="B134" s="61">
        <v>810051</v>
      </c>
      <c r="C134" s="282"/>
      <c r="D134" s="38" t="s">
        <v>333</v>
      </c>
      <c r="E134" s="306" t="s">
        <v>421</v>
      </c>
      <c r="F134" s="309" t="s">
        <v>79</v>
      </c>
      <c r="G134" s="40"/>
      <c r="H134" s="224"/>
      <c r="I134" s="225"/>
      <c r="J134" s="66"/>
      <c r="N134" s="61">
        <v>810051</v>
      </c>
      <c r="O134" s="282"/>
      <c r="P134" s="38" t="s">
        <v>333</v>
      </c>
      <c r="Q134" s="306" t="s">
        <v>421</v>
      </c>
      <c r="R134" s="309" t="s">
        <v>79</v>
      </c>
      <c r="S134" s="40"/>
      <c r="T134" s="224"/>
      <c r="U134" s="225"/>
      <c r="V134" s="66"/>
      <c r="Y134" s="61">
        <v>810051</v>
      </c>
      <c r="Z134" s="282"/>
      <c r="AA134" s="38" t="s">
        <v>333</v>
      </c>
      <c r="AB134" s="306" t="s">
        <v>421</v>
      </c>
      <c r="AC134" s="309" t="s">
        <v>79</v>
      </c>
      <c r="AD134" s="40"/>
      <c r="AE134" s="224"/>
      <c r="AF134" s="225"/>
      <c r="AG134" s="66"/>
    </row>
    <row r="135" spans="2:33" ht="15" x14ac:dyDescent="0.35">
      <c r="B135" s="61">
        <v>810051</v>
      </c>
      <c r="C135" s="282"/>
      <c r="D135" s="38" t="s">
        <v>335</v>
      </c>
      <c r="E135" s="306" t="s">
        <v>422</v>
      </c>
      <c r="F135" s="309" t="s">
        <v>90</v>
      </c>
      <c r="G135" s="40"/>
      <c r="H135" s="224"/>
      <c r="I135" s="225"/>
      <c r="J135" s="66"/>
      <c r="N135" s="61">
        <v>810051</v>
      </c>
      <c r="O135" s="282"/>
      <c r="P135" s="38" t="s">
        <v>335</v>
      </c>
      <c r="Q135" s="306" t="s">
        <v>422</v>
      </c>
      <c r="R135" s="309" t="s">
        <v>90</v>
      </c>
      <c r="S135" s="40"/>
      <c r="T135" s="224"/>
      <c r="U135" s="225"/>
      <c r="V135" s="66"/>
      <c r="Y135" s="61">
        <v>810051</v>
      </c>
      <c r="Z135" s="282"/>
      <c r="AA135" s="38" t="s">
        <v>335</v>
      </c>
      <c r="AB135" s="306" t="s">
        <v>422</v>
      </c>
      <c r="AC135" s="309" t="s">
        <v>90</v>
      </c>
      <c r="AD135" s="40"/>
      <c r="AE135" s="224"/>
      <c r="AF135" s="225"/>
      <c r="AG135" s="66"/>
    </row>
    <row r="136" spans="2:33" ht="15" x14ac:dyDescent="0.35">
      <c r="B136" s="61">
        <v>810051</v>
      </c>
      <c r="C136" s="282"/>
      <c r="D136" s="38" t="s">
        <v>337</v>
      </c>
      <c r="E136" s="306" t="s">
        <v>423</v>
      </c>
      <c r="F136" s="309" t="s">
        <v>90</v>
      </c>
      <c r="G136" s="40"/>
      <c r="H136" s="224"/>
      <c r="I136" s="225"/>
      <c r="J136" s="66"/>
      <c r="N136" s="61">
        <v>810051</v>
      </c>
      <c r="O136" s="282"/>
      <c r="P136" s="38" t="s">
        <v>337</v>
      </c>
      <c r="Q136" s="306" t="s">
        <v>423</v>
      </c>
      <c r="R136" s="309" t="s">
        <v>90</v>
      </c>
      <c r="S136" s="40"/>
      <c r="T136" s="224"/>
      <c r="U136" s="225"/>
      <c r="V136" s="66"/>
      <c r="Y136" s="61">
        <v>810051</v>
      </c>
      <c r="Z136" s="282"/>
      <c r="AA136" s="38" t="s">
        <v>337</v>
      </c>
      <c r="AB136" s="306" t="s">
        <v>423</v>
      </c>
      <c r="AC136" s="309" t="s">
        <v>90</v>
      </c>
      <c r="AD136" s="40"/>
      <c r="AE136" s="224"/>
      <c r="AF136" s="225"/>
      <c r="AG136" s="66"/>
    </row>
    <row r="137" spans="2:33" x14ac:dyDescent="0.35">
      <c r="B137" s="72"/>
      <c r="C137" s="72"/>
      <c r="D137" s="47" t="s">
        <v>428</v>
      </c>
      <c r="E137" s="48" t="s">
        <v>32</v>
      </c>
      <c r="F137" s="47"/>
      <c r="G137" s="49"/>
      <c r="H137" s="50"/>
      <c r="I137" s="51"/>
      <c r="J137" s="52">
        <f>SUM(J139:J171)</f>
        <v>523282.90649999998</v>
      </c>
      <c r="N137" s="268"/>
      <c r="O137" s="268"/>
      <c r="P137" s="268" t="s">
        <v>428</v>
      </c>
      <c r="Q137" s="269" t="s">
        <v>32</v>
      </c>
      <c r="R137" s="268"/>
      <c r="S137" s="172"/>
      <c r="T137" s="173"/>
      <c r="U137" s="174"/>
      <c r="V137" s="175">
        <f>SUM(V139:V184)</f>
        <v>686270.14647484117</v>
      </c>
      <c r="Y137" s="72"/>
      <c r="Z137" s="72"/>
      <c r="AA137" s="47" t="s">
        <v>428</v>
      </c>
      <c r="AB137" s="48" t="s">
        <v>32</v>
      </c>
      <c r="AC137" s="47"/>
      <c r="AD137" s="49"/>
      <c r="AE137" s="50"/>
      <c r="AF137" s="51"/>
      <c r="AG137" s="52">
        <f>SUM(AG139:AG170)</f>
        <v>1025999.5</v>
      </c>
    </row>
    <row r="138" spans="2:33" s="338" customFormat="1" x14ac:dyDescent="0.35">
      <c r="B138" s="335"/>
      <c r="C138" s="335"/>
      <c r="D138" s="53"/>
      <c r="E138" s="162"/>
      <c r="F138" s="190"/>
      <c r="G138" s="163"/>
      <c r="H138" s="296"/>
      <c r="I138" s="297"/>
      <c r="J138" s="298"/>
      <c r="K138" s="257"/>
      <c r="N138" s="301"/>
      <c r="O138" s="301"/>
      <c r="P138" s="339"/>
      <c r="Q138" s="340"/>
      <c r="R138" s="341"/>
      <c r="S138" s="302"/>
      <c r="T138" s="303"/>
      <c r="U138" s="304"/>
      <c r="V138" s="305"/>
      <c r="X138" s="342"/>
      <c r="Y138" s="335"/>
      <c r="Z138" s="335"/>
      <c r="AA138" s="53"/>
      <c r="AB138" s="336"/>
      <c r="AC138" s="337"/>
      <c r="AD138" s="295"/>
      <c r="AE138" s="296"/>
      <c r="AF138" s="297"/>
      <c r="AG138" s="298"/>
    </row>
    <row r="139" spans="2:33" x14ac:dyDescent="0.35">
      <c r="B139" s="61">
        <v>810213</v>
      </c>
      <c r="C139" s="409" t="s">
        <v>32</v>
      </c>
      <c r="D139" s="38" t="s">
        <v>201</v>
      </c>
      <c r="E139" s="39" t="s">
        <v>226</v>
      </c>
      <c r="F139" s="62" t="s">
        <v>46</v>
      </c>
      <c r="G139" s="40">
        <v>1</v>
      </c>
      <c r="H139" s="252">
        <v>6500</v>
      </c>
      <c r="I139" s="70"/>
      <c r="J139" s="43">
        <f t="shared" ref="J139:J144" si="21">G139*H139+I139*G139</f>
        <v>6500</v>
      </c>
      <c r="N139" s="184">
        <v>810213</v>
      </c>
      <c r="O139" s="445" t="s">
        <v>32</v>
      </c>
      <c r="P139" s="161" t="s">
        <v>201</v>
      </c>
      <c r="Q139" s="162" t="s">
        <v>306</v>
      </c>
      <c r="R139" s="190" t="s">
        <v>103</v>
      </c>
      <c r="S139" s="163">
        <v>9</v>
      </c>
      <c r="T139" s="164">
        <v>0</v>
      </c>
      <c r="U139" s="236">
        <v>114.59078009795184</v>
      </c>
      <c r="V139" s="165">
        <f t="shared" ref="V139:V170" si="22">S139*T139+U139*S139</f>
        <v>1031.3170208815666</v>
      </c>
      <c r="Y139" s="61">
        <v>810213</v>
      </c>
      <c r="Z139" s="409" t="s">
        <v>32</v>
      </c>
      <c r="AA139" s="38" t="s">
        <v>201</v>
      </c>
      <c r="AB139" s="39" t="s">
        <v>391</v>
      </c>
      <c r="AC139" s="62" t="s">
        <v>79</v>
      </c>
      <c r="AD139" s="40">
        <v>99</v>
      </c>
      <c r="AE139" s="252">
        <v>35</v>
      </c>
      <c r="AF139" s="252">
        <v>15</v>
      </c>
      <c r="AG139" s="43">
        <f t="shared" ref="AG139:AG145" si="23">AD139*AE139+AF139*AD139</f>
        <v>4950</v>
      </c>
    </row>
    <row r="140" spans="2:33" ht="39" x14ac:dyDescent="0.35">
      <c r="B140" s="61">
        <v>810213</v>
      </c>
      <c r="C140" s="410"/>
      <c r="D140" s="38" t="s">
        <v>202</v>
      </c>
      <c r="E140" s="63" t="s">
        <v>227</v>
      </c>
      <c r="F140" s="65" t="s">
        <v>228</v>
      </c>
      <c r="G140" s="44">
        <v>40</v>
      </c>
      <c r="H140" s="252">
        <v>80</v>
      </c>
      <c r="I140" s="70">
        <v>50</v>
      </c>
      <c r="J140" s="43">
        <f t="shared" si="21"/>
        <v>5200</v>
      </c>
      <c r="N140" s="184">
        <v>810213</v>
      </c>
      <c r="O140" s="429"/>
      <c r="P140" s="161" t="s">
        <v>202</v>
      </c>
      <c r="Q140" s="185" t="s">
        <v>308</v>
      </c>
      <c r="R140" s="161" t="s">
        <v>79</v>
      </c>
      <c r="S140" s="194"/>
      <c r="T140" s="164">
        <v>0</v>
      </c>
      <c r="U140" s="237">
        <v>0</v>
      </c>
      <c r="V140" s="165">
        <f t="shared" si="22"/>
        <v>0</v>
      </c>
      <c r="W140" s="243" t="s">
        <v>372</v>
      </c>
      <c r="Y140" s="61">
        <v>810041</v>
      </c>
      <c r="Z140" s="410"/>
      <c r="AA140" s="38" t="s">
        <v>202</v>
      </c>
      <c r="AB140" s="63" t="s">
        <v>392</v>
      </c>
      <c r="AC140" s="65" t="s">
        <v>103</v>
      </c>
      <c r="AD140" s="40">
        <v>236</v>
      </c>
      <c r="AE140" s="238">
        <v>109</v>
      </c>
      <c r="AF140" s="246">
        <v>70</v>
      </c>
      <c r="AG140" s="43">
        <f t="shared" si="23"/>
        <v>42244</v>
      </c>
    </row>
    <row r="141" spans="2:33" x14ac:dyDescent="0.35">
      <c r="B141" s="61">
        <v>810041</v>
      </c>
      <c r="C141" s="410"/>
      <c r="D141" s="38" t="s">
        <v>429</v>
      </c>
      <c r="E141" s="63" t="s">
        <v>229</v>
      </c>
      <c r="F141" s="62" t="s">
        <v>228</v>
      </c>
      <c r="G141" s="40">
        <v>162.94999999999999</v>
      </c>
      <c r="H141" s="238">
        <v>90</v>
      </c>
      <c r="I141" s="42">
        <v>50</v>
      </c>
      <c r="J141" s="43">
        <f t="shared" si="21"/>
        <v>22812.999999999996</v>
      </c>
      <c r="N141" s="184">
        <v>810041</v>
      </c>
      <c r="O141" s="429"/>
      <c r="P141" s="161" t="s">
        <v>429</v>
      </c>
      <c r="Q141" s="185" t="s">
        <v>310</v>
      </c>
      <c r="R141" s="161" t="s">
        <v>79</v>
      </c>
      <c r="S141" s="163">
        <v>50</v>
      </c>
      <c r="T141" s="164">
        <v>0</v>
      </c>
      <c r="U141" s="236">
        <v>190.98463349658641</v>
      </c>
      <c r="V141" s="165">
        <f t="shared" si="22"/>
        <v>9549.2316748293197</v>
      </c>
      <c r="Y141" s="61">
        <v>810041</v>
      </c>
      <c r="Z141" s="410"/>
      <c r="AA141" s="38" t="s">
        <v>429</v>
      </c>
      <c r="AB141" s="288" t="s">
        <v>393</v>
      </c>
      <c r="AC141" s="62" t="s">
        <v>394</v>
      </c>
      <c r="AD141" s="40">
        <v>6</v>
      </c>
      <c r="AE141" s="69">
        <v>690</v>
      </c>
      <c r="AF141" s="70">
        <v>110</v>
      </c>
      <c r="AG141" s="43">
        <f t="shared" si="23"/>
        <v>4800</v>
      </c>
    </row>
    <row r="142" spans="2:33" x14ac:dyDescent="0.35">
      <c r="B142" s="61">
        <v>810080</v>
      </c>
      <c r="C142" s="410"/>
      <c r="D142" s="38" t="s">
        <v>203</v>
      </c>
      <c r="E142" s="39" t="s">
        <v>230</v>
      </c>
      <c r="F142" s="38" t="s">
        <v>228</v>
      </c>
      <c r="G142" s="40">
        <f>G140*4</f>
        <v>160</v>
      </c>
      <c r="H142" s="41">
        <v>30</v>
      </c>
      <c r="I142" s="42">
        <v>20</v>
      </c>
      <c r="J142" s="43">
        <f t="shared" si="21"/>
        <v>8000</v>
      </c>
      <c r="N142" s="184">
        <v>810080</v>
      </c>
      <c r="O142" s="429"/>
      <c r="P142" s="161" t="s">
        <v>203</v>
      </c>
      <c r="Q142" s="39" t="s">
        <v>232</v>
      </c>
      <c r="R142" s="38" t="s">
        <v>233</v>
      </c>
      <c r="S142" s="40">
        <v>2</v>
      </c>
      <c r="T142" s="164">
        <v>0</v>
      </c>
      <c r="U142" s="164">
        <v>0</v>
      </c>
      <c r="V142" s="165">
        <f t="shared" si="22"/>
        <v>0</v>
      </c>
      <c r="Y142" s="61">
        <v>810213</v>
      </c>
      <c r="Z142" s="410"/>
      <c r="AA142" s="38" t="s">
        <v>203</v>
      </c>
      <c r="AB142" s="63" t="s">
        <v>395</v>
      </c>
      <c r="AC142" s="38" t="s">
        <v>71</v>
      </c>
      <c r="AD142" s="40">
        <v>1</v>
      </c>
      <c r="AE142" s="238">
        <v>45000</v>
      </c>
      <c r="AF142" s="246">
        <v>15000</v>
      </c>
      <c r="AG142" s="43">
        <f t="shared" si="23"/>
        <v>60000</v>
      </c>
    </row>
    <row r="143" spans="2:33" x14ac:dyDescent="0.35">
      <c r="B143" s="61" t="s">
        <v>32</v>
      </c>
      <c r="C143" s="410"/>
      <c r="D143" s="38" t="s">
        <v>204</v>
      </c>
      <c r="E143" s="39" t="s">
        <v>231</v>
      </c>
      <c r="F143" s="38" t="s">
        <v>206</v>
      </c>
      <c r="G143" s="40">
        <v>896.875</v>
      </c>
      <c r="H143" s="252">
        <v>19</v>
      </c>
      <c r="I143" s="69">
        <v>3</v>
      </c>
      <c r="J143" s="43">
        <f t="shared" si="21"/>
        <v>19731.25</v>
      </c>
      <c r="N143" s="184" t="s">
        <v>32</v>
      </c>
      <c r="O143" s="429"/>
      <c r="P143" s="161" t="s">
        <v>204</v>
      </c>
      <c r="Q143" s="162" t="s">
        <v>313</v>
      </c>
      <c r="R143" s="161" t="s">
        <v>79</v>
      </c>
      <c r="S143" s="163">
        <v>1.46</v>
      </c>
      <c r="T143" s="236">
        <v>241.91386909567609</v>
      </c>
      <c r="U143" s="164">
        <v>19.09846334965864</v>
      </c>
      <c r="V143" s="165">
        <f t="shared" si="22"/>
        <v>381.07800537018875</v>
      </c>
      <c r="W143" s="248" t="s">
        <v>427</v>
      </c>
      <c r="Y143" s="61">
        <v>810080</v>
      </c>
      <c r="Z143" s="410"/>
      <c r="AA143" s="38" t="s">
        <v>204</v>
      </c>
      <c r="AB143" s="39" t="s">
        <v>396</v>
      </c>
      <c r="AC143" s="62" t="s">
        <v>79</v>
      </c>
      <c r="AD143" s="40">
        <v>59.6</v>
      </c>
      <c r="AE143" s="252">
        <v>5850</v>
      </c>
      <c r="AF143" s="253">
        <v>550</v>
      </c>
      <c r="AG143" s="66">
        <f t="shared" si="23"/>
        <v>381440</v>
      </c>
    </row>
    <row r="144" spans="2:33" x14ac:dyDescent="0.35">
      <c r="B144" s="61" t="s">
        <v>32</v>
      </c>
      <c r="C144" s="410"/>
      <c r="D144" s="38" t="s">
        <v>205</v>
      </c>
      <c r="E144" s="39" t="s">
        <v>232</v>
      </c>
      <c r="F144" s="38" t="s">
        <v>233</v>
      </c>
      <c r="G144" s="40">
        <v>2</v>
      </c>
      <c r="H144" s="252">
        <v>1200</v>
      </c>
      <c r="I144" s="69"/>
      <c r="J144" s="43">
        <f t="shared" si="21"/>
        <v>2400</v>
      </c>
      <c r="N144" s="184" t="s">
        <v>32</v>
      </c>
      <c r="O144" s="429"/>
      <c r="P144" s="161" t="s">
        <v>205</v>
      </c>
      <c r="Q144" s="162" t="s">
        <v>315</v>
      </c>
      <c r="R144" s="161" t="s">
        <v>79</v>
      </c>
      <c r="S144" s="163">
        <v>6.11</v>
      </c>
      <c r="T144" s="236">
        <v>799.38156041891864</v>
      </c>
      <c r="U144" s="236">
        <v>381.0636740516685</v>
      </c>
      <c r="V144" s="165">
        <f t="shared" si="22"/>
        <v>7212.5203826152883</v>
      </c>
      <c r="Y144" s="61">
        <v>810080</v>
      </c>
      <c r="Z144" s="410"/>
      <c r="AA144" s="38" t="s">
        <v>205</v>
      </c>
      <c r="AB144" s="288" t="s">
        <v>397</v>
      </c>
      <c r="AC144" s="289" t="s">
        <v>398</v>
      </c>
      <c r="AD144" s="290">
        <v>26.5</v>
      </c>
      <c r="AE144" s="252">
        <v>5603</v>
      </c>
      <c r="AF144" s="253">
        <v>850</v>
      </c>
      <c r="AG144" s="66">
        <f t="shared" si="23"/>
        <v>171004.5</v>
      </c>
    </row>
    <row r="145" spans="2:33" x14ac:dyDescent="0.35">
      <c r="B145" s="61" t="s">
        <v>32</v>
      </c>
      <c r="C145" s="410"/>
      <c r="D145" s="38" t="s">
        <v>207</v>
      </c>
      <c r="E145" s="39" t="s">
        <v>235</v>
      </c>
      <c r="F145" s="38" t="s">
        <v>206</v>
      </c>
      <c r="G145" s="44">
        <v>677.1</v>
      </c>
      <c r="H145" s="252">
        <v>70</v>
      </c>
      <c r="I145" s="69"/>
      <c r="J145" s="43">
        <f>H145*G145+I145*G145</f>
        <v>47397</v>
      </c>
      <c r="N145" s="184" t="s">
        <v>32</v>
      </c>
      <c r="O145" s="429"/>
      <c r="P145" s="161" t="s">
        <v>207</v>
      </c>
      <c r="Q145" s="162" t="s">
        <v>317</v>
      </c>
      <c r="R145" s="161" t="s">
        <v>79</v>
      </c>
      <c r="S145" s="194">
        <v>96.22</v>
      </c>
      <c r="T145" s="164">
        <v>53.082269034041225</v>
      </c>
      <c r="U145" s="236">
        <v>39.235026675988571</v>
      </c>
      <c r="V145" s="165">
        <f t="shared" si="22"/>
        <v>8882.7701932190666</v>
      </c>
      <c r="Y145" s="61">
        <v>810041</v>
      </c>
      <c r="Z145" s="410"/>
      <c r="AA145" s="38" t="s">
        <v>207</v>
      </c>
      <c r="AB145" s="63" t="s">
        <v>399</v>
      </c>
      <c r="AC145" s="65" t="s">
        <v>46</v>
      </c>
      <c r="AD145" s="40">
        <v>1</v>
      </c>
      <c r="AE145" s="238">
        <v>285709</v>
      </c>
      <c r="AF145" s="246">
        <v>75852</v>
      </c>
      <c r="AG145" s="66">
        <f t="shared" si="23"/>
        <v>361561</v>
      </c>
    </row>
    <row r="146" spans="2:33" x14ac:dyDescent="0.35">
      <c r="B146" s="61" t="s">
        <v>32</v>
      </c>
      <c r="C146" s="411"/>
      <c r="D146" s="38" t="s">
        <v>243</v>
      </c>
      <c r="E146" s="39" t="s">
        <v>358</v>
      </c>
      <c r="F146" s="38" t="s">
        <v>68</v>
      </c>
      <c r="G146" s="40">
        <v>191.63</v>
      </c>
      <c r="H146" s="69">
        <v>50</v>
      </c>
      <c r="I146" s="252">
        <v>20</v>
      </c>
      <c r="J146" s="66">
        <f t="shared" ref="J146:J171" si="24">G146*H146+I146*G146</f>
        <v>13414.1</v>
      </c>
      <c r="N146" s="184" t="s">
        <v>32</v>
      </c>
      <c r="O146" s="429"/>
      <c r="P146" s="161" t="s">
        <v>243</v>
      </c>
      <c r="Q146" s="162" t="s">
        <v>319</v>
      </c>
      <c r="R146" s="161" t="s">
        <v>79</v>
      </c>
      <c r="S146" s="194">
        <v>321.10000000000002</v>
      </c>
      <c r="T146" s="236">
        <v>127.18020702725103</v>
      </c>
      <c r="U146" s="164">
        <v>50.929235599089708</v>
      </c>
      <c r="V146" s="165">
        <f t="shared" si="22"/>
        <v>57190.942027318015</v>
      </c>
      <c r="W146" s="344" t="s">
        <v>435</v>
      </c>
      <c r="Y146" s="61"/>
      <c r="Z146" s="410"/>
      <c r="AA146" s="38" t="s">
        <v>243</v>
      </c>
      <c r="AB146" s="63" t="s">
        <v>227</v>
      </c>
      <c r="AC146" s="65" t="s">
        <v>228</v>
      </c>
      <c r="AD146" s="40"/>
      <c r="AE146" s="41"/>
      <c r="AF146" s="42"/>
      <c r="AG146" s="66"/>
    </row>
    <row r="147" spans="2:33" x14ac:dyDescent="0.35">
      <c r="B147" s="61"/>
      <c r="C147" s="106"/>
      <c r="D147" s="38" t="s">
        <v>244</v>
      </c>
      <c r="E147" s="63" t="s">
        <v>240</v>
      </c>
      <c r="F147" s="38" t="s">
        <v>228</v>
      </c>
      <c r="G147" s="40">
        <v>96.22</v>
      </c>
      <c r="H147" s="252">
        <f>145*1.3</f>
        <v>188.5</v>
      </c>
      <c r="I147" s="69">
        <v>45</v>
      </c>
      <c r="J147" s="66">
        <f t="shared" si="24"/>
        <v>22467.370000000003</v>
      </c>
      <c r="K147" s="109" t="s">
        <v>287</v>
      </c>
      <c r="N147" s="184" t="s">
        <v>32</v>
      </c>
      <c r="O147" s="429"/>
      <c r="P147" s="161" t="s">
        <v>244</v>
      </c>
      <c r="Q147" s="162" t="s">
        <v>321</v>
      </c>
      <c r="R147" s="161" t="s">
        <v>68</v>
      </c>
      <c r="S147" s="194">
        <v>295.88</v>
      </c>
      <c r="T147" s="164">
        <v>38.145284454419802</v>
      </c>
      <c r="U147" s="236">
        <v>71.921245673546338</v>
      </c>
      <c r="V147" s="165">
        <f t="shared" si="22"/>
        <v>32566.484934262618</v>
      </c>
      <c r="W147" s="344" t="s">
        <v>437</v>
      </c>
      <c r="Y147" s="61"/>
      <c r="Z147" s="410"/>
      <c r="AA147" s="38" t="s">
        <v>244</v>
      </c>
      <c r="AB147" s="63" t="s">
        <v>229</v>
      </c>
      <c r="AC147" s="62" t="s">
        <v>228</v>
      </c>
      <c r="AD147" s="40"/>
      <c r="AE147" s="41"/>
      <c r="AF147" s="42"/>
      <c r="AG147" s="66"/>
    </row>
    <row r="148" spans="2:33" x14ac:dyDescent="0.35">
      <c r="B148" s="61"/>
      <c r="C148" s="106"/>
      <c r="D148" s="38" t="s">
        <v>245</v>
      </c>
      <c r="E148" s="39" t="s">
        <v>237</v>
      </c>
      <c r="F148" s="38" t="s">
        <v>228</v>
      </c>
      <c r="G148" s="40">
        <v>6.11</v>
      </c>
      <c r="H148" s="252">
        <f>245*1.35</f>
        <v>330.75</v>
      </c>
      <c r="I148" s="252">
        <v>30</v>
      </c>
      <c r="J148" s="66">
        <f t="shared" si="24"/>
        <v>2204.1825000000003</v>
      </c>
      <c r="N148" s="184" t="s">
        <v>32</v>
      </c>
      <c r="O148" s="429"/>
      <c r="P148" s="161" t="s">
        <v>245</v>
      </c>
      <c r="Q148" s="267" t="s">
        <v>323</v>
      </c>
      <c r="R148" s="161" t="s">
        <v>68</v>
      </c>
      <c r="S148" s="194">
        <v>164.69</v>
      </c>
      <c r="T148" s="236">
        <v>72.283725303621011</v>
      </c>
      <c r="U148" s="236">
        <v>19.641725413298769</v>
      </c>
      <c r="V148" s="165">
        <f t="shared" si="22"/>
        <v>15139.202478569518</v>
      </c>
      <c r="W148" s="248" t="s">
        <v>433</v>
      </c>
      <c r="Y148" s="61"/>
      <c r="Z148" s="410"/>
      <c r="AA148" s="38" t="s">
        <v>245</v>
      </c>
      <c r="AB148" s="39" t="s">
        <v>358</v>
      </c>
      <c r="AC148" s="38" t="s">
        <v>68</v>
      </c>
      <c r="AD148" s="40"/>
      <c r="AE148" s="41"/>
      <c r="AF148" s="42"/>
      <c r="AG148" s="66"/>
    </row>
    <row r="149" spans="2:33" x14ac:dyDescent="0.35">
      <c r="B149" s="61"/>
      <c r="C149" s="106"/>
      <c r="D149" s="38" t="s">
        <v>246</v>
      </c>
      <c r="E149" s="39" t="s">
        <v>274</v>
      </c>
      <c r="F149" s="38" t="s">
        <v>228</v>
      </c>
      <c r="G149" s="40"/>
      <c r="H149" s="252"/>
      <c r="I149" s="69"/>
      <c r="J149" s="66">
        <f t="shared" si="24"/>
        <v>0</v>
      </c>
      <c r="N149" s="184" t="s">
        <v>32</v>
      </c>
      <c r="O149" s="429"/>
      <c r="P149" s="161" t="s">
        <v>246</v>
      </c>
      <c r="Q149" s="267" t="s">
        <v>325</v>
      </c>
      <c r="R149" s="161" t="s">
        <v>68</v>
      </c>
      <c r="S149" s="194">
        <v>160.25</v>
      </c>
      <c r="T149" s="236">
        <v>40.155017025935273</v>
      </c>
      <c r="U149" s="236">
        <v>19.641725413298769</v>
      </c>
      <c r="V149" s="165">
        <f t="shared" si="22"/>
        <v>9582.4279758872544</v>
      </c>
      <c r="W149" s="248" t="s">
        <v>434</v>
      </c>
      <c r="Y149" s="61"/>
      <c r="Z149" s="410"/>
      <c r="AA149" s="38" t="s">
        <v>246</v>
      </c>
      <c r="AB149" s="39" t="s">
        <v>352</v>
      </c>
      <c r="AC149" s="161" t="s">
        <v>206</v>
      </c>
      <c r="AD149" s="40"/>
      <c r="AE149" s="41"/>
      <c r="AF149" s="42"/>
      <c r="AG149" s="66"/>
    </row>
    <row r="150" spans="2:33" ht="43.5" x14ac:dyDescent="0.35">
      <c r="B150" s="61"/>
      <c r="C150" s="106"/>
      <c r="D150" s="38" t="s">
        <v>247</v>
      </c>
      <c r="E150" s="39" t="s">
        <v>238</v>
      </c>
      <c r="F150" s="38" t="s">
        <v>228</v>
      </c>
      <c r="G150" s="40">
        <f>825.22*1.2</f>
        <v>990.26400000000001</v>
      </c>
      <c r="H150" s="69"/>
      <c r="I150" s="252">
        <v>35</v>
      </c>
      <c r="J150" s="66">
        <f t="shared" si="24"/>
        <v>34659.24</v>
      </c>
      <c r="K150" s="117" t="s">
        <v>286</v>
      </c>
      <c r="N150" s="184" t="s">
        <v>32</v>
      </c>
      <c r="O150" s="429"/>
      <c r="P150" s="161" t="s">
        <v>247</v>
      </c>
      <c r="Q150" s="162" t="s">
        <v>327</v>
      </c>
      <c r="R150" s="161" t="s">
        <v>46</v>
      </c>
      <c r="S150" s="194">
        <v>1</v>
      </c>
      <c r="T150" s="164">
        <v>0</v>
      </c>
      <c r="U150" s="236">
        <v>8912.616229840698</v>
      </c>
      <c r="V150" s="165">
        <f t="shared" si="22"/>
        <v>8912.616229840698</v>
      </c>
      <c r="Y150" s="61"/>
      <c r="Z150" s="410"/>
      <c r="AA150" s="38" t="s">
        <v>247</v>
      </c>
      <c r="AB150" s="39" t="s">
        <v>353</v>
      </c>
      <c r="AC150" s="161" t="s">
        <v>206</v>
      </c>
      <c r="AD150" s="40"/>
      <c r="AE150" s="41"/>
      <c r="AF150" s="42"/>
      <c r="AG150" s="66"/>
    </row>
    <row r="151" spans="2:33" x14ac:dyDescent="0.35">
      <c r="B151" s="61"/>
      <c r="C151" s="106"/>
      <c r="D151" s="38" t="s">
        <v>248</v>
      </c>
      <c r="E151" s="39" t="s">
        <v>273</v>
      </c>
      <c r="F151" s="38" t="s">
        <v>228</v>
      </c>
      <c r="G151" s="40">
        <v>1.46</v>
      </c>
      <c r="H151" s="252">
        <v>350</v>
      </c>
      <c r="I151" s="252">
        <v>150</v>
      </c>
      <c r="J151" s="66">
        <f t="shared" si="24"/>
        <v>730</v>
      </c>
      <c r="K151" s="248" t="s">
        <v>427</v>
      </c>
      <c r="N151" s="184"/>
      <c r="O151" s="429"/>
      <c r="P151" s="161" t="s">
        <v>248</v>
      </c>
      <c r="Q151" s="162" t="s">
        <v>328</v>
      </c>
      <c r="R151" s="161"/>
      <c r="S151" s="194"/>
      <c r="T151" s="164">
        <v>0</v>
      </c>
      <c r="U151" s="164">
        <v>0</v>
      </c>
      <c r="V151" s="165">
        <f t="shared" si="22"/>
        <v>0</v>
      </c>
      <c r="Y151" s="61"/>
      <c r="Z151" s="410"/>
      <c r="AA151" s="38" t="s">
        <v>248</v>
      </c>
      <c r="AB151" s="63" t="s">
        <v>348</v>
      </c>
      <c r="AC151" s="161" t="s">
        <v>206</v>
      </c>
      <c r="AD151" s="40"/>
      <c r="AE151" s="41"/>
      <c r="AF151" s="42"/>
      <c r="AG151" s="66"/>
    </row>
    <row r="152" spans="2:33" ht="26" x14ac:dyDescent="0.35">
      <c r="B152" s="61"/>
      <c r="C152" s="106"/>
      <c r="D152" s="38" t="s">
        <v>249</v>
      </c>
      <c r="E152" s="63" t="s">
        <v>256</v>
      </c>
      <c r="F152" s="38" t="s">
        <v>239</v>
      </c>
      <c r="G152" s="40">
        <v>164.69</v>
      </c>
      <c r="H152" s="252">
        <v>90</v>
      </c>
      <c r="I152" s="252">
        <v>30</v>
      </c>
      <c r="J152" s="66">
        <f t="shared" si="24"/>
        <v>19762.8</v>
      </c>
      <c r="K152" s="248" t="s">
        <v>433</v>
      </c>
      <c r="N152" s="184" t="s">
        <v>32</v>
      </c>
      <c r="O152" s="429"/>
      <c r="P152" s="161" t="s">
        <v>249</v>
      </c>
      <c r="Q152" s="162" t="s">
        <v>330</v>
      </c>
      <c r="R152" s="161" t="s">
        <v>79</v>
      </c>
      <c r="S152" s="194">
        <v>65.23</v>
      </c>
      <c r="T152" s="236">
        <v>130.86621045373514</v>
      </c>
      <c r="U152" s="236">
        <v>50.929235599089708</v>
      </c>
      <c r="V152" s="165">
        <f t="shared" si="22"/>
        <v>11858.516946025766</v>
      </c>
      <c r="W152" s="458" t="s">
        <v>436</v>
      </c>
      <c r="Y152" s="61"/>
      <c r="Z152" s="410"/>
      <c r="AA152" s="38" t="s">
        <v>249</v>
      </c>
      <c r="AB152" s="39" t="s">
        <v>268</v>
      </c>
      <c r="AC152" s="161" t="s">
        <v>206</v>
      </c>
      <c r="AD152" s="40"/>
      <c r="AE152" s="41"/>
      <c r="AF152" s="42"/>
      <c r="AG152" s="66"/>
    </row>
    <row r="153" spans="2:33" ht="39" x14ac:dyDescent="0.35">
      <c r="B153" s="61"/>
      <c r="C153" s="106"/>
      <c r="D153" s="38" t="s">
        <v>250</v>
      </c>
      <c r="E153" s="63" t="s">
        <v>257</v>
      </c>
      <c r="F153" s="38" t="s">
        <v>239</v>
      </c>
      <c r="G153" s="40">
        <v>160.25</v>
      </c>
      <c r="H153" s="252">
        <v>30</v>
      </c>
      <c r="I153" s="252">
        <v>25</v>
      </c>
      <c r="J153" s="66">
        <f t="shared" si="24"/>
        <v>8813.75</v>
      </c>
      <c r="K153" s="248" t="s">
        <v>434</v>
      </c>
      <c r="N153" s="184" t="s">
        <v>32</v>
      </c>
      <c r="O153" s="429"/>
      <c r="P153" s="161" t="s">
        <v>250</v>
      </c>
      <c r="Q153" s="162" t="s">
        <v>332</v>
      </c>
      <c r="R153" s="161" t="s">
        <v>79</v>
      </c>
      <c r="S153" s="194">
        <v>13.76</v>
      </c>
      <c r="T153" s="236">
        <v>169.27299106833846</v>
      </c>
      <c r="U153" s="236">
        <v>50.929235599089708</v>
      </c>
      <c r="V153" s="165">
        <f t="shared" si="22"/>
        <v>3029.9826389438113</v>
      </c>
      <c r="W153" s="458"/>
      <c r="Y153" s="61"/>
      <c r="Z153" s="410"/>
      <c r="AA153" s="38" t="s">
        <v>250</v>
      </c>
      <c r="AB153" s="39" t="s">
        <v>281</v>
      </c>
      <c r="AC153" s="38" t="s">
        <v>275</v>
      </c>
      <c r="AD153" s="40"/>
      <c r="AE153" s="41"/>
      <c r="AF153" s="42"/>
      <c r="AG153" s="66"/>
    </row>
    <row r="154" spans="2:33" ht="26" x14ac:dyDescent="0.35">
      <c r="B154" s="61"/>
      <c r="C154" s="106"/>
      <c r="D154" s="38" t="s">
        <v>251</v>
      </c>
      <c r="E154" s="39" t="s">
        <v>259</v>
      </c>
      <c r="F154" s="38" t="s">
        <v>228</v>
      </c>
      <c r="G154" s="44">
        <v>32.69</v>
      </c>
      <c r="H154" s="252">
        <v>450</v>
      </c>
      <c r="I154" s="69"/>
      <c r="J154" s="66">
        <f t="shared" si="24"/>
        <v>14710.499999999998</v>
      </c>
      <c r="N154" s="184" t="s">
        <v>32</v>
      </c>
      <c r="O154" s="429"/>
      <c r="P154" s="161" t="s">
        <v>251</v>
      </c>
      <c r="Q154" s="162" t="s">
        <v>334</v>
      </c>
      <c r="R154" s="161" t="s">
        <v>79</v>
      </c>
      <c r="S154" s="194">
        <v>44.8</v>
      </c>
      <c r="T154" s="164">
        <v>31.830772249431067</v>
      </c>
      <c r="U154" s="164">
        <v>22.918156019590366</v>
      </c>
      <c r="V154" s="165">
        <f t="shared" si="22"/>
        <v>2452.7519864521601</v>
      </c>
      <c r="Y154" s="61"/>
      <c r="Z154" s="410"/>
      <c r="AA154" s="38" t="s">
        <v>251</v>
      </c>
      <c r="AB154" s="39" t="s">
        <v>282</v>
      </c>
      <c r="AC154" s="38" t="s">
        <v>228</v>
      </c>
      <c r="AD154" s="40"/>
      <c r="AE154" s="41"/>
      <c r="AF154" s="42"/>
      <c r="AG154" s="66"/>
    </row>
    <row r="155" spans="2:33" x14ac:dyDescent="0.35">
      <c r="B155" s="61"/>
      <c r="C155" s="106"/>
      <c r="D155" s="38" t="s">
        <v>252</v>
      </c>
      <c r="E155" s="39" t="s">
        <v>260</v>
      </c>
      <c r="F155" s="38" t="s">
        <v>228</v>
      </c>
      <c r="G155" s="40">
        <v>37.380000000000003</v>
      </c>
      <c r="H155" s="252">
        <v>480</v>
      </c>
      <c r="I155" s="69"/>
      <c r="J155" s="66">
        <f t="shared" si="24"/>
        <v>17942.400000000001</v>
      </c>
      <c r="N155" s="184" t="s">
        <v>32</v>
      </c>
      <c r="O155" s="429"/>
      <c r="P155" s="161" t="s">
        <v>252</v>
      </c>
      <c r="Q155" s="162" t="s">
        <v>336</v>
      </c>
      <c r="R155" s="161" t="s">
        <v>79</v>
      </c>
      <c r="S155" s="194"/>
      <c r="T155" s="237">
        <v>0</v>
      </c>
      <c r="U155" s="237">
        <v>0</v>
      </c>
      <c r="V155" s="165">
        <f t="shared" si="22"/>
        <v>0</v>
      </c>
      <c r="W155" s="243" t="s">
        <v>355</v>
      </c>
      <c r="Y155" s="61"/>
      <c r="Z155" s="410"/>
      <c r="AA155" s="38" t="s">
        <v>252</v>
      </c>
      <c r="AB155" s="39" t="s">
        <v>276</v>
      </c>
      <c r="AC155" s="38" t="s">
        <v>275</v>
      </c>
      <c r="AD155" s="40"/>
      <c r="AE155" s="41"/>
      <c r="AF155" s="42"/>
      <c r="AG155" s="66"/>
    </row>
    <row r="156" spans="2:33" x14ac:dyDescent="0.35">
      <c r="B156" s="61"/>
      <c r="C156" s="106"/>
      <c r="D156" s="38" t="s">
        <v>253</v>
      </c>
      <c r="E156" s="39" t="s">
        <v>266</v>
      </c>
      <c r="F156" s="38" t="s">
        <v>46</v>
      </c>
      <c r="G156" s="40">
        <v>1</v>
      </c>
      <c r="H156" s="252">
        <f>(16200*1.35)+5000</f>
        <v>26870</v>
      </c>
      <c r="I156" s="69"/>
      <c r="J156" s="66">
        <f t="shared" si="24"/>
        <v>26870</v>
      </c>
      <c r="N156" s="184" t="s">
        <v>32</v>
      </c>
      <c r="O156" s="429"/>
      <c r="P156" s="161" t="s">
        <v>253</v>
      </c>
      <c r="Q156" s="162" t="s">
        <v>338</v>
      </c>
      <c r="R156" s="161" t="s">
        <v>79</v>
      </c>
      <c r="S156" s="194">
        <v>19.649999999999999</v>
      </c>
      <c r="T156" s="236">
        <v>191.48417799688363</v>
      </c>
      <c r="U156" s="236">
        <v>63.658540458012737</v>
      </c>
      <c r="V156" s="165">
        <f t="shared" si="22"/>
        <v>5013.5544176387129</v>
      </c>
      <c r="Y156" s="61"/>
      <c r="Z156" s="410"/>
      <c r="AA156" s="38" t="s">
        <v>253</v>
      </c>
      <c r="AB156" s="39" t="s">
        <v>283</v>
      </c>
      <c r="AC156" s="38" t="s">
        <v>275</v>
      </c>
      <c r="AD156" s="40"/>
      <c r="AE156" s="41"/>
      <c r="AF156" s="42"/>
      <c r="AG156" s="66"/>
    </row>
    <row r="157" spans="2:33" x14ac:dyDescent="0.35">
      <c r="B157" s="61"/>
      <c r="C157" s="106"/>
      <c r="D157" s="38" t="s">
        <v>261</v>
      </c>
      <c r="E157" s="39" t="s">
        <v>268</v>
      </c>
      <c r="F157" s="38" t="s">
        <v>228</v>
      </c>
      <c r="G157" s="40">
        <v>69.239999999999995</v>
      </c>
      <c r="H157" s="252">
        <v>380</v>
      </c>
      <c r="I157" s="69"/>
      <c r="J157" s="66">
        <f t="shared" si="24"/>
        <v>26311.199999999997</v>
      </c>
      <c r="N157" s="184" t="s">
        <v>32</v>
      </c>
      <c r="O157" s="429"/>
      <c r="P157" s="161" t="s">
        <v>261</v>
      </c>
      <c r="Q157" s="162" t="s">
        <v>340</v>
      </c>
      <c r="R157" s="161" t="s">
        <v>46</v>
      </c>
      <c r="S157" s="194">
        <v>1</v>
      </c>
      <c r="T157" s="236">
        <v>21682.273235719123</v>
      </c>
      <c r="U157" s="164">
        <v>0</v>
      </c>
      <c r="V157" s="165">
        <f t="shared" si="22"/>
        <v>21682.273235719123</v>
      </c>
      <c r="Y157" s="61"/>
      <c r="Z157" s="410"/>
      <c r="AA157" s="38" t="s">
        <v>261</v>
      </c>
      <c r="AB157" s="162" t="s">
        <v>387</v>
      </c>
      <c r="AC157" s="38" t="s">
        <v>275</v>
      </c>
      <c r="AD157" s="40"/>
      <c r="AE157" s="41"/>
      <c r="AF157" s="42"/>
      <c r="AG157" s="66"/>
    </row>
    <row r="158" spans="2:33" x14ac:dyDescent="0.35">
      <c r="B158" s="61"/>
      <c r="C158" s="106"/>
      <c r="D158" s="38" t="s">
        <v>262</v>
      </c>
      <c r="E158" s="39" t="s">
        <v>269</v>
      </c>
      <c r="F158" s="38" t="s">
        <v>228</v>
      </c>
      <c r="G158" s="40">
        <v>39.674999999999997</v>
      </c>
      <c r="H158" s="252">
        <v>380</v>
      </c>
      <c r="I158" s="69"/>
      <c r="J158" s="66">
        <f t="shared" si="24"/>
        <v>15076.499999999998</v>
      </c>
      <c r="N158" s="184" t="s">
        <v>32</v>
      </c>
      <c r="O158" s="429"/>
      <c r="P158" s="161" t="s">
        <v>262</v>
      </c>
      <c r="Q158" s="162" t="s">
        <v>342</v>
      </c>
      <c r="R158" s="161" t="s">
        <v>46</v>
      </c>
      <c r="S158" s="163">
        <v>1</v>
      </c>
      <c r="T158" s="164">
        <v>0</v>
      </c>
      <c r="U158" s="236">
        <v>1527.8770679726913</v>
      </c>
      <c r="V158" s="165">
        <f t="shared" si="22"/>
        <v>1527.8770679726913</v>
      </c>
      <c r="Y158" s="61"/>
      <c r="Z158" s="410"/>
      <c r="AA158" s="38" t="s">
        <v>262</v>
      </c>
      <c r="AB158" s="162" t="s">
        <v>306</v>
      </c>
      <c r="AC158" s="65"/>
      <c r="AD158" s="40"/>
      <c r="AE158" s="41"/>
      <c r="AF158" s="42"/>
      <c r="AG158" s="66"/>
    </row>
    <row r="159" spans="2:33" x14ac:dyDescent="0.35">
      <c r="B159" s="61"/>
      <c r="C159" s="106"/>
      <c r="D159" s="38" t="s">
        <v>264</v>
      </c>
      <c r="E159" s="39" t="s">
        <v>281</v>
      </c>
      <c r="F159" s="38" t="s">
        <v>275</v>
      </c>
      <c r="G159" s="40">
        <f>(58.52)*0.15*1.5</f>
        <v>13.167000000000002</v>
      </c>
      <c r="H159" s="252">
        <v>440</v>
      </c>
      <c r="I159" s="252">
        <f>480*1.4</f>
        <v>672</v>
      </c>
      <c r="J159" s="66">
        <f t="shared" si="24"/>
        <v>14641.704000000002</v>
      </c>
      <c r="N159" s="184" t="s">
        <v>32</v>
      </c>
      <c r="O159" s="432"/>
      <c r="P159" s="161" t="s">
        <v>264</v>
      </c>
      <c r="Q159" s="63" t="s">
        <v>227</v>
      </c>
      <c r="R159" s="65" t="s">
        <v>228</v>
      </c>
      <c r="S159" s="323">
        <v>16.799999999999997</v>
      </c>
      <c r="T159" s="322">
        <v>81.950614971762235</v>
      </c>
      <c r="U159" s="322">
        <v>34.384543532176643</v>
      </c>
      <c r="V159" s="165">
        <f t="shared" si="22"/>
        <v>1954.430662866173</v>
      </c>
      <c r="Y159" s="61"/>
      <c r="Z159" s="410"/>
      <c r="AA159" s="38"/>
      <c r="AB159" s="63"/>
      <c r="AC159" s="65"/>
      <c r="AD159" s="40"/>
      <c r="AE159" s="41"/>
      <c r="AF159" s="42"/>
      <c r="AG159" s="66"/>
    </row>
    <row r="160" spans="2:33" x14ac:dyDescent="0.35">
      <c r="B160" s="61"/>
      <c r="C160" s="106"/>
      <c r="D160" s="38" t="s">
        <v>265</v>
      </c>
      <c r="E160" s="39" t="s">
        <v>282</v>
      </c>
      <c r="F160" s="38" t="s">
        <v>228</v>
      </c>
      <c r="G160" s="40">
        <f>50*2*3.1</f>
        <v>310</v>
      </c>
      <c r="H160" s="69">
        <v>80</v>
      </c>
      <c r="I160" s="69"/>
      <c r="J160" s="66">
        <f t="shared" si="24"/>
        <v>24800</v>
      </c>
      <c r="N160" s="184"/>
      <c r="O160" s="221"/>
      <c r="P160" s="161" t="s">
        <v>265</v>
      </c>
      <c r="Q160" s="63" t="s">
        <v>229</v>
      </c>
      <c r="R160" s="62" t="s">
        <v>228</v>
      </c>
      <c r="S160" s="323">
        <v>57.599999999999994</v>
      </c>
      <c r="T160" s="322">
        <v>44.161122157237678</v>
      </c>
      <c r="U160" s="322">
        <v>34.384543532176643</v>
      </c>
      <c r="V160" s="165">
        <f t="shared" si="22"/>
        <v>4524.2303437102646</v>
      </c>
      <c r="Y160" s="61"/>
      <c r="Z160" s="410"/>
      <c r="AA160" s="38"/>
      <c r="AB160" s="63"/>
      <c r="AC160" s="65"/>
      <c r="AD160" s="40"/>
      <c r="AE160" s="41"/>
      <c r="AF160" s="42"/>
      <c r="AG160" s="66"/>
    </row>
    <row r="161" spans="2:33" x14ac:dyDescent="0.35">
      <c r="B161" s="61"/>
      <c r="C161" s="106"/>
      <c r="D161" s="38" t="s">
        <v>267</v>
      </c>
      <c r="E161" s="39" t="s">
        <v>276</v>
      </c>
      <c r="F161" s="38" t="s">
        <v>275</v>
      </c>
      <c r="G161" s="40">
        <f>15.8*1.32*1.5</f>
        <v>31.284000000000002</v>
      </c>
      <c r="H161" s="252">
        <f>300*1.4</f>
        <v>420</v>
      </c>
      <c r="I161" s="252">
        <f>300*1.4</f>
        <v>420</v>
      </c>
      <c r="J161" s="66">
        <f t="shared" si="24"/>
        <v>26278.560000000001</v>
      </c>
      <c r="N161" s="184"/>
      <c r="O161" s="221"/>
      <c r="P161" s="161" t="s">
        <v>267</v>
      </c>
      <c r="Q161" s="39" t="s">
        <v>358</v>
      </c>
      <c r="R161" s="38" t="s">
        <v>68</v>
      </c>
      <c r="S161" s="323">
        <v>949.2</v>
      </c>
      <c r="T161" s="236">
        <v>119.27519907564481</v>
      </c>
      <c r="U161" s="236">
        <v>43.773677997417607</v>
      </c>
      <c r="V161" s="165">
        <f t="shared" si="22"/>
        <v>154765.99411775084</v>
      </c>
      <c r="Y161" s="61"/>
      <c r="Z161" s="410"/>
      <c r="AA161" s="38"/>
      <c r="AB161" s="63"/>
      <c r="AC161" s="65"/>
      <c r="AD161" s="40"/>
      <c r="AE161" s="41"/>
      <c r="AF161" s="42"/>
      <c r="AG161" s="66"/>
    </row>
    <row r="162" spans="2:33" x14ac:dyDescent="0.35">
      <c r="B162" s="61"/>
      <c r="C162" s="106"/>
      <c r="D162" s="38" t="s">
        <v>270</v>
      </c>
      <c r="E162" s="39" t="s">
        <v>283</v>
      </c>
      <c r="F162" s="38" t="s">
        <v>275</v>
      </c>
      <c r="G162" s="40">
        <v>6</v>
      </c>
      <c r="H162" s="252">
        <f>930*1.4</f>
        <v>1302</v>
      </c>
      <c r="I162" s="252">
        <f>620*1.4</f>
        <v>868</v>
      </c>
      <c r="J162" s="66">
        <f t="shared" si="24"/>
        <v>13020</v>
      </c>
      <c r="N162" s="184"/>
      <c r="O162" s="221"/>
      <c r="P162" s="161" t="s">
        <v>270</v>
      </c>
      <c r="Q162" s="39" t="s">
        <v>352</v>
      </c>
      <c r="R162" s="161" t="s">
        <v>206</v>
      </c>
      <c r="S162" s="343">
        <v>69.330600000000004</v>
      </c>
      <c r="T162" s="236">
        <v>1260.4985810774701</v>
      </c>
      <c r="U162" s="236">
        <v>840.33238738498017</v>
      </c>
      <c r="V162" s="165">
        <f t="shared" si="22"/>
        <v>145651.87154208275</v>
      </c>
      <c r="Y162" s="61"/>
      <c r="Z162" s="410"/>
      <c r="AA162" s="38"/>
      <c r="AB162" s="63"/>
      <c r="AC162" s="65"/>
      <c r="AD162" s="40"/>
      <c r="AE162" s="41"/>
      <c r="AF162" s="42"/>
      <c r="AG162" s="66"/>
    </row>
    <row r="163" spans="2:33" x14ac:dyDescent="0.35">
      <c r="B163" s="61"/>
      <c r="C163" s="106"/>
      <c r="D163" s="38" t="s">
        <v>271</v>
      </c>
      <c r="E163" s="39" t="s">
        <v>288</v>
      </c>
      <c r="F163" s="38" t="s">
        <v>289</v>
      </c>
      <c r="G163" s="40">
        <v>61</v>
      </c>
      <c r="H163" s="252">
        <v>180</v>
      </c>
      <c r="I163" s="69"/>
      <c r="J163" s="66">
        <f t="shared" si="24"/>
        <v>10980</v>
      </c>
      <c r="N163" s="184"/>
      <c r="O163" s="221"/>
      <c r="P163" s="161" t="s">
        <v>271</v>
      </c>
      <c r="Q163" s="39" t="s">
        <v>353</v>
      </c>
      <c r="R163" s="161" t="s">
        <v>206</v>
      </c>
      <c r="S163" s="343">
        <v>34.353000000000002</v>
      </c>
      <c r="T163" s="236">
        <v>1388.6238055358799</v>
      </c>
      <c r="U163" s="236">
        <v>270.1413979264716</v>
      </c>
      <c r="V163" s="165">
        <f t="shared" si="22"/>
        <v>56983.561034542166</v>
      </c>
      <c r="Y163" s="61"/>
      <c r="Z163" s="410"/>
      <c r="AA163" s="38"/>
      <c r="AB163" s="63"/>
      <c r="AC163" s="65"/>
      <c r="AD163" s="40"/>
      <c r="AE163" s="41"/>
      <c r="AF163" s="42"/>
      <c r="AG163" s="66"/>
    </row>
    <row r="164" spans="2:33" x14ac:dyDescent="0.35">
      <c r="B164" s="61"/>
      <c r="C164" s="106"/>
      <c r="D164" s="38" t="s">
        <v>277</v>
      </c>
      <c r="E164" s="63" t="s">
        <v>377</v>
      </c>
      <c r="F164" s="62" t="s">
        <v>79</v>
      </c>
      <c r="G164" s="44">
        <v>35</v>
      </c>
      <c r="H164" s="252">
        <v>200</v>
      </c>
      <c r="I164" s="324"/>
      <c r="J164" s="66">
        <f t="shared" si="24"/>
        <v>7000</v>
      </c>
      <c r="N164" s="184"/>
      <c r="O164" s="221"/>
      <c r="P164" s="161" t="s">
        <v>277</v>
      </c>
      <c r="Q164" s="63" t="s">
        <v>348</v>
      </c>
      <c r="R164" s="161" t="s">
        <v>206</v>
      </c>
      <c r="S164" s="323">
        <v>8.43</v>
      </c>
      <c r="T164" s="236">
        <v>1260.4985810774701</v>
      </c>
      <c r="U164" s="236">
        <v>840.33238738498017</v>
      </c>
      <c r="V164" s="165">
        <f t="shared" si="22"/>
        <v>17710.005064138455</v>
      </c>
      <c r="Y164" s="61"/>
      <c r="Z164" s="410"/>
      <c r="AA164" s="38"/>
      <c r="AB164" s="63"/>
      <c r="AC164" s="65"/>
      <c r="AD164" s="40"/>
      <c r="AE164" s="41"/>
      <c r="AF164" s="42"/>
      <c r="AG164" s="66"/>
    </row>
    <row r="165" spans="2:33" x14ac:dyDescent="0.35">
      <c r="B165" s="61"/>
      <c r="C165" s="106"/>
      <c r="D165" s="38" t="s">
        <v>290</v>
      </c>
      <c r="E165" s="63" t="s">
        <v>349</v>
      </c>
      <c r="F165" s="62" t="s">
        <v>79</v>
      </c>
      <c r="G165" s="40">
        <v>833</v>
      </c>
      <c r="H165" s="238">
        <v>19</v>
      </c>
      <c r="I165" s="246">
        <v>32.5</v>
      </c>
      <c r="J165" s="66">
        <f t="shared" si="24"/>
        <v>42899.5</v>
      </c>
      <c r="N165" s="184"/>
      <c r="O165" s="221"/>
      <c r="P165" s="161" t="s">
        <v>290</v>
      </c>
      <c r="Q165" s="39" t="s">
        <v>268</v>
      </c>
      <c r="R165" s="161" t="s">
        <v>206</v>
      </c>
      <c r="S165" s="323">
        <v>77.260000000000005</v>
      </c>
      <c r="T165" s="236">
        <v>223.38835964650721</v>
      </c>
      <c r="U165" s="236">
        <v>67.016507893952166</v>
      </c>
      <c r="V165" s="165">
        <f t="shared" si="22"/>
        <v>22436.68006617589</v>
      </c>
      <c r="Y165" s="61"/>
      <c r="Z165" s="410"/>
      <c r="AA165" s="38"/>
      <c r="AB165" s="63"/>
      <c r="AC165" s="65"/>
      <c r="AD165" s="40"/>
      <c r="AE165" s="41"/>
      <c r="AF165" s="42"/>
      <c r="AG165" s="66"/>
    </row>
    <row r="166" spans="2:33" x14ac:dyDescent="0.35">
      <c r="B166" s="61"/>
      <c r="C166" s="106"/>
      <c r="D166" s="38" t="s">
        <v>291</v>
      </c>
      <c r="E166" s="39" t="s">
        <v>350</v>
      </c>
      <c r="F166" s="62" t="s">
        <v>79</v>
      </c>
      <c r="G166" s="40">
        <v>6</v>
      </c>
      <c r="H166" s="115">
        <v>19</v>
      </c>
      <c r="I166" s="328">
        <v>32.5</v>
      </c>
      <c r="J166" s="66">
        <f t="shared" si="24"/>
        <v>309</v>
      </c>
      <c r="N166" s="184"/>
      <c r="O166" s="221"/>
      <c r="P166" s="161" t="s">
        <v>291</v>
      </c>
      <c r="Q166" s="39" t="s">
        <v>281</v>
      </c>
      <c r="R166" s="38" t="s">
        <v>275</v>
      </c>
      <c r="S166" s="323">
        <v>4.74</v>
      </c>
      <c r="T166" s="322">
        <v>218.6799518153714</v>
      </c>
      <c r="U166" s="236">
        <v>154.43027999163021</v>
      </c>
      <c r="V166" s="165">
        <f t="shared" si="22"/>
        <v>1768.5424987651877</v>
      </c>
      <c r="Y166" s="61"/>
      <c r="Z166" s="410"/>
      <c r="AA166" s="38"/>
      <c r="AB166" s="63"/>
      <c r="AC166" s="65"/>
      <c r="AD166" s="40"/>
      <c r="AE166" s="41"/>
      <c r="AF166" s="42"/>
      <c r="AG166" s="66"/>
    </row>
    <row r="167" spans="2:33" x14ac:dyDescent="0.35">
      <c r="B167" s="61"/>
      <c r="C167" s="106"/>
      <c r="D167" s="38" t="s">
        <v>292</v>
      </c>
      <c r="E167" s="39" t="s">
        <v>351</v>
      </c>
      <c r="F167" s="62" t="s">
        <v>79</v>
      </c>
      <c r="G167" s="44">
        <v>103.3</v>
      </c>
      <c r="H167" s="252">
        <f>65*1.3</f>
        <v>84.5</v>
      </c>
      <c r="I167" s="252">
        <v>45</v>
      </c>
      <c r="J167" s="66">
        <f t="shared" si="24"/>
        <v>13377.35</v>
      </c>
      <c r="K167" s="120"/>
      <c r="N167" s="184"/>
      <c r="O167" s="221"/>
      <c r="P167" s="161" t="s">
        <v>292</v>
      </c>
      <c r="Q167" s="39" t="s">
        <v>282</v>
      </c>
      <c r="R167" s="38" t="s">
        <v>228</v>
      </c>
      <c r="S167" s="323">
        <v>284.69</v>
      </c>
      <c r="T167" s="236">
        <v>152.90472481843642</v>
      </c>
      <c r="U167" s="236">
        <v>35.960622836773176</v>
      </c>
      <c r="V167" s="165">
        <f t="shared" si="22"/>
        <v>53768.075823961626</v>
      </c>
      <c r="Y167" s="61"/>
      <c r="Z167" s="410"/>
      <c r="AA167" s="38"/>
      <c r="AB167" s="63"/>
      <c r="AC167" s="65"/>
      <c r="AD167" s="40"/>
      <c r="AE167" s="41"/>
      <c r="AF167" s="42"/>
      <c r="AG167" s="66"/>
    </row>
    <row r="168" spans="2:33" x14ac:dyDescent="0.35">
      <c r="B168" s="61"/>
      <c r="C168" s="106"/>
      <c r="D168" s="38" t="s">
        <v>293</v>
      </c>
      <c r="E168" s="39" t="s">
        <v>352</v>
      </c>
      <c r="F168" s="62" t="s">
        <v>79</v>
      </c>
      <c r="G168" s="44">
        <v>67</v>
      </c>
      <c r="H168" s="252">
        <v>350</v>
      </c>
      <c r="I168" s="252">
        <v>50</v>
      </c>
      <c r="J168" s="66">
        <f t="shared" si="24"/>
        <v>26800</v>
      </c>
      <c r="K168" s="120"/>
      <c r="N168" s="184"/>
      <c r="O168" s="221"/>
      <c r="P168" s="161" t="s">
        <v>293</v>
      </c>
      <c r="Q168" s="39" t="s">
        <v>276</v>
      </c>
      <c r="R168" s="38" t="s">
        <v>275</v>
      </c>
      <c r="S168" s="323">
        <v>18.96</v>
      </c>
      <c r="T168" s="322">
        <v>0</v>
      </c>
      <c r="U168" s="236">
        <v>89.126162298406982</v>
      </c>
      <c r="V168" s="165">
        <f t="shared" si="22"/>
        <v>1689.8320371777963</v>
      </c>
      <c r="Y168" s="61"/>
      <c r="Z168" s="410"/>
      <c r="AA168" s="38"/>
      <c r="AB168" s="63"/>
      <c r="AC168" s="65"/>
      <c r="AD168" s="40"/>
      <c r="AE168" s="41"/>
      <c r="AF168" s="42"/>
      <c r="AG168" s="66"/>
    </row>
    <row r="169" spans="2:33" x14ac:dyDescent="0.35">
      <c r="B169" s="61"/>
      <c r="C169" s="106"/>
      <c r="D169" s="38" t="s">
        <v>430</v>
      </c>
      <c r="E169" s="39" t="s">
        <v>353</v>
      </c>
      <c r="F169" s="62" t="s">
        <v>68</v>
      </c>
      <c r="G169" s="44">
        <v>30</v>
      </c>
      <c r="H169" s="252">
        <v>850</v>
      </c>
      <c r="I169" s="324"/>
      <c r="J169" s="66">
        <f t="shared" si="24"/>
        <v>25500</v>
      </c>
      <c r="K169" s="120"/>
      <c r="N169" s="184"/>
      <c r="O169" s="221"/>
      <c r="P169" s="161" t="s">
        <v>430</v>
      </c>
      <c r="Q169" s="39" t="s">
        <v>283</v>
      </c>
      <c r="R169" s="38" t="s">
        <v>275</v>
      </c>
      <c r="S169" s="343">
        <v>10.0464</v>
      </c>
      <c r="T169" s="236">
        <v>1355.1875273311146</v>
      </c>
      <c r="U169" s="236">
        <v>150.86428895439067</v>
      </c>
      <c r="V169" s="165">
        <f t="shared" si="22"/>
        <v>15130.398967130701</v>
      </c>
      <c r="Y169" s="61"/>
      <c r="Z169" s="410"/>
      <c r="AA169" s="38"/>
      <c r="AB169" s="63"/>
      <c r="AC169" s="65"/>
      <c r="AD169" s="40"/>
      <c r="AE169" s="41"/>
      <c r="AF169" s="42"/>
      <c r="AG169" s="66"/>
    </row>
    <row r="170" spans="2:33" x14ac:dyDescent="0.35">
      <c r="B170" s="61"/>
      <c r="C170" s="106"/>
      <c r="D170" s="38" t="s">
        <v>431</v>
      </c>
      <c r="E170" s="162" t="s">
        <v>306</v>
      </c>
      <c r="F170" s="190" t="s">
        <v>103</v>
      </c>
      <c r="G170" s="163">
        <v>9</v>
      </c>
      <c r="H170" s="252">
        <v>200</v>
      </c>
      <c r="I170" s="324"/>
      <c r="J170" s="66">
        <f t="shared" si="24"/>
        <v>1800</v>
      </c>
      <c r="K170" s="120"/>
      <c r="N170" s="184"/>
      <c r="O170" s="221"/>
      <c r="P170" s="161" t="s">
        <v>431</v>
      </c>
      <c r="Q170" s="162" t="s">
        <v>387</v>
      </c>
      <c r="R170" s="38" t="s">
        <v>275</v>
      </c>
      <c r="S170" s="163">
        <v>16.32</v>
      </c>
      <c r="T170" s="236">
        <v>795.42553389548277</v>
      </c>
      <c r="U170" s="236">
        <v>54.634337488923485</v>
      </c>
      <c r="V170" s="165">
        <f t="shared" si="22"/>
        <v>13872.97710099351</v>
      </c>
      <c r="Y170" s="61"/>
      <c r="Z170" s="411"/>
      <c r="AA170" s="38"/>
      <c r="AB170" s="39"/>
      <c r="AC170" s="38"/>
      <c r="AD170" s="40"/>
      <c r="AE170" s="69"/>
      <c r="AF170" s="69"/>
      <c r="AG170" s="66">
        <f>AD170*AE170+AF170*AD170</f>
        <v>0</v>
      </c>
    </row>
    <row r="171" spans="2:33" ht="29" x14ac:dyDescent="0.35">
      <c r="B171" s="61"/>
      <c r="C171" s="106"/>
      <c r="D171" s="38" t="s">
        <v>432</v>
      </c>
      <c r="E171" s="39" t="s">
        <v>376</v>
      </c>
      <c r="F171" s="62" t="s">
        <v>228</v>
      </c>
      <c r="G171" s="44">
        <v>17.47</v>
      </c>
      <c r="H171" s="69"/>
      <c r="I171" s="69">
        <v>50</v>
      </c>
      <c r="J171" s="66">
        <f t="shared" si="24"/>
        <v>873.5</v>
      </c>
      <c r="K171" s="117" t="s">
        <v>375</v>
      </c>
      <c r="N171" s="184"/>
      <c r="O171" s="221"/>
      <c r="P171" s="161"/>
      <c r="Q171" s="162"/>
      <c r="R171" s="161"/>
      <c r="S171" s="163"/>
      <c r="T171" s="164"/>
      <c r="U171" s="164"/>
      <c r="V171" s="165"/>
      <c r="Y171" s="73"/>
      <c r="Z171" s="74"/>
      <c r="AA171" s="75"/>
      <c r="AB171" s="73"/>
      <c r="AC171" s="76"/>
      <c r="AD171" s="76"/>
      <c r="AE171" s="76"/>
      <c r="AF171" s="76"/>
      <c r="AG171" s="77">
        <f>SUM(AG137,AG102,AG77,AG45,AG30)</f>
        <v>4387698.5999999996</v>
      </c>
    </row>
    <row r="172" spans="2:33" x14ac:dyDescent="0.35">
      <c r="B172" s="61"/>
      <c r="C172" s="106"/>
      <c r="D172" s="38"/>
      <c r="E172" s="39"/>
      <c r="F172" s="62"/>
      <c r="G172" s="44"/>
      <c r="H172" s="69"/>
      <c r="I172" s="69"/>
      <c r="J172" s="66"/>
      <c r="K172" s="117"/>
      <c r="N172" s="184"/>
      <c r="O172" s="221"/>
      <c r="P172" s="161"/>
      <c r="Q172" s="162"/>
      <c r="R172" s="161"/>
      <c r="S172" s="163"/>
      <c r="T172" s="164"/>
      <c r="U172" s="164"/>
      <c r="V172" s="165"/>
      <c r="Y172" s="78"/>
      <c r="Z172" s="79"/>
      <c r="AA172" s="80"/>
      <c r="AB172" s="78"/>
      <c r="AC172" s="81"/>
      <c r="AD172" s="81"/>
      <c r="AE172" s="81"/>
      <c r="AF172" s="81"/>
      <c r="AG172" s="82"/>
    </row>
    <row r="173" spans="2:33" x14ac:dyDescent="0.35">
      <c r="B173" s="61"/>
      <c r="C173" s="106"/>
      <c r="D173" s="38"/>
      <c r="E173" s="39"/>
      <c r="F173" s="62"/>
      <c r="G173" s="44"/>
      <c r="H173" s="69"/>
      <c r="I173" s="69"/>
      <c r="J173" s="66"/>
      <c r="K173" s="117"/>
      <c r="N173" s="184"/>
      <c r="O173" s="221"/>
      <c r="P173" s="161"/>
      <c r="Q173" s="162"/>
      <c r="R173" s="161"/>
      <c r="S173" s="163"/>
      <c r="T173" s="164"/>
      <c r="U173" s="164"/>
      <c r="V173" s="165"/>
      <c r="Y173" s="78"/>
      <c r="Z173" s="79"/>
      <c r="AA173" s="80"/>
      <c r="AB173" s="78"/>
      <c r="AC173" s="81"/>
      <c r="AD173" s="81"/>
      <c r="AE173" s="81"/>
      <c r="AF173" s="81"/>
      <c r="AG173" s="82"/>
    </row>
    <row r="174" spans="2:33" x14ac:dyDescent="0.35">
      <c r="B174" s="61"/>
      <c r="C174" s="106"/>
      <c r="D174" s="38"/>
      <c r="E174" s="39"/>
      <c r="F174" s="62"/>
      <c r="G174" s="44"/>
      <c r="H174" s="69"/>
      <c r="I174" s="69"/>
      <c r="J174" s="66"/>
      <c r="K174" s="117"/>
      <c r="N174" s="184"/>
      <c r="O174" s="221"/>
      <c r="P174" s="161"/>
      <c r="Q174" s="162"/>
      <c r="R174" s="161"/>
      <c r="S174" s="163"/>
      <c r="T174" s="164"/>
      <c r="U174" s="164"/>
      <c r="V174" s="165"/>
      <c r="Y174" s="78"/>
      <c r="Z174" s="79"/>
      <c r="AA174" s="80"/>
      <c r="AB174" s="78"/>
      <c r="AC174" s="81"/>
      <c r="AD174" s="81"/>
      <c r="AE174" s="81"/>
      <c r="AF174" s="81"/>
      <c r="AG174" s="82"/>
    </row>
    <row r="175" spans="2:33" ht="30" x14ac:dyDescent="0.35">
      <c r="B175" s="61"/>
      <c r="C175" s="106"/>
      <c r="D175" s="38"/>
      <c r="E175" s="39"/>
      <c r="F175" s="62"/>
      <c r="G175" s="44"/>
      <c r="H175" s="69"/>
      <c r="I175" s="69"/>
      <c r="J175" s="66"/>
      <c r="K175" s="117"/>
      <c r="N175" s="184"/>
      <c r="O175" s="221"/>
      <c r="P175" s="161"/>
      <c r="Q175" s="162"/>
      <c r="R175" s="161"/>
      <c r="S175" s="163"/>
      <c r="T175" s="164"/>
      <c r="U175" s="164"/>
      <c r="V175" s="165"/>
      <c r="Y175" s="83"/>
      <c r="Z175" s="84"/>
      <c r="AA175" s="84"/>
      <c r="AB175" s="85" t="s">
        <v>12</v>
      </c>
      <c r="AC175" s="86" t="s">
        <v>208</v>
      </c>
      <c r="AD175" s="87" t="s">
        <v>209</v>
      </c>
      <c r="AE175" s="86" t="s">
        <v>210</v>
      </c>
      <c r="AF175" s="86" t="s">
        <v>211</v>
      </c>
      <c r="AG175" s="86" t="s">
        <v>212</v>
      </c>
    </row>
    <row r="176" spans="2:33" ht="15" x14ac:dyDescent="0.35">
      <c r="B176" s="61"/>
      <c r="C176" s="106"/>
      <c r="D176" s="38"/>
      <c r="E176" s="39"/>
      <c r="F176" s="62"/>
      <c r="G176" s="44"/>
      <c r="H176" s="69"/>
      <c r="I176" s="69"/>
      <c r="J176" s="66"/>
      <c r="K176" s="117"/>
      <c r="N176" s="184"/>
      <c r="O176" s="221"/>
      <c r="P176" s="161"/>
      <c r="Q176" s="162"/>
      <c r="R176" s="161"/>
      <c r="S176" s="163"/>
      <c r="T176" s="164"/>
      <c r="U176" s="164"/>
      <c r="V176" s="165"/>
      <c r="Y176" s="88"/>
      <c r="Z176" s="88"/>
      <c r="AA176" s="88"/>
      <c r="AB176" s="89" t="s">
        <v>213</v>
      </c>
      <c r="AC176" s="90"/>
      <c r="AD176" s="91"/>
      <c r="AE176" s="90"/>
      <c r="AF176" s="90"/>
      <c r="AG176" s="90"/>
    </row>
    <row r="177" spans="2:33" ht="15" x14ac:dyDescent="0.4">
      <c r="B177" s="61"/>
      <c r="C177" s="106"/>
      <c r="D177" s="38"/>
      <c r="E177" s="39"/>
      <c r="F177" s="62"/>
      <c r="G177" s="44"/>
      <c r="H177" s="69"/>
      <c r="I177" s="69"/>
      <c r="J177" s="66"/>
      <c r="K177" s="117"/>
      <c r="N177" s="184"/>
      <c r="O177" s="221"/>
      <c r="P177" s="161"/>
      <c r="Q177" s="162"/>
      <c r="R177" s="161"/>
      <c r="S177" s="163"/>
      <c r="T177" s="164"/>
      <c r="U177" s="164"/>
      <c r="V177" s="165"/>
      <c r="Y177" s="92"/>
      <c r="Z177" s="92"/>
      <c r="AA177" s="92"/>
      <c r="AB177" s="93" t="s">
        <v>214</v>
      </c>
      <c r="AC177" s="92" t="s">
        <v>215</v>
      </c>
      <c r="AD177" s="94">
        <v>20000</v>
      </c>
      <c r="AE177" s="95"/>
      <c r="AF177" s="95"/>
      <c r="AG177" s="95"/>
    </row>
    <row r="178" spans="2:33" ht="15" x14ac:dyDescent="0.4">
      <c r="B178" s="61"/>
      <c r="C178" s="106"/>
      <c r="D178" s="38"/>
      <c r="E178" s="39"/>
      <c r="F178" s="62"/>
      <c r="G178" s="44"/>
      <c r="H178" s="69"/>
      <c r="I178" s="69"/>
      <c r="J178" s="66"/>
      <c r="K178" s="117"/>
      <c r="N178" s="184"/>
      <c r="O178" s="221"/>
      <c r="P178" s="161"/>
      <c r="Q178" s="162"/>
      <c r="R178" s="161"/>
      <c r="S178" s="163"/>
      <c r="T178" s="164"/>
      <c r="U178" s="164"/>
      <c r="V178" s="165"/>
      <c r="Y178" s="92"/>
      <c r="Z178" s="92"/>
      <c r="AA178" s="92"/>
      <c r="AB178" s="93" t="s">
        <v>216</v>
      </c>
      <c r="AC178" s="92" t="s">
        <v>217</v>
      </c>
      <c r="AD178" s="94">
        <v>90</v>
      </c>
      <c r="AE178" s="95">
        <f t="shared" ref="AE178:AE184" si="25">AD178*1.6</f>
        <v>144</v>
      </c>
      <c r="AF178" s="95">
        <f t="shared" ref="AF178:AF184" si="26">AD178*2</f>
        <v>180</v>
      </c>
      <c r="AG178" s="95">
        <f t="shared" ref="AG178:AG184" si="27">AD178*1.2</f>
        <v>108</v>
      </c>
    </row>
    <row r="179" spans="2:33" ht="15" x14ac:dyDescent="0.4">
      <c r="B179" s="61"/>
      <c r="C179" s="106"/>
      <c r="D179" s="38"/>
      <c r="E179" s="39"/>
      <c r="F179" s="62"/>
      <c r="G179" s="44"/>
      <c r="H179" s="69"/>
      <c r="I179" s="69"/>
      <c r="J179" s="66"/>
      <c r="K179" s="117"/>
      <c r="N179" s="184"/>
      <c r="O179" s="221"/>
      <c r="P179" s="161"/>
      <c r="Q179" s="162"/>
      <c r="R179" s="161"/>
      <c r="S179" s="163"/>
      <c r="T179" s="164"/>
      <c r="U179" s="164"/>
      <c r="V179" s="165"/>
      <c r="Y179" s="92"/>
      <c r="Z179" s="92"/>
      <c r="AA179" s="92"/>
      <c r="AB179" s="93" t="s">
        <v>218</v>
      </c>
      <c r="AC179" s="92" t="s">
        <v>217</v>
      </c>
      <c r="AD179" s="94">
        <v>70</v>
      </c>
      <c r="AE179" s="95">
        <f t="shared" si="25"/>
        <v>112</v>
      </c>
      <c r="AF179" s="95">
        <f t="shared" si="26"/>
        <v>140</v>
      </c>
      <c r="AG179" s="95">
        <f t="shared" si="27"/>
        <v>84</v>
      </c>
    </row>
    <row r="180" spans="2:33" ht="15" x14ac:dyDescent="0.4">
      <c r="B180" s="61"/>
      <c r="C180" s="106"/>
      <c r="D180" s="38"/>
      <c r="E180" s="39"/>
      <c r="F180" s="62"/>
      <c r="G180" s="44"/>
      <c r="H180" s="69"/>
      <c r="I180" s="69"/>
      <c r="J180" s="66"/>
      <c r="K180" s="117"/>
      <c r="N180" s="184"/>
      <c r="O180" s="221"/>
      <c r="P180" s="161"/>
      <c r="Q180" s="162"/>
      <c r="R180" s="161"/>
      <c r="S180" s="163"/>
      <c r="T180" s="164"/>
      <c r="U180" s="164"/>
      <c r="V180" s="165"/>
      <c r="Y180" s="92"/>
      <c r="Z180" s="92"/>
      <c r="AA180" s="92"/>
      <c r="AB180" s="93" t="s">
        <v>219</v>
      </c>
      <c r="AC180" s="92" t="s">
        <v>217</v>
      </c>
      <c r="AD180" s="94">
        <v>110</v>
      </c>
      <c r="AE180" s="95">
        <f t="shared" si="25"/>
        <v>176</v>
      </c>
      <c r="AF180" s="95">
        <f t="shared" si="26"/>
        <v>220</v>
      </c>
      <c r="AG180" s="95">
        <f t="shared" si="27"/>
        <v>132</v>
      </c>
    </row>
    <row r="181" spans="2:33" ht="15" x14ac:dyDescent="0.4">
      <c r="B181" s="61"/>
      <c r="C181" s="106"/>
      <c r="D181" s="64"/>
      <c r="E181" s="39"/>
      <c r="F181" s="62"/>
      <c r="G181" s="44"/>
      <c r="H181" s="69"/>
      <c r="I181" s="69"/>
      <c r="J181" s="66"/>
      <c r="K181" s="120"/>
      <c r="N181" s="184"/>
      <c r="O181" s="221"/>
      <c r="P181" s="161"/>
      <c r="Q181" s="162"/>
      <c r="R181" s="161"/>
      <c r="S181" s="163"/>
      <c r="T181" s="164"/>
      <c r="U181" s="164"/>
      <c r="V181" s="165"/>
      <c r="Y181" s="92"/>
      <c r="Z181" s="92"/>
      <c r="AA181" s="92"/>
      <c r="AB181" s="93" t="s">
        <v>220</v>
      </c>
      <c r="AC181" s="92" t="s">
        <v>217</v>
      </c>
      <c r="AD181" s="94">
        <v>90</v>
      </c>
      <c r="AE181" s="95">
        <f t="shared" si="25"/>
        <v>144</v>
      </c>
      <c r="AF181" s="95">
        <f t="shared" si="26"/>
        <v>180</v>
      </c>
      <c r="AG181" s="95">
        <f t="shared" si="27"/>
        <v>108</v>
      </c>
    </row>
    <row r="182" spans="2:33" ht="15" x14ac:dyDescent="0.4">
      <c r="B182" s="73"/>
      <c r="C182" s="74"/>
      <c r="D182" s="75"/>
      <c r="E182" s="73"/>
      <c r="F182" s="76"/>
      <c r="G182" s="76"/>
      <c r="H182" s="76"/>
      <c r="I182" s="76"/>
      <c r="J182" s="77">
        <f>SUM(J137,J102,J77,J45,J30)</f>
        <v>3024462.3514999999</v>
      </c>
      <c r="N182" s="184"/>
      <c r="O182" s="221"/>
      <c r="P182" s="161"/>
      <c r="Q182" s="162"/>
      <c r="R182" s="161"/>
      <c r="S182" s="163"/>
      <c r="T182" s="164"/>
      <c r="U182" s="164"/>
      <c r="V182" s="165"/>
      <c r="Y182" s="92"/>
      <c r="Z182" s="92"/>
      <c r="AA182" s="92"/>
      <c r="AB182" s="93" t="s">
        <v>221</v>
      </c>
      <c r="AC182" s="92" t="s">
        <v>217</v>
      </c>
      <c r="AD182" s="94">
        <v>60</v>
      </c>
      <c r="AE182" s="95">
        <f t="shared" si="25"/>
        <v>96</v>
      </c>
      <c r="AF182" s="95">
        <f t="shared" si="26"/>
        <v>120</v>
      </c>
      <c r="AG182" s="95">
        <f t="shared" si="27"/>
        <v>72</v>
      </c>
    </row>
    <row r="183" spans="2:33" ht="15" x14ac:dyDescent="0.4">
      <c r="B183" s="78"/>
      <c r="C183" s="79"/>
      <c r="D183" s="80"/>
      <c r="E183" s="78"/>
      <c r="F183" s="81"/>
      <c r="G183" s="81"/>
      <c r="H183" s="81"/>
      <c r="I183" s="81"/>
      <c r="J183" s="82"/>
      <c r="N183" s="161"/>
      <c r="O183" s="162"/>
      <c r="P183" s="161"/>
      <c r="Q183" s="163"/>
      <c r="R183" s="164"/>
      <c r="S183" s="164"/>
      <c r="T183" s="164"/>
      <c r="U183" s="164"/>
      <c r="V183" s="162"/>
      <c r="Y183" s="92"/>
      <c r="Z183" s="92"/>
      <c r="AA183" s="92"/>
      <c r="AB183" s="93" t="s">
        <v>222</v>
      </c>
      <c r="AC183" s="92" t="s">
        <v>217</v>
      </c>
      <c r="AD183" s="94">
        <v>70</v>
      </c>
      <c r="AE183" s="95">
        <f t="shared" si="25"/>
        <v>112</v>
      </c>
      <c r="AF183" s="95">
        <f t="shared" si="26"/>
        <v>140</v>
      </c>
      <c r="AG183" s="95">
        <f t="shared" si="27"/>
        <v>84</v>
      </c>
    </row>
    <row r="184" spans="2:33" ht="15" x14ac:dyDescent="0.4">
      <c r="B184" s="78"/>
      <c r="C184" s="79"/>
      <c r="D184" s="80"/>
      <c r="E184" s="78"/>
      <c r="F184" s="81"/>
      <c r="G184" s="81"/>
      <c r="H184" s="81"/>
      <c r="I184" s="81"/>
      <c r="J184" s="82"/>
      <c r="N184" s="161"/>
      <c r="O184" s="162"/>
      <c r="P184" s="161"/>
      <c r="Q184" s="163"/>
      <c r="R184" s="164"/>
      <c r="S184" s="164"/>
      <c r="T184" s="165"/>
      <c r="U184" s="161"/>
      <c r="V184" s="162"/>
      <c r="Y184" s="92"/>
      <c r="Z184" s="92"/>
      <c r="AA184" s="92"/>
      <c r="AB184" s="93" t="s">
        <v>223</v>
      </c>
      <c r="AC184" s="92" t="s">
        <v>217</v>
      </c>
      <c r="AD184" s="94">
        <v>70</v>
      </c>
      <c r="AE184" s="95">
        <f t="shared" si="25"/>
        <v>112</v>
      </c>
      <c r="AF184" s="95">
        <f t="shared" si="26"/>
        <v>140</v>
      </c>
      <c r="AG184" s="95">
        <f t="shared" si="27"/>
        <v>84</v>
      </c>
    </row>
    <row r="185" spans="2:33" ht="15" x14ac:dyDescent="0.4">
      <c r="B185" s="78"/>
      <c r="C185" s="79"/>
      <c r="D185" s="80"/>
      <c r="E185" s="78"/>
      <c r="F185" s="81"/>
      <c r="G185" s="81"/>
      <c r="H185" s="81"/>
      <c r="I185" s="81"/>
      <c r="J185" s="82"/>
      <c r="N185" s="433" t="s">
        <v>33</v>
      </c>
      <c r="O185" s="452"/>
      <c r="P185" s="452"/>
      <c r="Q185" s="452"/>
      <c r="R185" s="452"/>
      <c r="S185" s="452"/>
      <c r="T185" s="265"/>
      <c r="U185" s="265"/>
      <c r="V185" s="264">
        <f>SUM(V137,V102,V77,V45,V30)</f>
        <v>5878564.7444475554</v>
      </c>
      <c r="Y185" s="92"/>
      <c r="Z185" s="92"/>
      <c r="AA185" s="92"/>
      <c r="AB185" s="93"/>
      <c r="AC185" s="92"/>
      <c r="AD185" s="96"/>
      <c r="AE185" s="95"/>
      <c r="AF185" s="95"/>
      <c r="AG185" s="95"/>
    </row>
    <row r="186" spans="2:33" ht="30" x14ac:dyDescent="0.4">
      <c r="B186" s="83"/>
      <c r="C186" s="84"/>
      <c r="D186" s="84"/>
      <c r="E186" s="85" t="s">
        <v>12</v>
      </c>
      <c r="F186" s="86" t="s">
        <v>208</v>
      </c>
      <c r="G186" s="87" t="s">
        <v>209</v>
      </c>
      <c r="H186" s="86" t="s">
        <v>210</v>
      </c>
      <c r="I186" s="86" t="s">
        <v>211</v>
      </c>
      <c r="J186" s="86" t="s">
        <v>212</v>
      </c>
      <c r="N186" s="261"/>
      <c r="O186" s="263"/>
      <c r="P186" s="262"/>
      <c r="Q186" s="261"/>
      <c r="R186" s="260"/>
      <c r="S186" s="260"/>
      <c r="T186" s="260"/>
      <c r="U186" s="260"/>
      <c r="V186" s="259"/>
      <c r="Y186" s="97"/>
      <c r="Z186" s="98"/>
      <c r="AA186" s="98"/>
      <c r="AB186" s="98"/>
      <c r="AC186" s="98"/>
      <c r="AD186" s="97"/>
      <c r="AE186" s="98"/>
      <c r="AF186" s="98"/>
      <c r="AG186" s="98"/>
    </row>
    <row r="187" spans="2:33" ht="15" x14ac:dyDescent="0.35">
      <c r="B187" s="88"/>
      <c r="C187" s="88"/>
      <c r="D187" s="88"/>
      <c r="E187" s="89" t="s">
        <v>213</v>
      </c>
      <c r="F187" s="90"/>
      <c r="G187" s="91"/>
      <c r="H187" s="90"/>
      <c r="I187" s="90"/>
      <c r="J187" s="90"/>
      <c r="N187" s="261"/>
      <c r="O187" s="263"/>
      <c r="P187" s="262"/>
      <c r="Q187" s="261"/>
      <c r="R187" s="260"/>
      <c r="S187" s="260"/>
      <c r="T187" s="260"/>
      <c r="U187" s="260"/>
      <c r="V187" s="259"/>
    </row>
    <row r="188" spans="2:33" ht="15" x14ac:dyDescent="0.4">
      <c r="B188" s="92"/>
      <c r="C188" s="92"/>
      <c r="D188" s="92"/>
      <c r="E188" s="93" t="s">
        <v>214</v>
      </c>
      <c r="F188" s="92" t="s">
        <v>215</v>
      </c>
      <c r="G188" s="94"/>
      <c r="H188" s="95"/>
      <c r="I188" s="95"/>
      <c r="J188" s="95"/>
      <c r="N188" s="261"/>
      <c r="O188" s="263"/>
      <c r="P188" s="262"/>
      <c r="Q188" s="261"/>
      <c r="R188" s="260"/>
      <c r="S188" s="260"/>
      <c r="T188" s="260" t="s">
        <v>210</v>
      </c>
      <c r="U188" s="260" t="s">
        <v>211</v>
      </c>
      <c r="V188" s="259"/>
    </row>
    <row r="189" spans="2:33" ht="30" x14ac:dyDescent="0.4">
      <c r="B189" s="92"/>
      <c r="C189" s="92"/>
      <c r="D189" s="92"/>
      <c r="E189" s="93" t="s">
        <v>216</v>
      </c>
      <c r="F189" s="92" t="s">
        <v>217</v>
      </c>
      <c r="G189" s="94"/>
      <c r="H189" s="95">
        <f t="shared" ref="H189:H195" si="28">G189*1.6</f>
        <v>0</v>
      </c>
      <c r="I189" s="95">
        <f t="shared" ref="I189:I195" si="29">G189*2</f>
        <v>0</v>
      </c>
      <c r="J189" s="95">
        <f t="shared" ref="J189:J195" si="30">G189*1.2</f>
        <v>0</v>
      </c>
      <c r="N189" s="202"/>
      <c r="O189" s="203"/>
      <c r="P189" s="203"/>
      <c r="Q189" s="204" t="s">
        <v>12</v>
      </c>
      <c r="R189" s="205" t="s">
        <v>208</v>
      </c>
      <c r="S189" s="206" t="s">
        <v>209</v>
      </c>
      <c r="T189" s="205"/>
      <c r="U189" s="205"/>
      <c r="V189" s="205" t="s">
        <v>212</v>
      </c>
    </row>
    <row r="190" spans="2:33" ht="15" x14ac:dyDescent="0.4">
      <c r="B190" s="92"/>
      <c r="C190" s="92"/>
      <c r="D190" s="92"/>
      <c r="E190" s="93" t="s">
        <v>218</v>
      </c>
      <c r="F190" s="92" t="s">
        <v>217</v>
      </c>
      <c r="G190" s="94"/>
      <c r="H190" s="95">
        <f t="shared" si="28"/>
        <v>0</v>
      </c>
      <c r="I190" s="95">
        <f t="shared" si="29"/>
        <v>0</v>
      </c>
      <c r="J190" s="95">
        <f t="shared" si="30"/>
        <v>0</v>
      </c>
      <c r="N190" s="207"/>
      <c r="O190" s="207"/>
      <c r="P190" s="207"/>
      <c r="Q190" s="208" t="s">
        <v>213</v>
      </c>
      <c r="R190" s="209"/>
      <c r="S190" s="210"/>
      <c r="T190" s="209"/>
      <c r="U190" s="209"/>
      <c r="V190" s="209"/>
    </row>
    <row r="191" spans="2:33" ht="15" x14ac:dyDescent="0.4">
      <c r="B191" s="92"/>
      <c r="C191" s="92"/>
      <c r="D191" s="92"/>
      <c r="E191" s="93" t="s">
        <v>219</v>
      </c>
      <c r="F191" s="92" t="s">
        <v>217</v>
      </c>
      <c r="G191" s="94"/>
      <c r="H191" s="95">
        <f t="shared" si="28"/>
        <v>0</v>
      </c>
      <c r="I191" s="95">
        <f t="shared" si="29"/>
        <v>0</v>
      </c>
      <c r="J191" s="95">
        <f t="shared" si="30"/>
        <v>0</v>
      </c>
      <c r="N191" s="211"/>
      <c r="O191" s="211"/>
      <c r="P191" s="211"/>
      <c r="Q191" s="212" t="s">
        <v>214</v>
      </c>
      <c r="R191" s="211" t="s">
        <v>215</v>
      </c>
      <c r="S191" s="213"/>
      <c r="T191" s="214">
        <v>0</v>
      </c>
      <c r="U191" s="214">
        <v>0</v>
      </c>
      <c r="V191" s="214"/>
    </row>
    <row r="192" spans="2:33" ht="15" x14ac:dyDescent="0.4">
      <c r="B192" s="92"/>
      <c r="C192" s="92"/>
      <c r="D192" s="92"/>
      <c r="E192" s="93" t="s">
        <v>220</v>
      </c>
      <c r="F192" s="92" t="s">
        <v>217</v>
      </c>
      <c r="G192" s="94"/>
      <c r="H192" s="95">
        <f t="shared" si="28"/>
        <v>0</v>
      </c>
      <c r="I192" s="95">
        <f t="shared" si="29"/>
        <v>0</v>
      </c>
      <c r="J192" s="95">
        <f t="shared" si="30"/>
        <v>0</v>
      </c>
      <c r="N192" s="211"/>
      <c r="O192" s="211"/>
      <c r="P192" s="211"/>
      <c r="Q192" s="212" t="s">
        <v>216</v>
      </c>
      <c r="R192" s="211" t="s">
        <v>217</v>
      </c>
      <c r="S192" s="213"/>
      <c r="T192" s="214">
        <v>0</v>
      </c>
      <c r="U192" s="214">
        <v>0</v>
      </c>
      <c r="V192" s="214">
        <f t="shared" ref="V192:V198" si="31">S192*1.2</f>
        <v>0</v>
      </c>
    </row>
    <row r="193" spans="2:22" ht="15" x14ac:dyDescent="0.4">
      <c r="B193" s="92"/>
      <c r="C193" s="92"/>
      <c r="D193" s="92"/>
      <c r="E193" s="93" t="s">
        <v>221</v>
      </c>
      <c r="F193" s="92" t="s">
        <v>217</v>
      </c>
      <c r="G193" s="94"/>
      <c r="H193" s="95">
        <f t="shared" si="28"/>
        <v>0</v>
      </c>
      <c r="I193" s="95">
        <f t="shared" si="29"/>
        <v>0</v>
      </c>
      <c r="J193" s="95">
        <f t="shared" si="30"/>
        <v>0</v>
      </c>
      <c r="N193" s="211"/>
      <c r="O193" s="211"/>
      <c r="P193" s="211"/>
      <c r="Q193" s="212" t="s">
        <v>218</v>
      </c>
      <c r="R193" s="211" t="s">
        <v>217</v>
      </c>
      <c r="S193" s="213"/>
      <c r="T193" s="214">
        <v>0</v>
      </c>
      <c r="U193" s="214">
        <v>0</v>
      </c>
      <c r="V193" s="214">
        <f t="shared" si="31"/>
        <v>0</v>
      </c>
    </row>
    <row r="194" spans="2:22" ht="15" x14ac:dyDescent="0.4">
      <c r="B194" s="92"/>
      <c r="C194" s="92"/>
      <c r="D194" s="92"/>
      <c r="E194" s="93" t="s">
        <v>222</v>
      </c>
      <c r="F194" s="92" t="s">
        <v>217</v>
      </c>
      <c r="G194" s="94"/>
      <c r="H194" s="95">
        <f t="shared" si="28"/>
        <v>0</v>
      </c>
      <c r="I194" s="95">
        <f t="shared" si="29"/>
        <v>0</v>
      </c>
      <c r="J194" s="95">
        <f t="shared" si="30"/>
        <v>0</v>
      </c>
      <c r="N194" s="211"/>
      <c r="O194" s="211"/>
      <c r="P194" s="211"/>
      <c r="Q194" s="212" t="s">
        <v>219</v>
      </c>
      <c r="R194" s="211" t="s">
        <v>217</v>
      </c>
      <c r="S194" s="213"/>
      <c r="T194" s="214">
        <v>0</v>
      </c>
      <c r="U194" s="214">
        <v>0</v>
      </c>
      <c r="V194" s="214">
        <f t="shared" si="31"/>
        <v>0</v>
      </c>
    </row>
    <row r="195" spans="2:22" ht="15" x14ac:dyDescent="0.4">
      <c r="B195" s="92"/>
      <c r="C195" s="92"/>
      <c r="D195" s="92"/>
      <c r="E195" s="93" t="s">
        <v>223</v>
      </c>
      <c r="F195" s="92" t="s">
        <v>217</v>
      </c>
      <c r="G195" s="94"/>
      <c r="H195" s="95">
        <f t="shared" si="28"/>
        <v>0</v>
      </c>
      <c r="I195" s="95">
        <f t="shared" si="29"/>
        <v>0</v>
      </c>
      <c r="J195" s="95">
        <f t="shared" si="30"/>
        <v>0</v>
      </c>
      <c r="N195" s="211"/>
      <c r="O195" s="211"/>
      <c r="P195" s="211"/>
      <c r="Q195" s="212" t="s">
        <v>220</v>
      </c>
      <c r="R195" s="211" t="s">
        <v>217</v>
      </c>
      <c r="S195" s="213"/>
      <c r="T195" s="214">
        <v>0</v>
      </c>
      <c r="U195" s="214">
        <v>0</v>
      </c>
      <c r="V195" s="214">
        <f t="shared" si="31"/>
        <v>0</v>
      </c>
    </row>
    <row r="196" spans="2:22" ht="15" x14ac:dyDescent="0.4">
      <c r="B196" s="92"/>
      <c r="C196" s="92"/>
      <c r="D196" s="92"/>
      <c r="E196" s="93"/>
      <c r="F196" s="92"/>
      <c r="G196" s="96"/>
      <c r="H196" s="95"/>
      <c r="I196" s="95"/>
      <c r="J196" s="95"/>
      <c r="N196" s="211"/>
      <c r="O196" s="211"/>
      <c r="P196" s="211"/>
      <c r="Q196" s="212" t="s">
        <v>221</v>
      </c>
      <c r="R196" s="211" t="s">
        <v>217</v>
      </c>
      <c r="S196" s="213"/>
      <c r="T196" s="214">
        <v>0</v>
      </c>
      <c r="U196" s="214">
        <v>0</v>
      </c>
      <c r="V196" s="214">
        <f t="shared" si="31"/>
        <v>0</v>
      </c>
    </row>
    <row r="197" spans="2:22" ht="15" x14ac:dyDescent="0.4">
      <c r="B197" s="97"/>
      <c r="C197" s="98"/>
      <c r="D197" s="98"/>
      <c r="E197" s="98"/>
      <c r="F197" s="98"/>
      <c r="G197" s="97"/>
      <c r="H197" s="98"/>
      <c r="I197" s="98"/>
      <c r="J197" s="98"/>
      <c r="N197" s="211"/>
      <c r="O197" s="211"/>
      <c r="P197" s="211"/>
      <c r="Q197" s="212" t="s">
        <v>222</v>
      </c>
      <c r="R197" s="211" t="s">
        <v>217</v>
      </c>
      <c r="S197" s="213"/>
      <c r="T197" s="214">
        <v>0</v>
      </c>
      <c r="U197" s="214">
        <v>0</v>
      </c>
      <c r="V197" s="214">
        <f t="shared" si="31"/>
        <v>0</v>
      </c>
    </row>
    <row r="198" spans="2:22" ht="15" x14ac:dyDescent="0.4">
      <c r="B198" s="97"/>
      <c r="C198" s="98"/>
      <c r="D198" s="98"/>
      <c r="E198" s="99"/>
      <c r="F198" s="100"/>
      <c r="G198" s="101"/>
      <c r="H198" s="98"/>
      <c r="I198" s="98"/>
      <c r="J198" s="98"/>
      <c r="N198" s="211"/>
      <c r="O198" s="211"/>
      <c r="P198" s="211"/>
      <c r="Q198" s="212" t="s">
        <v>223</v>
      </c>
      <c r="R198" s="211" t="s">
        <v>217</v>
      </c>
      <c r="S198" s="213"/>
      <c r="T198" s="214"/>
      <c r="U198" s="214"/>
      <c r="V198" s="214">
        <f t="shared" si="31"/>
        <v>0</v>
      </c>
    </row>
    <row r="199" spans="2:22" ht="15" x14ac:dyDescent="0.4">
      <c r="D199" s="98"/>
      <c r="E199" s="99"/>
      <c r="F199" s="100"/>
      <c r="G199" s="101"/>
      <c r="H199" s="98"/>
      <c r="I199" s="98"/>
      <c r="J199" s="98"/>
      <c r="N199" s="211"/>
      <c r="O199" s="211"/>
      <c r="P199" s="211"/>
      <c r="Q199" s="212"/>
      <c r="R199" s="211"/>
      <c r="S199" s="215"/>
      <c r="T199" s="214"/>
      <c r="U199" s="214"/>
      <c r="V199" s="214"/>
    </row>
    <row r="200" spans="2:22" ht="15" x14ac:dyDescent="0.4">
      <c r="N200" s="135"/>
      <c r="O200" s="136"/>
      <c r="P200" s="136"/>
      <c r="Q200" s="136"/>
      <c r="R200" s="136"/>
      <c r="S200" s="136"/>
      <c r="T200" s="214"/>
      <c r="U200" s="214"/>
      <c r="V200" s="136"/>
    </row>
    <row r="201" spans="2:22" x14ac:dyDescent="0.35">
      <c r="N201" s="135"/>
      <c r="O201" s="136"/>
      <c r="P201" s="136"/>
      <c r="Q201" s="136"/>
      <c r="R201" s="136"/>
      <c r="S201" s="136"/>
      <c r="T201" s="136"/>
      <c r="U201" s="136"/>
      <c r="V201" s="136"/>
    </row>
    <row r="202" spans="2:22" x14ac:dyDescent="0.35">
      <c r="N202" s="135"/>
      <c r="O202" s="136"/>
      <c r="P202" s="136"/>
      <c r="Q202" s="136"/>
      <c r="R202" s="136"/>
      <c r="S202" s="136"/>
      <c r="T202" s="136"/>
      <c r="U202" s="136"/>
      <c r="V202" s="136"/>
    </row>
    <row r="203" spans="2:22" x14ac:dyDescent="0.35">
      <c r="N203" s="135"/>
      <c r="O203" s="136"/>
      <c r="P203" s="136"/>
      <c r="Q203" s="136"/>
      <c r="R203" s="136"/>
      <c r="S203" s="136"/>
      <c r="T203" s="136"/>
      <c r="U203" s="136"/>
      <c r="V203" s="136"/>
    </row>
    <row r="204" spans="2:22" x14ac:dyDescent="0.35">
      <c r="N204" s="135"/>
      <c r="O204" s="136"/>
      <c r="P204" s="136"/>
      <c r="Q204" s="136"/>
      <c r="R204" s="136"/>
      <c r="S204" s="136"/>
      <c r="T204" s="136"/>
      <c r="U204" s="136"/>
      <c r="V204" s="136"/>
    </row>
    <row r="205" spans="2:22" x14ac:dyDescent="0.35">
      <c r="N205" s="135"/>
      <c r="O205" s="136"/>
      <c r="P205" s="136"/>
      <c r="Q205" s="136"/>
      <c r="R205" s="136"/>
      <c r="S205" s="136"/>
      <c r="T205" s="136"/>
      <c r="U205" s="136"/>
      <c r="V205" s="136"/>
    </row>
    <row r="206" spans="2:22" x14ac:dyDescent="0.35">
      <c r="N206" s="135"/>
      <c r="O206" s="136"/>
      <c r="P206" s="136"/>
      <c r="Q206" s="136"/>
      <c r="R206" s="136"/>
      <c r="S206" s="136"/>
      <c r="T206" s="136"/>
      <c r="U206" s="136"/>
      <c r="V206" s="136"/>
    </row>
    <row r="207" spans="2:22" x14ac:dyDescent="0.35">
      <c r="N207" s="135"/>
      <c r="O207" s="136"/>
      <c r="P207" s="136"/>
      <c r="Q207" s="136"/>
      <c r="R207" s="136"/>
      <c r="S207" s="136"/>
      <c r="T207" s="136"/>
      <c r="U207" s="136"/>
      <c r="V207" s="136"/>
    </row>
    <row r="208" spans="2:22" x14ac:dyDescent="0.35">
      <c r="N208" s="135"/>
      <c r="O208" s="136"/>
      <c r="P208" s="136"/>
      <c r="Q208" s="136"/>
      <c r="R208" s="136"/>
      <c r="S208" s="136"/>
      <c r="T208" s="136"/>
      <c r="U208" s="136"/>
      <c r="V208" s="136"/>
    </row>
    <row r="209" spans="14:22" x14ac:dyDescent="0.35">
      <c r="N209" s="135"/>
      <c r="O209" s="136"/>
      <c r="P209" s="136"/>
      <c r="Q209" s="136"/>
      <c r="R209" s="136"/>
      <c r="S209" s="136"/>
      <c r="T209" s="136"/>
      <c r="U209" s="136"/>
      <c r="V209" s="136"/>
    </row>
    <row r="210" spans="14:22" x14ac:dyDescent="0.35">
      <c r="N210" s="135"/>
      <c r="O210" s="136"/>
      <c r="P210" s="136"/>
      <c r="Q210" s="136"/>
      <c r="R210" s="136"/>
      <c r="S210" s="136"/>
      <c r="T210" s="136"/>
      <c r="U210" s="136"/>
      <c r="V210" s="136"/>
    </row>
    <row r="211" spans="14:22" x14ac:dyDescent="0.35">
      <c r="N211" s="135"/>
      <c r="O211" s="136"/>
      <c r="P211" s="136"/>
      <c r="Q211" s="136"/>
      <c r="R211" s="136"/>
      <c r="S211" s="136"/>
      <c r="T211" s="136"/>
      <c r="U211" s="136"/>
      <c r="V211" s="136"/>
    </row>
    <row r="212" spans="14:22" x14ac:dyDescent="0.35">
      <c r="N212" s="135"/>
      <c r="O212" s="136"/>
      <c r="P212" s="136"/>
      <c r="Q212" s="136"/>
      <c r="R212" s="136"/>
      <c r="S212" s="136"/>
      <c r="T212" s="136"/>
      <c r="U212" s="136"/>
      <c r="V212" s="136"/>
    </row>
    <row r="213" spans="14:22" x14ac:dyDescent="0.35">
      <c r="N213" s="135"/>
      <c r="O213" s="136"/>
      <c r="P213" s="136"/>
      <c r="Q213" s="136"/>
      <c r="R213" s="136"/>
      <c r="S213" s="136"/>
      <c r="T213" s="136"/>
      <c r="U213" s="136"/>
      <c r="V213" s="136"/>
    </row>
    <row r="214" spans="14:22" x14ac:dyDescent="0.35">
      <c r="N214" s="135"/>
      <c r="O214" s="136"/>
      <c r="P214" s="136"/>
      <c r="Q214" s="136"/>
      <c r="R214" s="136"/>
      <c r="S214" s="136"/>
      <c r="T214" s="136"/>
      <c r="U214" s="136"/>
      <c r="V214" s="136"/>
    </row>
    <row r="215" spans="14:22" x14ac:dyDescent="0.35">
      <c r="N215" s="135"/>
      <c r="O215" s="136"/>
      <c r="P215" s="136"/>
      <c r="Q215" s="136"/>
      <c r="R215" s="136"/>
      <c r="S215" s="136"/>
      <c r="T215" s="136"/>
      <c r="U215" s="136"/>
      <c r="V215" s="136"/>
    </row>
    <row r="216" spans="14:22" x14ac:dyDescent="0.35">
      <c r="N216" s="135"/>
      <c r="O216" s="136"/>
      <c r="P216" s="136"/>
      <c r="Q216" s="136"/>
      <c r="R216" s="136"/>
      <c r="S216" s="136"/>
      <c r="T216" s="136"/>
      <c r="U216" s="136"/>
      <c r="V216" s="136"/>
    </row>
    <row r="217" spans="14:22" x14ac:dyDescent="0.35">
      <c r="N217" s="135"/>
      <c r="O217" s="136"/>
      <c r="P217" s="136"/>
      <c r="Q217" s="136"/>
      <c r="R217" s="136"/>
      <c r="S217" s="136"/>
      <c r="T217" s="136"/>
      <c r="U217" s="136"/>
      <c r="V217" s="136"/>
    </row>
    <row r="218" spans="14:22" x14ac:dyDescent="0.35">
      <c r="N218" s="135"/>
      <c r="O218" s="136"/>
      <c r="P218" s="136"/>
      <c r="Q218" s="136"/>
      <c r="R218" s="136"/>
      <c r="S218" s="136"/>
      <c r="T218" s="136"/>
      <c r="U218" s="136"/>
      <c r="V218" s="136"/>
    </row>
    <row r="219" spans="14:22" x14ac:dyDescent="0.35">
      <c r="N219" s="135"/>
      <c r="O219" s="136"/>
      <c r="P219" s="136"/>
      <c r="Q219" s="136"/>
      <c r="R219" s="136"/>
      <c r="S219" s="136"/>
      <c r="T219" s="136"/>
      <c r="U219" s="136"/>
      <c r="V219" s="136"/>
    </row>
    <row r="220" spans="14:22" x14ac:dyDescent="0.35">
      <c r="N220" s="135"/>
      <c r="O220" s="136"/>
      <c r="P220" s="136"/>
      <c r="Q220" s="136"/>
      <c r="R220" s="136"/>
      <c r="S220" s="136"/>
      <c r="T220" s="136"/>
      <c r="U220" s="136"/>
      <c r="V220" s="136"/>
    </row>
    <row r="221" spans="14:22" x14ac:dyDescent="0.35">
      <c r="N221" s="135"/>
      <c r="O221" s="136"/>
      <c r="P221" s="136"/>
      <c r="Q221" s="136"/>
      <c r="R221" s="136"/>
      <c r="S221" s="136"/>
      <c r="T221" s="136"/>
      <c r="U221" s="136"/>
      <c r="V221" s="136"/>
    </row>
    <row r="222" spans="14:22" x14ac:dyDescent="0.35">
      <c r="N222" s="135"/>
      <c r="O222" s="136"/>
      <c r="P222" s="136"/>
      <c r="Q222" s="136"/>
      <c r="R222" s="136"/>
      <c r="S222" s="136"/>
      <c r="T222" s="136"/>
      <c r="U222" s="136"/>
      <c r="V222" s="136"/>
    </row>
    <row r="223" spans="14:22" x14ac:dyDescent="0.35">
      <c r="N223" s="135"/>
      <c r="O223" s="136"/>
      <c r="P223" s="136"/>
      <c r="Q223" s="136"/>
      <c r="R223" s="136"/>
      <c r="S223" s="136"/>
      <c r="T223" s="136"/>
      <c r="U223" s="136"/>
      <c r="V223" s="136"/>
    </row>
    <row r="224" spans="14:22" x14ac:dyDescent="0.35">
      <c r="N224" s="135"/>
      <c r="O224" s="136"/>
      <c r="P224" s="136"/>
      <c r="Q224" s="136"/>
      <c r="R224" s="136"/>
      <c r="S224" s="136"/>
      <c r="T224" s="136"/>
      <c r="U224" s="136"/>
      <c r="V224" s="136"/>
    </row>
    <row r="225" spans="14:22" x14ac:dyDescent="0.35">
      <c r="N225" s="135"/>
      <c r="O225" s="136"/>
      <c r="P225" s="136"/>
      <c r="Q225" s="136"/>
      <c r="R225" s="136"/>
      <c r="S225" s="136"/>
      <c r="T225" s="136"/>
      <c r="U225" s="136"/>
      <c r="V225" s="136"/>
    </row>
    <row r="226" spans="14:22" x14ac:dyDescent="0.35">
      <c r="N226" s="135"/>
      <c r="O226" s="136"/>
      <c r="P226" s="136"/>
      <c r="Q226" s="136"/>
      <c r="R226" s="136"/>
      <c r="S226" s="136"/>
      <c r="T226" s="136"/>
      <c r="U226" s="136"/>
      <c r="V226" s="136"/>
    </row>
    <row r="227" spans="14:22" x14ac:dyDescent="0.35">
      <c r="N227" s="135"/>
      <c r="O227" s="136"/>
      <c r="P227" s="136"/>
      <c r="Q227" s="136"/>
      <c r="R227" s="136"/>
      <c r="S227" s="136"/>
      <c r="T227" s="136"/>
      <c r="U227" s="136"/>
      <c r="V227" s="136"/>
    </row>
    <row r="228" spans="14:22" x14ac:dyDescent="0.35">
      <c r="N228" s="135"/>
      <c r="O228" s="136"/>
      <c r="P228" s="136"/>
      <c r="Q228" s="136"/>
      <c r="R228" s="136"/>
      <c r="S228" s="136"/>
      <c r="T228" s="136"/>
      <c r="U228" s="136"/>
      <c r="V228" s="136"/>
    </row>
    <row r="229" spans="14:22" x14ac:dyDescent="0.35">
      <c r="N229" s="135"/>
      <c r="O229" s="136"/>
      <c r="P229" s="136"/>
      <c r="Q229" s="136"/>
      <c r="R229" s="136"/>
      <c r="S229" s="136"/>
      <c r="T229" s="136"/>
      <c r="U229" s="136"/>
      <c r="V229" s="136"/>
    </row>
    <row r="230" spans="14:22" x14ac:dyDescent="0.35">
      <c r="N230" s="135"/>
      <c r="O230" s="136"/>
      <c r="P230" s="136"/>
      <c r="Q230" s="136"/>
      <c r="R230" s="136"/>
      <c r="S230" s="136"/>
      <c r="T230" s="136"/>
      <c r="U230" s="136"/>
      <c r="V230" s="136"/>
    </row>
    <row r="231" spans="14:22" x14ac:dyDescent="0.35">
      <c r="N231" s="135"/>
      <c r="O231" s="136"/>
      <c r="P231" s="136"/>
      <c r="Q231" s="136"/>
      <c r="R231" s="136"/>
      <c r="S231" s="136"/>
      <c r="T231" s="136"/>
      <c r="U231" s="136"/>
      <c r="V231" s="136"/>
    </row>
    <row r="232" spans="14:22" x14ac:dyDescent="0.35">
      <c r="N232" s="135"/>
      <c r="O232" s="136"/>
      <c r="P232" s="136"/>
      <c r="Q232" s="136"/>
      <c r="R232" s="136"/>
      <c r="S232" s="136"/>
      <c r="T232" s="136"/>
      <c r="U232" s="136"/>
      <c r="V232" s="136"/>
    </row>
    <row r="233" spans="14:22" x14ac:dyDescent="0.35">
      <c r="N233" s="135"/>
      <c r="O233" s="136"/>
      <c r="P233" s="136"/>
      <c r="Q233" s="136"/>
      <c r="R233" s="136"/>
      <c r="S233" s="136"/>
      <c r="T233" s="136"/>
      <c r="U233" s="136"/>
      <c r="V233" s="136"/>
    </row>
    <row r="234" spans="14:22" x14ac:dyDescent="0.35">
      <c r="N234" s="135"/>
      <c r="O234" s="136"/>
      <c r="P234" s="136"/>
      <c r="Q234" s="136"/>
      <c r="R234" s="136"/>
      <c r="S234" s="136"/>
      <c r="T234" s="136"/>
      <c r="U234" s="136"/>
      <c r="V234" s="136"/>
    </row>
    <row r="235" spans="14:22" x14ac:dyDescent="0.35">
      <c r="N235" s="135"/>
      <c r="O235" s="136"/>
      <c r="P235" s="136"/>
      <c r="Q235" s="136"/>
      <c r="R235" s="136"/>
      <c r="S235" s="136"/>
      <c r="T235" s="136"/>
      <c r="U235" s="136"/>
      <c r="V235" s="136"/>
    </row>
    <row r="236" spans="14:22" x14ac:dyDescent="0.35">
      <c r="N236" s="135"/>
      <c r="O236" s="136"/>
      <c r="P236" s="136"/>
      <c r="Q236" s="136"/>
      <c r="R236" s="136"/>
      <c r="S236" s="136"/>
      <c r="T236" s="136"/>
      <c r="U236" s="136"/>
      <c r="V236" s="136"/>
    </row>
    <row r="237" spans="14:22" x14ac:dyDescent="0.35">
      <c r="N237" s="135"/>
      <c r="O237" s="136"/>
      <c r="P237" s="136"/>
      <c r="Q237" s="136"/>
      <c r="R237" s="136"/>
      <c r="S237" s="136"/>
      <c r="T237" s="136"/>
      <c r="U237" s="136"/>
      <c r="V237" s="136"/>
    </row>
    <row r="238" spans="14:22" x14ac:dyDescent="0.35">
      <c r="N238" s="135"/>
      <c r="O238" s="136"/>
      <c r="P238" s="136"/>
      <c r="Q238" s="136"/>
      <c r="R238" s="136"/>
      <c r="S238" s="136"/>
      <c r="T238" s="136"/>
      <c r="U238" s="136"/>
      <c r="V238" s="136"/>
    </row>
    <row r="239" spans="14:22" x14ac:dyDescent="0.35">
      <c r="N239" s="135"/>
      <c r="O239" s="136"/>
      <c r="P239" s="136"/>
      <c r="Q239" s="136"/>
      <c r="R239" s="136"/>
      <c r="S239" s="136"/>
      <c r="T239" s="136"/>
      <c r="U239" s="136"/>
      <c r="V239" s="136"/>
    </row>
    <row r="240" spans="14:22" x14ac:dyDescent="0.35">
      <c r="N240" s="135"/>
      <c r="O240" s="136"/>
      <c r="P240" s="136"/>
      <c r="Q240" s="136"/>
      <c r="R240" s="136"/>
      <c r="S240" s="136"/>
      <c r="T240" s="136"/>
      <c r="U240" s="136"/>
      <c r="V240" s="136"/>
    </row>
    <row r="241" spans="14:22" x14ac:dyDescent="0.35">
      <c r="N241" s="135"/>
      <c r="O241" s="136"/>
      <c r="P241" s="136"/>
      <c r="Q241" s="136"/>
      <c r="R241" s="136"/>
      <c r="S241" s="136"/>
      <c r="T241" s="136"/>
      <c r="U241" s="136"/>
      <c r="V241" s="136"/>
    </row>
    <row r="242" spans="14:22" x14ac:dyDescent="0.35">
      <c r="N242" s="135"/>
      <c r="O242" s="136"/>
      <c r="P242" s="136"/>
      <c r="Q242" s="136"/>
      <c r="R242" s="136"/>
      <c r="S242" s="136"/>
      <c r="T242" s="136"/>
      <c r="U242" s="136"/>
      <c r="V242" s="136"/>
    </row>
    <row r="243" spans="14:22" x14ac:dyDescent="0.35">
      <c r="N243" s="135"/>
      <c r="O243" s="136"/>
      <c r="P243" s="136"/>
      <c r="Q243" s="136"/>
      <c r="R243" s="136"/>
      <c r="S243" s="136"/>
      <c r="T243" s="136"/>
      <c r="U243" s="136"/>
      <c r="V243" s="136"/>
    </row>
    <row r="244" spans="14:22" x14ac:dyDescent="0.35">
      <c r="N244" s="135"/>
      <c r="O244" s="136"/>
      <c r="P244" s="136"/>
      <c r="Q244" s="136"/>
      <c r="R244" s="136"/>
      <c r="S244" s="136"/>
      <c r="T244" s="136"/>
      <c r="U244" s="136"/>
      <c r="V244" s="136"/>
    </row>
    <row r="245" spans="14:22" x14ac:dyDescent="0.35">
      <c r="N245" s="135"/>
      <c r="O245" s="136"/>
      <c r="P245" s="136"/>
      <c r="Q245" s="136"/>
      <c r="R245" s="136"/>
      <c r="S245" s="136"/>
      <c r="T245" s="136"/>
      <c r="U245" s="136"/>
      <c r="V245" s="136"/>
    </row>
    <row r="246" spans="14:22" x14ac:dyDescent="0.35">
      <c r="N246" s="135"/>
      <c r="O246" s="136"/>
      <c r="P246" s="136"/>
      <c r="Q246" s="136"/>
      <c r="R246" s="136"/>
      <c r="S246" s="136"/>
      <c r="T246" s="136"/>
      <c r="U246" s="136"/>
      <c r="V246" s="136"/>
    </row>
    <row r="247" spans="14:22" x14ac:dyDescent="0.35">
      <c r="N247" s="135"/>
      <c r="O247" s="136"/>
      <c r="P247" s="136"/>
      <c r="Q247" s="136"/>
      <c r="R247" s="136"/>
      <c r="S247" s="136"/>
      <c r="T247" s="136"/>
      <c r="U247" s="136"/>
      <c r="V247" s="136"/>
    </row>
    <row r="248" spans="14:22" x14ac:dyDescent="0.35">
      <c r="N248" s="135"/>
      <c r="O248" s="136"/>
      <c r="P248" s="136"/>
      <c r="Q248" s="136"/>
      <c r="R248" s="136"/>
      <c r="S248" s="136"/>
      <c r="T248" s="136"/>
      <c r="U248" s="136"/>
      <c r="V248" s="136"/>
    </row>
    <row r="249" spans="14:22" x14ac:dyDescent="0.35">
      <c r="N249" s="135"/>
      <c r="O249" s="136"/>
      <c r="P249" s="136"/>
      <c r="Q249" s="136"/>
      <c r="R249" s="136"/>
      <c r="S249" s="136"/>
      <c r="T249" s="136"/>
      <c r="U249" s="136"/>
      <c r="V249" s="136"/>
    </row>
    <row r="250" spans="14:22" x14ac:dyDescent="0.35">
      <c r="N250" s="135"/>
      <c r="O250" s="136"/>
      <c r="P250" s="136"/>
      <c r="Q250" s="136"/>
      <c r="R250" s="136"/>
      <c r="S250" s="136"/>
      <c r="T250" s="136"/>
      <c r="U250" s="136"/>
      <c r="V250" s="136"/>
    </row>
    <row r="251" spans="14:22" x14ac:dyDescent="0.35">
      <c r="N251" s="135"/>
      <c r="O251" s="136"/>
      <c r="P251" s="136"/>
      <c r="Q251" s="136"/>
      <c r="R251" s="136"/>
      <c r="S251" s="136"/>
      <c r="T251" s="136"/>
      <c r="U251" s="136"/>
      <c r="V251" s="136"/>
    </row>
    <row r="252" spans="14:22" x14ac:dyDescent="0.35">
      <c r="N252" s="135"/>
      <c r="O252" s="136"/>
      <c r="P252" s="136"/>
      <c r="Q252" s="136"/>
      <c r="R252" s="136"/>
      <c r="S252" s="136"/>
      <c r="T252" s="136"/>
      <c r="U252" s="136"/>
      <c r="V252" s="136"/>
    </row>
    <row r="253" spans="14:22" x14ac:dyDescent="0.35">
      <c r="N253" s="135"/>
      <c r="O253" s="136"/>
      <c r="P253" s="136"/>
      <c r="Q253" s="136"/>
      <c r="R253" s="136"/>
      <c r="S253" s="136"/>
      <c r="T253" s="136"/>
      <c r="U253" s="136"/>
      <c r="V253" s="136"/>
    </row>
    <row r="254" spans="14:22" x14ac:dyDescent="0.35">
      <c r="N254" s="135"/>
      <c r="O254" s="136"/>
      <c r="P254" s="136"/>
      <c r="Q254" s="136"/>
      <c r="R254" s="136"/>
      <c r="S254" s="136"/>
      <c r="T254" s="136"/>
      <c r="U254" s="136"/>
      <c r="V254" s="136"/>
    </row>
    <row r="255" spans="14:22" x14ac:dyDescent="0.35">
      <c r="N255" s="135"/>
      <c r="O255" s="136"/>
      <c r="P255" s="136"/>
      <c r="Q255" s="136"/>
      <c r="R255" s="136"/>
      <c r="S255" s="136"/>
      <c r="T255" s="136"/>
      <c r="U255" s="136"/>
      <c r="V255" s="136"/>
    </row>
    <row r="256" spans="14:22" x14ac:dyDescent="0.35">
      <c r="N256" s="135"/>
      <c r="O256" s="136"/>
      <c r="P256" s="136"/>
      <c r="Q256" s="136"/>
      <c r="R256" s="136"/>
      <c r="S256" s="136"/>
      <c r="T256" s="136"/>
      <c r="U256" s="136"/>
      <c r="V256" s="136"/>
    </row>
    <row r="257" spans="14:22" x14ac:dyDescent="0.35">
      <c r="N257" s="135"/>
      <c r="O257" s="136"/>
      <c r="P257" s="136"/>
      <c r="Q257" s="136"/>
      <c r="R257" s="136"/>
      <c r="S257" s="136"/>
      <c r="T257" s="136"/>
      <c r="U257" s="136"/>
      <c r="V257" s="136"/>
    </row>
    <row r="258" spans="14:22" x14ac:dyDescent="0.35">
      <c r="N258" s="135"/>
      <c r="O258" s="136"/>
      <c r="P258" s="136"/>
      <c r="Q258" s="136"/>
      <c r="R258" s="136"/>
      <c r="S258" s="136"/>
      <c r="T258" s="136"/>
      <c r="U258" s="136"/>
      <c r="V258" s="136"/>
    </row>
    <row r="259" spans="14:22" x14ac:dyDescent="0.35">
      <c r="N259" s="135"/>
      <c r="O259" s="136"/>
      <c r="P259" s="136"/>
      <c r="Q259" s="136"/>
      <c r="R259" s="136"/>
      <c r="S259" s="136"/>
      <c r="T259" s="136"/>
      <c r="U259" s="136"/>
      <c r="V259" s="136"/>
    </row>
    <row r="260" spans="14:22" x14ac:dyDescent="0.35">
      <c r="N260" s="135"/>
      <c r="O260" s="136"/>
      <c r="P260" s="136"/>
      <c r="Q260" s="136"/>
      <c r="R260" s="136"/>
      <c r="S260" s="136"/>
      <c r="T260" s="136"/>
      <c r="U260" s="136"/>
      <c r="V260" s="136"/>
    </row>
    <row r="261" spans="14:22" x14ac:dyDescent="0.35">
      <c r="N261" s="135"/>
      <c r="O261" s="136"/>
      <c r="P261" s="136"/>
      <c r="Q261" s="136"/>
      <c r="R261" s="136"/>
      <c r="S261" s="136"/>
      <c r="T261" s="136"/>
      <c r="U261" s="136"/>
      <c r="V261" s="136"/>
    </row>
    <row r="262" spans="14:22" x14ac:dyDescent="0.35">
      <c r="N262" s="135"/>
      <c r="O262" s="136"/>
      <c r="P262" s="136"/>
      <c r="Q262" s="136"/>
      <c r="R262" s="136"/>
      <c r="S262" s="136"/>
      <c r="T262" s="136"/>
      <c r="U262" s="136"/>
      <c r="V262" s="136"/>
    </row>
    <row r="263" spans="14:22" x14ac:dyDescent="0.35">
      <c r="N263" s="135"/>
      <c r="O263" s="136"/>
      <c r="P263" s="136"/>
      <c r="Q263" s="136"/>
      <c r="R263" s="136"/>
      <c r="S263" s="136"/>
      <c r="T263" s="136"/>
      <c r="U263" s="136"/>
      <c r="V263" s="136"/>
    </row>
    <row r="264" spans="14:22" x14ac:dyDescent="0.35">
      <c r="N264" s="135"/>
      <c r="O264" s="136"/>
      <c r="P264" s="136"/>
      <c r="Q264" s="136"/>
      <c r="R264" s="136"/>
      <c r="S264" s="136"/>
      <c r="T264" s="136"/>
      <c r="U264" s="136"/>
      <c r="V264" s="136"/>
    </row>
    <row r="265" spans="14:22" x14ac:dyDescent="0.35">
      <c r="N265" s="135"/>
      <c r="O265" s="136"/>
      <c r="P265" s="136"/>
      <c r="Q265" s="136"/>
      <c r="R265" s="136"/>
      <c r="S265" s="136"/>
      <c r="T265" s="136"/>
      <c r="U265" s="136"/>
      <c r="V265" s="136"/>
    </row>
    <row r="266" spans="14:22" x14ac:dyDescent="0.35">
      <c r="N266" s="135"/>
      <c r="O266" s="136"/>
      <c r="P266" s="136"/>
      <c r="Q266" s="136"/>
      <c r="R266" s="136"/>
      <c r="S266" s="136"/>
      <c r="T266" s="136"/>
      <c r="U266" s="136"/>
      <c r="V266" s="136"/>
    </row>
    <row r="267" spans="14:22" x14ac:dyDescent="0.35">
      <c r="N267" s="135"/>
      <c r="O267" s="136"/>
      <c r="P267" s="136"/>
      <c r="Q267" s="136"/>
      <c r="R267" s="136"/>
      <c r="S267" s="136"/>
      <c r="T267" s="136"/>
      <c r="U267" s="136"/>
      <c r="V267" s="136"/>
    </row>
    <row r="268" spans="14:22" x14ac:dyDescent="0.35">
      <c r="N268" s="135"/>
      <c r="O268" s="136"/>
      <c r="P268" s="136"/>
      <c r="Q268" s="136"/>
      <c r="R268" s="136"/>
      <c r="S268" s="136"/>
      <c r="T268" s="136"/>
      <c r="U268" s="136"/>
      <c r="V268" s="136"/>
    </row>
    <row r="269" spans="14:22" x14ac:dyDescent="0.35">
      <c r="N269" s="135"/>
      <c r="O269" s="136"/>
      <c r="P269" s="136"/>
      <c r="Q269" s="136"/>
      <c r="R269" s="136"/>
      <c r="S269" s="136"/>
      <c r="T269" s="136"/>
      <c r="U269" s="136"/>
      <c r="V269" s="136"/>
    </row>
    <row r="270" spans="14:22" x14ac:dyDescent="0.35">
      <c r="N270" s="135"/>
      <c r="O270" s="136"/>
      <c r="P270" s="136"/>
      <c r="Q270" s="136"/>
      <c r="R270" s="136"/>
      <c r="S270" s="136"/>
      <c r="T270" s="136"/>
      <c r="U270" s="136"/>
      <c r="V270" s="136"/>
    </row>
    <row r="271" spans="14:22" x14ac:dyDescent="0.35">
      <c r="N271" s="135"/>
      <c r="O271" s="136"/>
      <c r="P271" s="136"/>
      <c r="Q271" s="136"/>
      <c r="R271" s="136"/>
      <c r="S271" s="136"/>
      <c r="T271" s="136"/>
      <c r="U271" s="136"/>
      <c r="V271" s="136"/>
    </row>
    <row r="272" spans="14:22" x14ac:dyDescent="0.35">
      <c r="N272" s="135"/>
      <c r="O272" s="136"/>
      <c r="P272" s="136"/>
      <c r="Q272" s="136"/>
      <c r="R272" s="136"/>
      <c r="S272" s="136"/>
      <c r="T272" s="136"/>
      <c r="U272" s="136"/>
      <c r="V272" s="136"/>
    </row>
    <row r="273" spans="14:22" x14ac:dyDescent="0.35">
      <c r="N273" s="135"/>
      <c r="O273" s="136"/>
      <c r="P273" s="136"/>
      <c r="Q273" s="136"/>
      <c r="R273" s="136"/>
      <c r="S273" s="136"/>
      <c r="T273" s="136"/>
      <c r="U273" s="136"/>
      <c r="V273" s="136"/>
    </row>
    <row r="274" spans="14:22" x14ac:dyDescent="0.35">
      <c r="N274" s="135"/>
      <c r="O274" s="136"/>
      <c r="P274" s="136"/>
      <c r="Q274" s="136"/>
      <c r="R274" s="136"/>
      <c r="S274" s="136"/>
      <c r="T274" s="136"/>
      <c r="U274" s="136"/>
      <c r="V274" s="136"/>
    </row>
    <row r="275" spans="14:22" x14ac:dyDescent="0.35">
      <c r="N275" s="135"/>
      <c r="O275" s="136"/>
      <c r="P275" s="136"/>
      <c r="Q275" s="136"/>
      <c r="R275" s="136"/>
      <c r="S275" s="136"/>
      <c r="T275" s="136"/>
      <c r="U275" s="136"/>
      <c r="V275" s="136"/>
    </row>
    <row r="276" spans="14:22" x14ac:dyDescent="0.35">
      <c r="N276" s="135"/>
      <c r="O276" s="136"/>
      <c r="P276" s="136"/>
      <c r="Q276" s="136"/>
      <c r="R276" s="136"/>
      <c r="S276" s="136"/>
      <c r="T276" s="136"/>
      <c r="U276" s="136"/>
      <c r="V276" s="136"/>
    </row>
    <row r="277" spans="14:22" x14ac:dyDescent="0.35">
      <c r="N277" s="135"/>
      <c r="O277" s="136"/>
      <c r="P277" s="136"/>
      <c r="Q277" s="136"/>
      <c r="R277" s="136"/>
      <c r="S277" s="136"/>
      <c r="T277" s="136"/>
      <c r="U277" s="136"/>
      <c r="V277" s="136"/>
    </row>
    <row r="278" spans="14:22" x14ac:dyDescent="0.35">
      <c r="N278" s="135"/>
      <c r="O278" s="136"/>
      <c r="P278" s="136"/>
      <c r="Q278" s="136"/>
      <c r="R278" s="136"/>
      <c r="S278" s="136"/>
      <c r="T278" s="136"/>
      <c r="U278" s="136"/>
      <c r="V278" s="136"/>
    </row>
    <row r="279" spans="14:22" x14ac:dyDescent="0.35">
      <c r="N279" s="135"/>
      <c r="O279" s="136"/>
      <c r="P279" s="136"/>
      <c r="Q279" s="136"/>
      <c r="R279" s="136"/>
      <c r="S279" s="136"/>
      <c r="T279" s="136"/>
      <c r="U279" s="136"/>
      <c r="V279" s="136"/>
    </row>
    <row r="280" spans="14:22" x14ac:dyDescent="0.35">
      <c r="N280" s="135"/>
      <c r="O280" s="136"/>
      <c r="P280" s="136"/>
      <c r="Q280" s="136"/>
      <c r="R280" s="136"/>
      <c r="S280" s="136"/>
      <c r="T280" s="136"/>
      <c r="U280" s="136"/>
      <c r="V280" s="136"/>
    </row>
    <row r="281" spans="14:22" x14ac:dyDescent="0.35">
      <c r="N281" s="135"/>
      <c r="O281" s="136"/>
      <c r="P281" s="136"/>
      <c r="Q281" s="136"/>
      <c r="R281" s="136"/>
      <c r="S281" s="136"/>
      <c r="T281" s="136"/>
      <c r="U281" s="136"/>
      <c r="V281" s="136"/>
    </row>
    <row r="282" spans="14:22" x14ac:dyDescent="0.35">
      <c r="N282" s="135"/>
      <c r="O282" s="136"/>
      <c r="P282" s="136"/>
      <c r="Q282" s="136"/>
      <c r="R282" s="136"/>
      <c r="S282" s="136"/>
      <c r="T282" s="136"/>
      <c r="U282" s="136"/>
      <c r="V282" s="136"/>
    </row>
    <row r="283" spans="14:22" x14ac:dyDescent="0.35">
      <c r="N283" s="135"/>
      <c r="O283" s="136"/>
      <c r="P283" s="136"/>
      <c r="Q283" s="136"/>
      <c r="R283" s="136"/>
      <c r="S283" s="136"/>
      <c r="T283" s="136"/>
      <c r="U283" s="136"/>
      <c r="V283" s="136"/>
    </row>
    <row r="284" spans="14:22" x14ac:dyDescent="0.35">
      <c r="N284" s="135"/>
      <c r="O284" s="136"/>
      <c r="P284" s="136"/>
      <c r="Q284" s="136"/>
      <c r="R284" s="136"/>
      <c r="S284" s="136"/>
      <c r="T284" s="136"/>
      <c r="U284" s="136"/>
      <c r="V284" s="136"/>
    </row>
    <row r="285" spans="14:22" x14ac:dyDescent="0.35">
      <c r="N285" s="135"/>
      <c r="O285" s="136"/>
      <c r="P285" s="136"/>
      <c r="Q285" s="136"/>
      <c r="R285" s="136"/>
      <c r="S285" s="136"/>
      <c r="T285" s="136"/>
      <c r="U285" s="136"/>
      <c r="V285" s="136"/>
    </row>
    <row r="286" spans="14:22" x14ac:dyDescent="0.35">
      <c r="N286" s="135"/>
      <c r="O286" s="136"/>
      <c r="P286" s="136"/>
      <c r="Q286" s="136"/>
      <c r="R286" s="136"/>
      <c r="S286" s="136"/>
      <c r="T286" s="136"/>
      <c r="U286" s="136"/>
      <c r="V286" s="136"/>
    </row>
    <row r="287" spans="14:22" x14ac:dyDescent="0.35">
      <c r="N287" s="135"/>
      <c r="O287" s="136"/>
      <c r="P287" s="136"/>
      <c r="Q287" s="136"/>
      <c r="R287" s="136"/>
      <c r="S287" s="136"/>
      <c r="T287" s="136"/>
      <c r="U287" s="136"/>
      <c r="V287" s="136"/>
    </row>
    <row r="288" spans="14:22" x14ac:dyDescent="0.35">
      <c r="N288" s="135"/>
      <c r="O288" s="136"/>
      <c r="P288" s="136"/>
      <c r="Q288" s="136"/>
      <c r="R288" s="136"/>
      <c r="S288" s="136"/>
      <c r="T288" s="136"/>
      <c r="U288" s="136"/>
      <c r="V288" s="136"/>
    </row>
    <row r="289" spans="14:22" x14ac:dyDescent="0.35">
      <c r="N289" s="135"/>
      <c r="O289" s="136"/>
      <c r="P289" s="136"/>
      <c r="Q289" s="136"/>
      <c r="R289" s="136"/>
      <c r="S289" s="136"/>
      <c r="T289" s="136"/>
      <c r="U289" s="136"/>
      <c r="V289" s="136"/>
    </row>
    <row r="290" spans="14:22" x14ac:dyDescent="0.35">
      <c r="N290" s="135"/>
      <c r="O290" s="136"/>
      <c r="P290" s="136"/>
      <c r="Q290" s="136"/>
      <c r="R290" s="136"/>
      <c r="S290" s="136"/>
      <c r="T290" s="136"/>
      <c r="U290" s="136"/>
      <c r="V290" s="136"/>
    </row>
    <row r="291" spans="14:22" x14ac:dyDescent="0.35">
      <c r="N291" s="135"/>
      <c r="O291" s="136"/>
      <c r="P291" s="136"/>
      <c r="Q291" s="136"/>
      <c r="R291" s="136"/>
      <c r="S291" s="136"/>
      <c r="T291" s="136"/>
      <c r="U291" s="136"/>
      <c r="V291" s="136"/>
    </row>
    <row r="292" spans="14:22" x14ac:dyDescent="0.35">
      <c r="N292" s="135"/>
      <c r="O292" s="136"/>
      <c r="P292" s="136"/>
      <c r="Q292" s="136"/>
      <c r="R292" s="136"/>
      <c r="S292" s="136"/>
      <c r="T292" s="136"/>
      <c r="U292" s="136"/>
      <c r="V292" s="136"/>
    </row>
    <row r="293" spans="14:22" x14ac:dyDescent="0.35">
      <c r="N293" s="135"/>
      <c r="O293" s="136"/>
      <c r="P293" s="136"/>
      <c r="Q293" s="136"/>
      <c r="R293" s="136"/>
      <c r="S293" s="136"/>
      <c r="T293" s="136"/>
      <c r="U293" s="136"/>
      <c r="V293" s="136"/>
    </row>
    <row r="294" spans="14:22" x14ac:dyDescent="0.35">
      <c r="N294" s="135"/>
      <c r="O294" s="136"/>
      <c r="P294" s="136"/>
      <c r="Q294" s="136"/>
      <c r="R294" s="136"/>
      <c r="S294" s="136"/>
      <c r="T294" s="136"/>
      <c r="U294" s="136"/>
      <c r="V294" s="136"/>
    </row>
    <row r="295" spans="14:22" x14ac:dyDescent="0.35">
      <c r="N295" s="135"/>
      <c r="O295" s="136"/>
      <c r="P295" s="136"/>
      <c r="Q295" s="136"/>
      <c r="R295" s="136"/>
      <c r="S295" s="136"/>
      <c r="T295" s="136"/>
      <c r="U295" s="136"/>
      <c r="V295" s="136"/>
    </row>
    <row r="296" spans="14:22" x14ac:dyDescent="0.35">
      <c r="N296" s="135"/>
      <c r="O296" s="136"/>
      <c r="P296" s="136"/>
      <c r="Q296" s="136"/>
      <c r="R296" s="136"/>
      <c r="S296" s="136"/>
      <c r="T296" s="136"/>
      <c r="U296" s="136"/>
      <c r="V296" s="136"/>
    </row>
    <row r="297" spans="14:22" x14ac:dyDescent="0.35">
      <c r="N297" s="135"/>
      <c r="O297" s="136"/>
      <c r="P297" s="136"/>
      <c r="Q297" s="136"/>
      <c r="R297" s="136"/>
      <c r="S297" s="136"/>
      <c r="T297" s="136"/>
      <c r="U297" s="136"/>
      <c r="V297" s="136"/>
    </row>
    <row r="298" spans="14:22" x14ac:dyDescent="0.35">
      <c r="N298" s="135"/>
      <c r="O298" s="136"/>
      <c r="P298" s="136"/>
      <c r="Q298" s="136"/>
      <c r="R298" s="136"/>
      <c r="S298" s="136"/>
      <c r="T298" s="136"/>
      <c r="U298" s="136"/>
      <c r="V298" s="136"/>
    </row>
    <row r="299" spans="14:22" x14ac:dyDescent="0.35">
      <c r="N299" s="135"/>
      <c r="O299" s="136"/>
      <c r="P299" s="136"/>
      <c r="Q299" s="136"/>
      <c r="R299" s="136"/>
      <c r="S299" s="136"/>
      <c r="T299" s="136"/>
      <c r="U299" s="136"/>
      <c r="V299" s="136"/>
    </row>
    <row r="300" spans="14:22" x14ac:dyDescent="0.35">
      <c r="N300" s="135"/>
      <c r="O300" s="136"/>
      <c r="P300" s="136"/>
      <c r="Q300" s="136"/>
      <c r="R300" s="136"/>
      <c r="S300" s="136"/>
      <c r="T300" s="136"/>
      <c r="U300" s="136"/>
      <c r="V300" s="136"/>
    </row>
    <row r="301" spans="14:22" x14ac:dyDescent="0.35">
      <c r="N301" s="135"/>
      <c r="O301" s="136"/>
      <c r="P301" s="136"/>
      <c r="Q301" s="136"/>
      <c r="R301" s="136"/>
      <c r="S301" s="136"/>
      <c r="T301" s="136"/>
      <c r="U301" s="136"/>
      <c r="V301" s="136"/>
    </row>
    <row r="302" spans="14:22" x14ac:dyDescent="0.35">
      <c r="N302" s="135"/>
      <c r="O302" s="136"/>
      <c r="P302" s="136"/>
      <c r="Q302" s="136"/>
      <c r="R302" s="136"/>
      <c r="S302" s="136"/>
      <c r="T302" s="136"/>
      <c r="U302" s="136"/>
      <c r="V302" s="136"/>
    </row>
    <row r="303" spans="14:22" x14ac:dyDescent="0.35">
      <c r="N303" s="135"/>
      <c r="O303" s="136"/>
      <c r="P303" s="136"/>
      <c r="Q303" s="136"/>
      <c r="R303" s="136"/>
      <c r="S303" s="136"/>
      <c r="T303" s="136"/>
      <c r="U303" s="136"/>
      <c r="V303" s="136"/>
    </row>
    <row r="304" spans="14:22" x14ac:dyDescent="0.35">
      <c r="N304" s="135"/>
      <c r="O304" s="136"/>
      <c r="P304" s="136"/>
      <c r="Q304" s="136"/>
      <c r="R304" s="136"/>
      <c r="S304" s="136"/>
      <c r="T304" s="136"/>
      <c r="U304" s="136"/>
      <c r="V304" s="136"/>
    </row>
    <row r="305" spans="14:22" x14ac:dyDescent="0.35">
      <c r="N305" s="135"/>
      <c r="O305" s="136"/>
      <c r="P305" s="136"/>
      <c r="Q305" s="136"/>
      <c r="R305" s="136"/>
      <c r="S305" s="136"/>
      <c r="T305" s="136"/>
      <c r="U305" s="136"/>
      <c r="V305" s="136"/>
    </row>
    <row r="306" spans="14:22" x14ac:dyDescent="0.35">
      <c r="N306" s="135"/>
      <c r="O306" s="136"/>
      <c r="P306" s="136"/>
      <c r="Q306" s="136"/>
      <c r="R306" s="136"/>
      <c r="S306" s="136"/>
      <c r="T306" s="136"/>
      <c r="U306" s="136"/>
      <c r="V306" s="136"/>
    </row>
    <row r="307" spans="14:22" x14ac:dyDescent="0.35">
      <c r="N307" s="135"/>
      <c r="O307" s="136"/>
      <c r="P307" s="136"/>
      <c r="Q307" s="136"/>
      <c r="R307" s="136"/>
      <c r="S307" s="136"/>
      <c r="T307" s="136"/>
      <c r="U307" s="136"/>
      <c r="V307" s="136"/>
    </row>
    <row r="308" spans="14:22" x14ac:dyDescent="0.35">
      <c r="N308" s="135"/>
      <c r="O308" s="136"/>
      <c r="P308" s="136"/>
      <c r="Q308" s="136"/>
      <c r="R308" s="136"/>
      <c r="S308" s="136"/>
      <c r="T308" s="136"/>
      <c r="U308" s="136"/>
      <c r="V308" s="136"/>
    </row>
    <row r="309" spans="14:22" x14ac:dyDescent="0.35">
      <c r="N309" s="135"/>
      <c r="O309" s="136"/>
      <c r="P309" s="136"/>
      <c r="Q309" s="136"/>
      <c r="R309" s="136"/>
      <c r="S309" s="136"/>
      <c r="T309" s="136"/>
      <c r="U309" s="136"/>
      <c r="V309" s="136"/>
    </row>
    <row r="310" spans="14:22" x14ac:dyDescent="0.35">
      <c r="N310" s="135"/>
      <c r="O310" s="136"/>
      <c r="P310" s="136"/>
      <c r="Q310" s="136"/>
      <c r="R310" s="136"/>
      <c r="S310" s="136"/>
      <c r="T310" s="136"/>
      <c r="U310" s="136"/>
      <c r="V310" s="136"/>
    </row>
    <row r="311" spans="14:22" x14ac:dyDescent="0.35">
      <c r="N311" s="135"/>
      <c r="O311" s="136"/>
      <c r="P311" s="136"/>
      <c r="Q311" s="136"/>
      <c r="R311" s="136"/>
      <c r="S311" s="136"/>
      <c r="T311" s="136"/>
      <c r="U311" s="136"/>
      <c r="V311" s="136"/>
    </row>
    <row r="312" spans="14:22" x14ac:dyDescent="0.35">
      <c r="N312" s="135"/>
      <c r="O312" s="136"/>
      <c r="P312" s="136"/>
      <c r="Q312" s="136"/>
      <c r="R312" s="136"/>
      <c r="S312" s="136"/>
      <c r="T312" s="136"/>
      <c r="U312" s="136"/>
      <c r="V312" s="136"/>
    </row>
    <row r="313" spans="14:22" x14ac:dyDescent="0.35">
      <c r="N313" s="135"/>
      <c r="O313" s="136"/>
      <c r="P313" s="136"/>
      <c r="Q313" s="136"/>
      <c r="R313" s="136"/>
      <c r="S313" s="136"/>
      <c r="T313" s="136"/>
      <c r="U313" s="136"/>
      <c r="V313" s="136"/>
    </row>
    <row r="314" spans="14:22" x14ac:dyDescent="0.35">
      <c r="N314" s="135"/>
      <c r="O314" s="136"/>
      <c r="P314" s="136"/>
      <c r="Q314" s="136"/>
      <c r="R314" s="136"/>
      <c r="S314" s="136"/>
      <c r="T314" s="136"/>
      <c r="U314" s="136"/>
      <c r="V314" s="136"/>
    </row>
    <row r="315" spans="14:22" x14ac:dyDescent="0.35">
      <c r="N315" s="135"/>
      <c r="O315" s="136"/>
      <c r="P315" s="136"/>
      <c r="Q315" s="136"/>
      <c r="R315" s="136"/>
      <c r="S315" s="136"/>
      <c r="T315" s="136"/>
      <c r="U315" s="136"/>
      <c r="V315" s="136"/>
    </row>
    <row r="316" spans="14:22" x14ac:dyDescent="0.35">
      <c r="N316" s="135"/>
      <c r="O316" s="136"/>
      <c r="P316" s="136"/>
      <c r="Q316" s="136"/>
      <c r="R316" s="136"/>
      <c r="S316" s="136"/>
      <c r="T316" s="136"/>
      <c r="U316" s="136"/>
      <c r="V316" s="136"/>
    </row>
    <row r="317" spans="14:22" x14ac:dyDescent="0.35">
      <c r="N317" s="135"/>
      <c r="O317" s="136"/>
      <c r="P317" s="136"/>
      <c r="Q317" s="136"/>
      <c r="R317" s="136"/>
      <c r="S317" s="136"/>
      <c r="T317" s="136"/>
      <c r="U317" s="136"/>
      <c r="V317" s="136"/>
    </row>
    <row r="318" spans="14:22" x14ac:dyDescent="0.35">
      <c r="N318" s="135"/>
      <c r="O318" s="136"/>
      <c r="P318" s="136"/>
      <c r="Q318" s="136"/>
      <c r="R318" s="136"/>
      <c r="S318" s="136"/>
      <c r="T318" s="136"/>
      <c r="U318" s="136"/>
      <c r="V318" s="136"/>
    </row>
    <row r="319" spans="14:22" x14ac:dyDescent="0.35">
      <c r="N319" s="135"/>
      <c r="O319" s="136"/>
      <c r="P319" s="136"/>
      <c r="Q319" s="136"/>
      <c r="R319" s="136"/>
      <c r="S319" s="136"/>
      <c r="T319" s="136"/>
      <c r="U319" s="136"/>
      <c r="V319" s="136"/>
    </row>
    <row r="320" spans="14:22" x14ac:dyDescent="0.35">
      <c r="N320" s="135"/>
      <c r="O320" s="136"/>
      <c r="P320" s="136"/>
      <c r="Q320" s="136"/>
      <c r="R320" s="136"/>
      <c r="S320" s="136"/>
      <c r="T320" s="136"/>
      <c r="U320" s="136"/>
      <c r="V320" s="136"/>
    </row>
    <row r="321" spans="14:22" x14ac:dyDescent="0.35">
      <c r="N321" s="135"/>
      <c r="O321" s="136"/>
      <c r="P321" s="136"/>
      <c r="Q321" s="136"/>
      <c r="R321" s="136"/>
      <c r="S321" s="136"/>
      <c r="T321" s="136"/>
      <c r="U321" s="136"/>
      <c r="V321" s="136"/>
    </row>
    <row r="322" spans="14:22" x14ac:dyDescent="0.35">
      <c r="N322" s="135"/>
      <c r="O322" s="136"/>
      <c r="P322" s="136"/>
      <c r="Q322" s="136"/>
      <c r="R322" s="136"/>
      <c r="S322" s="136"/>
      <c r="T322" s="136"/>
      <c r="U322" s="136"/>
      <c r="V322" s="136"/>
    </row>
    <row r="323" spans="14:22" x14ac:dyDescent="0.35">
      <c r="N323" s="135"/>
      <c r="O323" s="136"/>
      <c r="P323" s="136"/>
      <c r="Q323" s="136"/>
      <c r="R323" s="136"/>
      <c r="S323" s="136"/>
      <c r="T323" s="136"/>
      <c r="U323" s="136"/>
      <c r="V323" s="136"/>
    </row>
    <row r="324" spans="14:22" x14ac:dyDescent="0.35">
      <c r="N324" s="135"/>
      <c r="O324" s="136"/>
      <c r="P324" s="136"/>
      <c r="Q324" s="136"/>
      <c r="R324" s="136"/>
      <c r="S324" s="136"/>
      <c r="T324" s="136"/>
      <c r="U324" s="136"/>
      <c r="V324" s="136"/>
    </row>
    <row r="325" spans="14:22" x14ac:dyDescent="0.35">
      <c r="N325" s="135"/>
      <c r="O325" s="136"/>
      <c r="P325" s="136"/>
      <c r="Q325" s="136"/>
      <c r="R325" s="136"/>
      <c r="S325" s="136"/>
      <c r="T325" s="136"/>
      <c r="U325" s="136"/>
      <c r="V325" s="136"/>
    </row>
    <row r="326" spans="14:22" x14ac:dyDescent="0.35">
      <c r="N326" s="135"/>
      <c r="O326" s="136"/>
      <c r="P326" s="136"/>
      <c r="Q326" s="136"/>
      <c r="R326" s="136"/>
      <c r="S326" s="136"/>
      <c r="T326" s="136"/>
      <c r="U326" s="136"/>
      <c r="V326" s="136"/>
    </row>
    <row r="327" spans="14:22" x14ac:dyDescent="0.35">
      <c r="N327" s="135"/>
      <c r="O327" s="136"/>
      <c r="P327" s="136"/>
      <c r="Q327" s="136"/>
      <c r="R327" s="136"/>
      <c r="S327" s="136"/>
      <c r="T327" s="136"/>
      <c r="U327" s="136"/>
      <c r="V327" s="136"/>
    </row>
    <row r="328" spans="14:22" x14ac:dyDescent="0.35">
      <c r="N328" s="135"/>
      <c r="O328" s="136"/>
      <c r="P328" s="136"/>
      <c r="Q328" s="136"/>
      <c r="R328" s="136"/>
      <c r="S328" s="136"/>
      <c r="T328" s="136"/>
      <c r="U328" s="136"/>
      <c r="V328" s="136"/>
    </row>
    <row r="329" spans="14:22" x14ac:dyDescent="0.35">
      <c r="N329" s="135"/>
      <c r="O329" s="136"/>
      <c r="P329" s="136"/>
      <c r="Q329" s="136"/>
      <c r="R329" s="136"/>
      <c r="S329" s="136"/>
      <c r="T329" s="136"/>
      <c r="U329" s="136"/>
      <c r="V329" s="136"/>
    </row>
    <row r="330" spans="14:22" x14ac:dyDescent="0.35">
      <c r="N330" s="135"/>
      <c r="O330" s="136"/>
      <c r="P330" s="136"/>
      <c r="Q330" s="136"/>
      <c r="R330" s="136"/>
      <c r="S330" s="136"/>
      <c r="T330" s="136"/>
      <c r="U330" s="136"/>
      <c r="V330" s="136"/>
    </row>
    <row r="331" spans="14:22" x14ac:dyDescent="0.35">
      <c r="N331" s="135"/>
      <c r="O331" s="136"/>
      <c r="P331" s="136"/>
      <c r="Q331" s="136"/>
      <c r="R331" s="136"/>
      <c r="S331" s="136"/>
      <c r="T331" s="136"/>
      <c r="U331" s="136"/>
      <c r="V331" s="136"/>
    </row>
    <row r="332" spans="14:22" x14ac:dyDescent="0.35">
      <c r="N332" s="135"/>
      <c r="O332" s="136"/>
      <c r="P332" s="136"/>
      <c r="Q332" s="136"/>
      <c r="R332" s="136"/>
      <c r="S332" s="136"/>
      <c r="T332" s="136"/>
      <c r="U332" s="136"/>
      <c r="V332" s="136"/>
    </row>
    <row r="333" spans="14:22" x14ac:dyDescent="0.35">
      <c r="N333" s="135"/>
      <c r="O333" s="136"/>
      <c r="P333" s="136"/>
      <c r="Q333" s="136"/>
      <c r="R333" s="136"/>
      <c r="S333" s="136"/>
      <c r="T333" s="136"/>
      <c r="U333" s="136"/>
      <c r="V333" s="136"/>
    </row>
    <row r="334" spans="14:22" x14ac:dyDescent="0.35">
      <c r="N334" s="135"/>
      <c r="O334" s="136"/>
      <c r="P334" s="136"/>
      <c r="Q334" s="136"/>
      <c r="R334" s="136"/>
      <c r="S334" s="136"/>
      <c r="T334" s="136"/>
      <c r="U334" s="136"/>
      <c r="V334" s="136"/>
    </row>
    <row r="335" spans="14:22" x14ac:dyDescent="0.35">
      <c r="N335" s="135"/>
      <c r="O335" s="136"/>
      <c r="P335" s="136"/>
      <c r="Q335" s="136"/>
      <c r="R335" s="136"/>
      <c r="S335" s="136"/>
      <c r="T335" s="136"/>
      <c r="U335" s="136"/>
      <c r="V335" s="136"/>
    </row>
    <row r="336" spans="14:22" x14ac:dyDescent="0.35">
      <c r="N336" s="135"/>
      <c r="O336" s="136"/>
      <c r="P336" s="136"/>
      <c r="Q336" s="136"/>
      <c r="R336" s="136"/>
      <c r="S336" s="136"/>
      <c r="T336" s="136"/>
      <c r="U336" s="136"/>
      <c r="V336" s="136"/>
    </row>
    <row r="337" spans="14:22" x14ac:dyDescent="0.35">
      <c r="N337" s="135"/>
      <c r="O337" s="136"/>
      <c r="P337" s="136"/>
      <c r="Q337" s="136"/>
      <c r="R337" s="136"/>
      <c r="S337" s="136"/>
      <c r="T337" s="136"/>
      <c r="U337" s="136"/>
      <c r="V337" s="136"/>
    </row>
    <row r="338" spans="14:22" x14ac:dyDescent="0.35">
      <c r="N338" s="135"/>
      <c r="O338" s="136"/>
      <c r="P338" s="136"/>
      <c r="Q338" s="136"/>
      <c r="R338" s="136"/>
      <c r="S338" s="136"/>
      <c r="T338" s="136"/>
      <c r="U338" s="136"/>
      <c r="V338" s="136"/>
    </row>
    <row r="339" spans="14:22" x14ac:dyDescent="0.35">
      <c r="N339" s="135"/>
      <c r="O339" s="136"/>
      <c r="P339" s="136"/>
      <c r="Q339" s="136"/>
      <c r="R339" s="136"/>
      <c r="S339" s="136"/>
      <c r="T339" s="136"/>
      <c r="U339" s="136"/>
      <c r="V339" s="136"/>
    </row>
    <row r="340" spans="14:22" x14ac:dyDescent="0.35">
      <c r="N340" s="135"/>
      <c r="O340" s="136"/>
      <c r="P340" s="136"/>
      <c r="Q340" s="136"/>
      <c r="R340" s="136"/>
      <c r="S340" s="136"/>
      <c r="T340" s="136"/>
      <c r="U340" s="136"/>
      <c r="V340" s="136"/>
    </row>
    <row r="341" spans="14:22" x14ac:dyDescent="0.35">
      <c r="N341" s="135"/>
      <c r="O341" s="136"/>
      <c r="P341" s="136"/>
      <c r="Q341" s="136"/>
      <c r="R341" s="136"/>
      <c r="S341" s="136"/>
      <c r="T341" s="136"/>
      <c r="U341" s="136"/>
      <c r="V341" s="136"/>
    </row>
    <row r="342" spans="14:22" x14ac:dyDescent="0.35">
      <c r="N342" s="135"/>
      <c r="O342" s="136"/>
      <c r="P342" s="136"/>
      <c r="Q342" s="136"/>
      <c r="R342" s="136"/>
      <c r="S342" s="136"/>
      <c r="T342" s="136"/>
      <c r="U342" s="136"/>
      <c r="V342" s="136"/>
    </row>
    <row r="343" spans="14:22" x14ac:dyDescent="0.35">
      <c r="N343" s="135"/>
      <c r="O343" s="136"/>
      <c r="P343" s="136"/>
      <c r="Q343" s="136"/>
      <c r="R343" s="136"/>
      <c r="S343" s="136"/>
      <c r="T343" s="136"/>
      <c r="U343" s="136"/>
      <c r="V343" s="136"/>
    </row>
    <row r="344" spans="14:22" x14ac:dyDescent="0.35">
      <c r="N344" s="135"/>
      <c r="O344" s="136"/>
      <c r="P344" s="136"/>
      <c r="Q344" s="136"/>
      <c r="R344" s="136"/>
      <c r="S344" s="136"/>
      <c r="T344" s="136"/>
      <c r="U344" s="136"/>
      <c r="V344" s="136"/>
    </row>
    <row r="345" spans="14:22" x14ac:dyDescent="0.35">
      <c r="N345" s="135"/>
      <c r="O345" s="136"/>
      <c r="P345" s="136"/>
      <c r="Q345" s="136"/>
      <c r="R345" s="136"/>
      <c r="S345" s="136"/>
      <c r="T345" s="136"/>
      <c r="U345" s="136"/>
      <c r="V345" s="136"/>
    </row>
    <row r="346" spans="14:22" x14ac:dyDescent="0.35">
      <c r="N346" s="135"/>
      <c r="O346" s="136"/>
      <c r="P346" s="136"/>
      <c r="Q346" s="136"/>
      <c r="R346" s="136"/>
      <c r="S346" s="136"/>
      <c r="T346" s="136"/>
      <c r="U346" s="136"/>
      <c r="V346" s="136"/>
    </row>
    <row r="347" spans="14:22" x14ac:dyDescent="0.35">
      <c r="N347" s="135"/>
      <c r="O347" s="136"/>
      <c r="P347" s="136"/>
      <c r="Q347" s="136"/>
      <c r="R347" s="136"/>
      <c r="S347" s="136"/>
      <c r="T347" s="136"/>
      <c r="U347" s="136"/>
      <c r="V347" s="136"/>
    </row>
    <row r="348" spans="14:22" x14ac:dyDescent="0.35">
      <c r="N348" s="135"/>
      <c r="O348" s="136"/>
      <c r="P348" s="136"/>
      <c r="Q348" s="136"/>
      <c r="R348" s="136"/>
      <c r="S348" s="136"/>
      <c r="T348" s="136"/>
      <c r="U348" s="136"/>
      <c r="V348" s="136"/>
    </row>
    <row r="349" spans="14:22" x14ac:dyDescent="0.35">
      <c r="N349" s="135"/>
      <c r="O349" s="136"/>
      <c r="P349" s="136"/>
      <c r="Q349" s="136"/>
      <c r="R349" s="136"/>
      <c r="S349" s="136"/>
      <c r="T349" s="136"/>
      <c r="U349" s="136"/>
      <c r="V349" s="136"/>
    </row>
    <row r="350" spans="14:22" x14ac:dyDescent="0.35">
      <c r="N350" s="135"/>
      <c r="O350" s="136"/>
      <c r="P350" s="136"/>
      <c r="Q350" s="136"/>
      <c r="R350" s="136"/>
      <c r="S350" s="136"/>
      <c r="T350" s="136"/>
      <c r="U350" s="136"/>
      <c r="V350" s="136"/>
    </row>
    <row r="351" spans="14:22" x14ac:dyDescent="0.35">
      <c r="N351" s="135"/>
      <c r="O351" s="136"/>
      <c r="P351" s="136"/>
      <c r="Q351" s="136"/>
      <c r="R351" s="136"/>
      <c r="S351" s="136"/>
      <c r="T351" s="136"/>
      <c r="U351" s="136"/>
      <c r="V351" s="136"/>
    </row>
    <row r="352" spans="14:22" x14ac:dyDescent="0.35">
      <c r="N352" s="135"/>
      <c r="O352" s="136"/>
      <c r="P352" s="136"/>
      <c r="Q352" s="136"/>
      <c r="R352" s="136"/>
      <c r="S352" s="136"/>
      <c r="T352" s="136"/>
      <c r="U352" s="136"/>
      <c r="V352" s="136"/>
    </row>
    <row r="353" spans="14:22" x14ac:dyDescent="0.35">
      <c r="N353" s="135"/>
      <c r="O353" s="136"/>
      <c r="P353" s="136"/>
      <c r="Q353" s="136"/>
      <c r="R353" s="136"/>
      <c r="S353" s="136"/>
      <c r="T353" s="136"/>
      <c r="U353" s="136"/>
      <c r="V353" s="136"/>
    </row>
    <row r="354" spans="14:22" x14ac:dyDescent="0.35">
      <c r="N354" s="135"/>
      <c r="O354" s="136"/>
      <c r="P354" s="136"/>
      <c r="Q354" s="136"/>
      <c r="R354" s="136"/>
      <c r="S354" s="136"/>
      <c r="T354" s="136"/>
      <c r="U354" s="136"/>
      <c r="V354" s="136"/>
    </row>
    <row r="355" spans="14:22" x14ac:dyDescent="0.35">
      <c r="N355" s="135"/>
      <c r="O355" s="136"/>
      <c r="P355" s="136"/>
      <c r="Q355" s="136"/>
      <c r="R355" s="136"/>
      <c r="S355" s="136"/>
      <c r="T355" s="136"/>
      <c r="U355" s="136"/>
      <c r="V355" s="136"/>
    </row>
    <row r="356" spans="14:22" x14ac:dyDescent="0.35">
      <c r="N356" s="135"/>
      <c r="O356" s="136"/>
      <c r="P356" s="136"/>
      <c r="Q356" s="136"/>
      <c r="R356" s="136"/>
      <c r="S356" s="136"/>
      <c r="T356" s="136"/>
      <c r="U356" s="136"/>
      <c r="V356" s="136"/>
    </row>
    <row r="357" spans="14:22" x14ac:dyDescent="0.35">
      <c r="N357" s="135"/>
      <c r="O357" s="136"/>
      <c r="P357" s="136"/>
      <c r="Q357" s="136"/>
      <c r="R357" s="136"/>
      <c r="S357" s="136"/>
      <c r="T357" s="136"/>
      <c r="U357" s="136"/>
      <c r="V357" s="136"/>
    </row>
    <row r="358" spans="14:22" x14ac:dyDescent="0.35">
      <c r="N358" s="135"/>
      <c r="O358" s="136"/>
      <c r="P358" s="136"/>
      <c r="Q358" s="136"/>
      <c r="R358" s="136"/>
      <c r="S358" s="136"/>
      <c r="T358" s="136"/>
      <c r="U358" s="136"/>
      <c r="V358" s="136"/>
    </row>
    <row r="359" spans="14:22" x14ac:dyDescent="0.35">
      <c r="N359" s="135"/>
      <c r="O359" s="136"/>
      <c r="P359" s="136"/>
      <c r="Q359" s="136"/>
      <c r="R359" s="136"/>
      <c r="S359" s="136"/>
      <c r="T359" s="136"/>
      <c r="U359" s="136"/>
      <c r="V359" s="136"/>
    </row>
    <row r="360" spans="14:22" x14ac:dyDescent="0.35">
      <c r="N360" s="135"/>
      <c r="O360" s="136"/>
      <c r="P360" s="136"/>
      <c r="Q360" s="136"/>
      <c r="R360" s="136"/>
      <c r="S360" s="136"/>
      <c r="T360" s="136"/>
      <c r="U360" s="136"/>
      <c r="V360" s="136"/>
    </row>
    <row r="361" spans="14:22" x14ac:dyDescent="0.35">
      <c r="N361" s="135"/>
      <c r="O361" s="136"/>
      <c r="P361" s="136"/>
      <c r="Q361" s="136"/>
      <c r="R361" s="136"/>
      <c r="S361" s="136"/>
      <c r="T361" s="136"/>
      <c r="U361" s="136"/>
      <c r="V361" s="136"/>
    </row>
    <row r="362" spans="14:22" x14ac:dyDescent="0.35">
      <c r="N362" s="135"/>
      <c r="O362" s="136"/>
      <c r="P362" s="136"/>
      <c r="Q362" s="136"/>
      <c r="R362" s="136"/>
      <c r="S362" s="136"/>
      <c r="T362" s="136"/>
      <c r="U362" s="136"/>
      <c r="V362" s="136"/>
    </row>
    <row r="363" spans="14:22" x14ac:dyDescent="0.35">
      <c r="N363" s="135"/>
      <c r="O363" s="136"/>
      <c r="P363" s="136"/>
      <c r="Q363" s="136"/>
      <c r="R363" s="136"/>
      <c r="S363" s="136"/>
      <c r="T363" s="136"/>
      <c r="U363" s="136"/>
      <c r="V363" s="136"/>
    </row>
    <row r="364" spans="14:22" x14ac:dyDescent="0.35">
      <c r="N364" s="135"/>
      <c r="O364" s="136"/>
      <c r="P364" s="136"/>
      <c r="Q364" s="136"/>
      <c r="R364" s="136"/>
      <c r="S364" s="136"/>
      <c r="T364" s="136"/>
      <c r="U364" s="136"/>
      <c r="V364" s="136"/>
    </row>
    <row r="365" spans="14:22" x14ac:dyDescent="0.35">
      <c r="N365" s="135"/>
      <c r="O365" s="136"/>
      <c r="P365" s="136"/>
      <c r="Q365" s="136"/>
      <c r="R365" s="136"/>
      <c r="S365" s="136"/>
      <c r="T365" s="136"/>
      <c r="U365" s="136"/>
      <c r="V365" s="136"/>
    </row>
    <row r="366" spans="14:22" x14ac:dyDescent="0.35">
      <c r="N366" s="135"/>
      <c r="O366" s="136"/>
      <c r="P366" s="136"/>
      <c r="Q366" s="136"/>
      <c r="R366" s="136"/>
      <c r="S366" s="136"/>
      <c r="T366" s="136"/>
      <c r="U366" s="136"/>
      <c r="V366" s="136"/>
    </row>
    <row r="367" spans="14:22" x14ac:dyDescent="0.35">
      <c r="N367" s="135"/>
      <c r="O367" s="136"/>
      <c r="P367" s="136"/>
      <c r="Q367" s="136"/>
      <c r="R367" s="136"/>
      <c r="S367" s="136"/>
      <c r="T367" s="136"/>
      <c r="U367" s="136"/>
      <c r="V367" s="136"/>
    </row>
    <row r="368" spans="14:22" x14ac:dyDescent="0.35">
      <c r="N368" s="135"/>
      <c r="O368" s="136"/>
      <c r="P368" s="136"/>
      <c r="Q368" s="136"/>
      <c r="R368" s="136"/>
      <c r="S368" s="136"/>
      <c r="T368" s="136"/>
      <c r="U368" s="136"/>
      <c r="V368" s="136"/>
    </row>
    <row r="369" spans="14:22" x14ac:dyDescent="0.35">
      <c r="N369" s="135"/>
      <c r="O369" s="136"/>
      <c r="P369" s="136"/>
      <c r="Q369" s="136"/>
      <c r="R369" s="136"/>
      <c r="S369" s="136"/>
      <c r="T369" s="136"/>
      <c r="U369" s="136"/>
      <c r="V369" s="136"/>
    </row>
    <row r="370" spans="14:22" x14ac:dyDescent="0.35">
      <c r="N370" s="135"/>
      <c r="O370" s="136"/>
      <c r="P370" s="136"/>
      <c r="Q370" s="136"/>
      <c r="R370" s="136"/>
      <c r="S370" s="136"/>
      <c r="T370" s="136"/>
      <c r="U370" s="136"/>
      <c r="V370" s="136"/>
    </row>
    <row r="371" spans="14:22" x14ac:dyDescent="0.35">
      <c r="N371" s="135"/>
      <c r="O371" s="136"/>
      <c r="P371" s="136"/>
      <c r="Q371" s="136"/>
      <c r="R371" s="136"/>
      <c r="S371" s="136"/>
      <c r="T371" s="136"/>
      <c r="U371" s="136"/>
      <c r="V371" s="136"/>
    </row>
    <row r="372" spans="14:22" x14ac:dyDescent="0.35">
      <c r="N372" s="135"/>
      <c r="O372" s="136"/>
      <c r="P372" s="136"/>
      <c r="Q372" s="136"/>
      <c r="R372" s="136"/>
      <c r="S372" s="136"/>
      <c r="T372" s="136"/>
      <c r="U372" s="136"/>
      <c r="V372" s="136"/>
    </row>
    <row r="373" spans="14:22" x14ac:dyDescent="0.35">
      <c r="N373" s="135"/>
      <c r="O373" s="136"/>
      <c r="P373" s="136"/>
      <c r="Q373" s="136"/>
      <c r="R373" s="136"/>
      <c r="S373" s="136"/>
      <c r="T373" s="136"/>
      <c r="U373" s="136"/>
      <c r="V373" s="136"/>
    </row>
    <row r="374" spans="14:22" x14ac:dyDescent="0.35">
      <c r="N374" s="135"/>
      <c r="O374" s="136"/>
      <c r="P374" s="136"/>
      <c r="Q374" s="136"/>
      <c r="R374" s="136"/>
      <c r="S374" s="136"/>
      <c r="T374" s="136"/>
      <c r="U374" s="136"/>
      <c r="V374" s="136"/>
    </row>
    <row r="375" spans="14:22" x14ac:dyDescent="0.35">
      <c r="N375" s="135"/>
      <c r="O375" s="136"/>
      <c r="P375" s="136"/>
      <c r="Q375" s="136"/>
      <c r="R375" s="136"/>
      <c r="S375" s="136"/>
      <c r="T375" s="136"/>
      <c r="U375" s="136"/>
      <c r="V375" s="136"/>
    </row>
    <row r="376" spans="14:22" x14ac:dyDescent="0.35">
      <c r="N376" s="135"/>
      <c r="O376" s="136"/>
      <c r="P376" s="136"/>
      <c r="Q376" s="136"/>
      <c r="R376" s="136"/>
      <c r="S376" s="136"/>
      <c r="T376" s="136"/>
      <c r="U376" s="136"/>
      <c r="V376" s="136"/>
    </row>
    <row r="377" spans="14:22" x14ac:dyDescent="0.35">
      <c r="N377" s="135"/>
      <c r="O377" s="136"/>
      <c r="P377" s="136"/>
      <c r="Q377" s="136"/>
      <c r="R377" s="136"/>
      <c r="S377" s="136"/>
      <c r="T377" s="136"/>
      <c r="U377" s="136"/>
      <c r="V377" s="136"/>
    </row>
    <row r="378" spans="14:22" x14ac:dyDescent="0.35">
      <c r="N378" s="135"/>
      <c r="O378" s="136"/>
      <c r="P378" s="136"/>
      <c r="Q378" s="136"/>
      <c r="R378" s="136"/>
      <c r="S378" s="136"/>
      <c r="T378" s="136"/>
      <c r="U378" s="136"/>
      <c r="V378" s="136"/>
    </row>
    <row r="379" spans="14:22" x14ac:dyDescent="0.35">
      <c r="N379" s="135"/>
      <c r="O379" s="136"/>
      <c r="P379" s="136"/>
      <c r="Q379" s="136"/>
      <c r="R379" s="136"/>
      <c r="S379" s="136"/>
      <c r="T379" s="136"/>
      <c r="U379" s="136"/>
      <c r="V379" s="136"/>
    </row>
    <row r="380" spans="14:22" x14ac:dyDescent="0.35">
      <c r="N380" s="135"/>
      <c r="O380" s="136"/>
      <c r="P380" s="136"/>
      <c r="Q380" s="136"/>
      <c r="R380" s="136"/>
      <c r="S380" s="136"/>
      <c r="T380" s="136"/>
      <c r="U380" s="136"/>
      <c r="V380" s="136"/>
    </row>
    <row r="381" spans="14:22" x14ac:dyDescent="0.35">
      <c r="N381" s="135"/>
      <c r="O381" s="136"/>
      <c r="P381" s="136"/>
      <c r="Q381" s="136"/>
      <c r="R381" s="136"/>
      <c r="S381" s="136"/>
      <c r="T381" s="136"/>
      <c r="U381" s="136"/>
      <c r="V381" s="136"/>
    </row>
    <row r="382" spans="14:22" x14ac:dyDescent="0.35">
      <c r="N382" s="135"/>
      <c r="O382" s="136"/>
      <c r="P382" s="136"/>
      <c r="Q382" s="136"/>
      <c r="R382" s="136"/>
      <c r="S382" s="136"/>
      <c r="T382" s="136"/>
      <c r="U382" s="136"/>
      <c r="V382" s="136"/>
    </row>
    <row r="383" spans="14:22" x14ac:dyDescent="0.35">
      <c r="N383" s="135"/>
      <c r="O383" s="136"/>
      <c r="P383" s="136"/>
      <c r="Q383" s="136"/>
      <c r="R383" s="136"/>
      <c r="S383" s="136"/>
      <c r="T383" s="136"/>
      <c r="U383" s="136"/>
      <c r="V383" s="136"/>
    </row>
    <row r="384" spans="14:22" x14ac:dyDescent="0.35">
      <c r="N384" s="135"/>
      <c r="O384" s="136"/>
      <c r="P384" s="136"/>
      <c r="Q384" s="136"/>
      <c r="R384" s="136"/>
      <c r="S384" s="136"/>
      <c r="T384" s="136"/>
      <c r="U384" s="136"/>
      <c r="V384" s="136"/>
    </row>
    <row r="385" spans="14:22" x14ac:dyDescent="0.35">
      <c r="N385" s="135"/>
      <c r="O385" s="136"/>
      <c r="P385" s="136"/>
      <c r="Q385" s="136"/>
      <c r="R385" s="136"/>
      <c r="S385" s="136"/>
      <c r="T385" s="136"/>
      <c r="U385" s="136"/>
      <c r="V385" s="136"/>
    </row>
    <row r="386" spans="14:22" x14ac:dyDescent="0.35">
      <c r="N386" s="135"/>
      <c r="O386" s="136"/>
      <c r="P386" s="136"/>
      <c r="Q386" s="136"/>
      <c r="R386" s="136"/>
      <c r="S386" s="136"/>
      <c r="T386" s="136"/>
      <c r="U386" s="136"/>
      <c r="V386" s="136"/>
    </row>
    <row r="387" spans="14:22" x14ac:dyDescent="0.35">
      <c r="N387" s="135"/>
      <c r="O387" s="136"/>
      <c r="P387" s="136"/>
      <c r="Q387" s="136"/>
      <c r="R387" s="136"/>
      <c r="S387" s="136"/>
      <c r="T387" s="136"/>
      <c r="U387" s="136"/>
      <c r="V387" s="136"/>
    </row>
    <row r="388" spans="14:22" x14ac:dyDescent="0.35">
      <c r="N388" s="135"/>
      <c r="O388" s="136"/>
      <c r="P388" s="136"/>
      <c r="Q388" s="136"/>
      <c r="R388" s="136"/>
      <c r="S388" s="136"/>
      <c r="T388" s="136"/>
      <c r="U388" s="136"/>
      <c r="V388" s="136"/>
    </row>
    <row r="389" spans="14:22" x14ac:dyDescent="0.35">
      <c r="N389" s="135"/>
      <c r="O389" s="136"/>
      <c r="P389" s="136"/>
      <c r="Q389" s="136"/>
      <c r="R389" s="136"/>
      <c r="S389" s="136"/>
      <c r="T389" s="136"/>
      <c r="U389" s="136"/>
      <c r="V389" s="136"/>
    </row>
    <row r="390" spans="14:22" x14ac:dyDescent="0.35">
      <c r="N390" s="135"/>
      <c r="O390" s="136"/>
      <c r="P390" s="136"/>
      <c r="Q390" s="136"/>
      <c r="R390" s="136"/>
      <c r="S390" s="136"/>
      <c r="T390" s="136"/>
      <c r="U390" s="136"/>
      <c r="V390" s="136"/>
    </row>
    <row r="391" spans="14:22" x14ac:dyDescent="0.35">
      <c r="N391" s="135"/>
      <c r="O391" s="136"/>
      <c r="P391" s="136"/>
      <c r="Q391" s="136"/>
      <c r="R391" s="136"/>
      <c r="S391" s="136"/>
      <c r="T391" s="136"/>
      <c r="U391" s="136"/>
      <c r="V391" s="136"/>
    </row>
    <row r="392" spans="14:22" x14ac:dyDescent="0.35">
      <c r="N392" s="135"/>
      <c r="O392" s="136"/>
      <c r="P392" s="136"/>
      <c r="Q392" s="136"/>
      <c r="R392" s="136"/>
      <c r="S392" s="136"/>
      <c r="T392" s="136"/>
      <c r="U392" s="136"/>
      <c r="V392" s="136"/>
    </row>
    <row r="393" spans="14:22" x14ac:dyDescent="0.35">
      <c r="N393" s="135"/>
      <c r="O393" s="136"/>
      <c r="P393" s="136"/>
      <c r="Q393" s="136"/>
      <c r="R393" s="136"/>
      <c r="S393" s="136"/>
      <c r="T393" s="136"/>
      <c r="U393" s="136"/>
      <c r="V393" s="136"/>
    </row>
    <row r="394" spans="14:22" x14ac:dyDescent="0.35">
      <c r="N394" s="135"/>
      <c r="O394" s="136"/>
      <c r="P394" s="136"/>
      <c r="Q394" s="136"/>
      <c r="R394" s="136"/>
      <c r="S394" s="136"/>
      <c r="T394" s="136"/>
      <c r="U394" s="136"/>
      <c r="V394" s="136"/>
    </row>
    <row r="395" spans="14:22" x14ac:dyDescent="0.35">
      <c r="N395" s="135"/>
      <c r="O395" s="136"/>
      <c r="P395" s="136"/>
      <c r="Q395" s="136"/>
      <c r="R395" s="136"/>
      <c r="S395" s="136"/>
      <c r="T395" s="136"/>
      <c r="U395" s="136"/>
      <c r="V395" s="136"/>
    </row>
    <row r="396" spans="14:22" x14ac:dyDescent="0.35">
      <c r="N396" s="135"/>
      <c r="O396" s="136"/>
      <c r="P396" s="136"/>
      <c r="Q396" s="136"/>
      <c r="R396" s="136"/>
      <c r="S396" s="136"/>
      <c r="T396" s="136"/>
      <c r="U396" s="136"/>
      <c r="V396" s="136"/>
    </row>
    <row r="397" spans="14:22" x14ac:dyDescent="0.35">
      <c r="N397" s="135"/>
      <c r="O397" s="136"/>
      <c r="P397" s="136"/>
      <c r="Q397" s="136"/>
      <c r="R397" s="136"/>
      <c r="S397" s="136"/>
      <c r="T397" s="136"/>
      <c r="U397" s="136"/>
      <c r="V397" s="136"/>
    </row>
    <row r="398" spans="14:22" x14ac:dyDescent="0.35">
      <c r="N398" s="135"/>
      <c r="O398" s="136"/>
      <c r="P398" s="136"/>
      <c r="Q398" s="136"/>
      <c r="R398" s="136"/>
      <c r="S398" s="136"/>
      <c r="T398" s="136"/>
      <c r="U398" s="136"/>
      <c r="V398" s="136"/>
    </row>
    <row r="399" spans="14:22" x14ac:dyDescent="0.35">
      <c r="N399" s="135"/>
      <c r="O399" s="136"/>
      <c r="P399" s="136"/>
      <c r="Q399" s="136"/>
      <c r="R399" s="136"/>
      <c r="S399" s="136"/>
      <c r="T399" s="136"/>
      <c r="U399" s="136"/>
      <c r="V399" s="136"/>
    </row>
    <row r="400" spans="14:22" x14ac:dyDescent="0.35">
      <c r="N400" s="135"/>
      <c r="O400" s="136"/>
      <c r="P400" s="136"/>
      <c r="Q400" s="136"/>
      <c r="R400" s="136"/>
      <c r="S400" s="136"/>
      <c r="T400" s="136"/>
      <c r="U400" s="136"/>
      <c r="V400" s="136"/>
    </row>
    <row r="401" spans="14:22" x14ac:dyDescent="0.35">
      <c r="N401" s="135"/>
      <c r="O401" s="136"/>
      <c r="P401" s="136"/>
      <c r="Q401" s="136"/>
      <c r="R401" s="136"/>
      <c r="S401" s="136"/>
      <c r="T401" s="136"/>
      <c r="U401" s="136"/>
      <c r="V401" s="136"/>
    </row>
    <row r="402" spans="14:22" x14ac:dyDescent="0.35">
      <c r="N402" s="135"/>
      <c r="O402" s="136"/>
      <c r="P402" s="136"/>
      <c r="Q402" s="136"/>
      <c r="R402" s="136"/>
      <c r="S402" s="136"/>
      <c r="T402" s="136"/>
      <c r="U402" s="136"/>
      <c r="V402" s="136"/>
    </row>
    <row r="403" spans="14:22" x14ac:dyDescent="0.35">
      <c r="N403" s="135"/>
      <c r="O403" s="136"/>
      <c r="P403" s="136"/>
      <c r="Q403" s="136"/>
      <c r="R403" s="136"/>
      <c r="S403" s="136"/>
      <c r="T403" s="136"/>
      <c r="U403" s="136"/>
      <c r="V403" s="136"/>
    </row>
    <row r="404" spans="14:22" x14ac:dyDescent="0.35">
      <c r="N404" s="135"/>
      <c r="O404" s="136"/>
      <c r="P404" s="136"/>
      <c r="Q404" s="136"/>
      <c r="R404" s="136"/>
      <c r="S404" s="136"/>
      <c r="T404" s="136"/>
      <c r="U404" s="136"/>
      <c r="V404" s="136"/>
    </row>
    <row r="405" spans="14:22" x14ac:dyDescent="0.35">
      <c r="N405" s="135"/>
      <c r="O405" s="136"/>
      <c r="P405" s="136"/>
      <c r="Q405" s="136"/>
      <c r="R405" s="136"/>
      <c r="S405" s="136"/>
      <c r="T405" s="136"/>
      <c r="U405" s="136"/>
      <c r="V405" s="136"/>
    </row>
    <row r="406" spans="14:22" x14ac:dyDescent="0.35">
      <c r="N406" s="135"/>
      <c r="O406" s="136"/>
      <c r="P406" s="136"/>
      <c r="Q406" s="136"/>
      <c r="R406" s="136"/>
      <c r="S406" s="136"/>
      <c r="T406" s="136"/>
      <c r="U406" s="136"/>
      <c r="V406" s="136"/>
    </row>
    <row r="407" spans="14:22" x14ac:dyDescent="0.35">
      <c r="N407" s="135"/>
      <c r="O407" s="136"/>
      <c r="P407" s="136"/>
      <c r="Q407" s="136"/>
      <c r="R407" s="136"/>
      <c r="S407" s="136"/>
      <c r="T407" s="136"/>
      <c r="U407" s="136"/>
      <c r="V407" s="136"/>
    </row>
    <row r="408" spans="14:22" x14ac:dyDescent="0.35">
      <c r="N408" s="135"/>
      <c r="O408" s="136"/>
      <c r="P408" s="136"/>
      <c r="Q408" s="136"/>
      <c r="R408" s="136"/>
      <c r="S408" s="136"/>
      <c r="T408" s="136"/>
      <c r="U408" s="136"/>
      <c r="V408" s="136"/>
    </row>
    <row r="409" spans="14:22" x14ac:dyDescent="0.35">
      <c r="N409" s="135"/>
      <c r="O409" s="136"/>
      <c r="P409" s="136"/>
      <c r="Q409" s="136"/>
      <c r="R409" s="136"/>
      <c r="S409" s="136"/>
      <c r="T409" s="136"/>
      <c r="U409" s="136"/>
      <c r="V409" s="136"/>
    </row>
    <row r="410" spans="14:22" x14ac:dyDescent="0.35">
      <c r="N410" s="135"/>
      <c r="O410" s="136"/>
      <c r="P410" s="136"/>
      <c r="Q410" s="136"/>
      <c r="R410" s="136"/>
      <c r="S410" s="136"/>
      <c r="T410" s="136"/>
      <c r="U410" s="136"/>
      <c r="V410" s="136"/>
    </row>
    <row r="411" spans="14:22" x14ac:dyDescent="0.35">
      <c r="N411" s="135"/>
      <c r="O411" s="136"/>
      <c r="P411" s="136"/>
      <c r="Q411" s="136"/>
      <c r="R411" s="136"/>
      <c r="S411" s="136"/>
      <c r="T411" s="136"/>
      <c r="U411" s="136"/>
      <c r="V411" s="136"/>
    </row>
    <row r="412" spans="14:22" x14ac:dyDescent="0.35">
      <c r="N412" s="135"/>
      <c r="O412" s="136"/>
      <c r="P412" s="136"/>
      <c r="Q412" s="136"/>
      <c r="R412" s="136"/>
      <c r="S412" s="136"/>
      <c r="T412" s="136"/>
      <c r="U412" s="136"/>
      <c r="V412" s="136"/>
    </row>
    <row r="413" spans="14:22" x14ac:dyDescent="0.35">
      <c r="N413" s="135"/>
      <c r="O413" s="136"/>
      <c r="P413" s="136"/>
      <c r="Q413" s="136"/>
      <c r="R413" s="136"/>
      <c r="S413" s="136"/>
      <c r="T413" s="136"/>
      <c r="U413" s="136"/>
      <c r="V413" s="136"/>
    </row>
    <row r="414" spans="14:22" x14ac:dyDescent="0.35">
      <c r="N414" s="135"/>
      <c r="O414" s="136"/>
      <c r="P414" s="136"/>
      <c r="Q414" s="136"/>
      <c r="R414" s="136"/>
      <c r="S414" s="136"/>
      <c r="T414" s="136"/>
      <c r="U414" s="136"/>
      <c r="V414" s="136"/>
    </row>
    <row r="415" spans="14:22" x14ac:dyDescent="0.35">
      <c r="N415" s="135"/>
      <c r="O415" s="136"/>
      <c r="P415" s="136"/>
      <c r="Q415" s="136"/>
      <c r="R415" s="136"/>
      <c r="S415" s="136"/>
      <c r="T415" s="136"/>
      <c r="U415" s="136"/>
      <c r="V415" s="136"/>
    </row>
    <row r="416" spans="14:22" x14ac:dyDescent="0.35">
      <c r="N416" s="135"/>
      <c r="O416" s="136"/>
      <c r="P416" s="136"/>
      <c r="Q416" s="136"/>
      <c r="R416" s="136"/>
      <c r="S416" s="136"/>
      <c r="T416" s="136"/>
      <c r="U416" s="136"/>
      <c r="V416" s="136"/>
    </row>
    <row r="417" spans="14:22" x14ac:dyDescent="0.35">
      <c r="N417" s="135"/>
      <c r="O417" s="136"/>
      <c r="P417" s="136"/>
      <c r="Q417" s="136"/>
      <c r="R417" s="136"/>
      <c r="S417" s="136"/>
      <c r="T417" s="136"/>
      <c r="U417" s="136"/>
      <c r="V417" s="136"/>
    </row>
    <row r="418" spans="14:22" x14ac:dyDescent="0.35">
      <c r="N418" s="135"/>
      <c r="O418" s="136"/>
      <c r="P418" s="136"/>
      <c r="Q418" s="136"/>
      <c r="R418" s="136"/>
      <c r="S418" s="136"/>
      <c r="T418" s="136"/>
      <c r="U418" s="136"/>
      <c r="V418" s="136"/>
    </row>
    <row r="419" spans="14:22" x14ac:dyDescent="0.35">
      <c r="N419" s="135"/>
      <c r="O419" s="136"/>
      <c r="P419" s="136"/>
      <c r="Q419" s="136"/>
      <c r="R419" s="136"/>
      <c r="S419" s="136"/>
      <c r="T419" s="136"/>
      <c r="U419" s="136"/>
      <c r="V419" s="136"/>
    </row>
    <row r="420" spans="14:22" x14ac:dyDescent="0.35">
      <c r="N420" s="135"/>
      <c r="O420" s="136"/>
      <c r="P420" s="136"/>
      <c r="Q420" s="136"/>
      <c r="R420" s="136"/>
      <c r="S420" s="136"/>
      <c r="T420" s="136"/>
      <c r="U420" s="136"/>
      <c r="V420" s="136"/>
    </row>
    <row r="421" spans="14:22" x14ac:dyDescent="0.35">
      <c r="N421" s="135"/>
      <c r="O421" s="136"/>
      <c r="P421" s="136"/>
      <c r="Q421" s="136"/>
      <c r="R421" s="136"/>
      <c r="S421" s="136"/>
      <c r="T421" s="136"/>
      <c r="U421" s="136"/>
      <c r="V421" s="136"/>
    </row>
    <row r="422" spans="14:22" x14ac:dyDescent="0.35">
      <c r="N422" s="135"/>
      <c r="O422" s="136"/>
      <c r="P422" s="136"/>
      <c r="Q422" s="136"/>
      <c r="R422" s="136"/>
      <c r="S422" s="136"/>
      <c r="T422" s="136"/>
      <c r="U422" s="136"/>
      <c r="V422" s="136"/>
    </row>
    <row r="423" spans="14:22" x14ac:dyDescent="0.35">
      <c r="N423" s="135"/>
      <c r="O423" s="136"/>
      <c r="P423" s="136"/>
      <c r="Q423" s="136"/>
      <c r="R423" s="136"/>
      <c r="S423" s="136"/>
      <c r="T423" s="136"/>
      <c r="U423" s="136"/>
      <c r="V423" s="136"/>
    </row>
    <row r="424" spans="14:22" x14ac:dyDescent="0.35">
      <c r="N424" s="135"/>
      <c r="O424" s="136"/>
      <c r="P424" s="136"/>
      <c r="Q424" s="136"/>
      <c r="R424" s="136"/>
      <c r="S424" s="136"/>
      <c r="T424" s="136"/>
      <c r="U424" s="136"/>
      <c r="V424" s="136"/>
    </row>
    <row r="425" spans="14:22" x14ac:dyDescent="0.35">
      <c r="N425" s="135"/>
      <c r="O425" s="136"/>
      <c r="P425" s="136"/>
      <c r="Q425" s="136"/>
      <c r="R425" s="136"/>
      <c r="S425" s="136"/>
      <c r="T425" s="136"/>
      <c r="U425" s="136"/>
      <c r="V425" s="136"/>
    </row>
    <row r="426" spans="14:22" x14ac:dyDescent="0.35">
      <c r="N426" s="135"/>
      <c r="O426" s="136"/>
      <c r="P426" s="136"/>
      <c r="Q426" s="136"/>
      <c r="R426" s="136"/>
      <c r="S426" s="136"/>
      <c r="T426" s="136"/>
      <c r="U426" s="136"/>
      <c r="V426" s="136"/>
    </row>
    <row r="427" spans="14:22" x14ac:dyDescent="0.35">
      <c r="N427" s="135"/>
      <c r="O427" s="136"/>
      <c r="P427" s="136"/>
      <c r="Q427" s="136"/>
      <c r="R427" s="136"/>
      <c r="S427" s="136"/>
      <c r="T427" s="136"/>
      <c r="U427" s="136"/>
      <c r="V427" s="136"/>
    </row>
    <row r="428" spans="14:22" x14ac:dyDescent="0.35">
      <c r="N428" s="135"/>
      <c r="O428" s="136"/>
      <c r="P428" s="136"/>
      <c r="Q428" s="136"/>
      <c r="R428" s="136"/>
      <c r="S428" s="136"/>
      <c r="T428" s="136"/>
      <c r="U428" s="136"/>
      <c r="V428" s="136"/>
    </row>
    <row r="429" spans="14:22" x14ac:dyDescent="0.35">
      <c r="N429" s="135"/>
      <c r="O429" s="136"/>
      <c r="P429" s="136"/>
      <c r="Q429" s="136"/>
      <c r="R429" s="136"/>
      <c r="S429" s="136"/>
      <c r="T429" s="136"/>
      <c r="U429" s="136"/>
      <c r="V429" s="136"/>
    </row>
    <row r="430" spans="14:22" x14ac:dyDescent="0.35">
      <c r="N430" s="135"/>
      <c r="O430" s="136"/>
      <c r="P430" s="136"/>
      <c r="Q430" s="136"/>
      <c r="R430" s="136"/>
      <c r="S430" s="136"/>
      <c r="T430" s="136"/>
      <c r="U430" s="136"/>
      <c r="V430" s="136"/>
    </row>
    <row r="431" spans="14:22" x14ac:dyDescent="0.35">
      <c r="N431" s="135"/>
      <c r="O431" s="136"/>
      <c r="P431" s="136"/>
      <c r="Q431" s="136"/>
      <c r="R431" s="136"/>
      <c r="S431" s="136"/>
      <c r="T431" s="136"/>
      <c r="U431" s="136"/>
      <c r="V431" s="136"/>
    </row>
    <row r="432" spans="14:22" x14ac:dyDescent="0.35">
      <c r="N432" s="135"/>
      <c r="O432" s="136"/>
      <c r="P432" s="136"/>
      <c r="Q432" s="136"/>
      <c r="R432" s="136"/>
      <c r="S432" s="136"/>
      <c r="T432" s="136"/>
      <c r="U432" s="136"/>
      <c r="V432" s="136"/>
    </row>
    <row r="433" spans="14:22" x14ac:dyDescent="0.35">
      <c r="N433" s="135"/>
      <c r="O433" s="136"/>
      <c r="P433" s="136"/>
      <c r="Q433" s="136"/>
      <c r="R433" s="136"/>
      <c r="S433" s="136"/>
      <c r="T433" s="136"/>
      <c r="U433" s="136"/>
      <c r="V433" s="136"/>
    </row>
    <row r="434" spans="14:22" x14ac:dyDescent="0.35">
      <c r="N434" s="135"/>
      <c r="O434" s="136"/>
      <c r="P434" s="136"/>
      <c r="Q434" s="136"/>
      <c r="R434" s="136"/>
      <c r="S434" s="136"/>
      <c r="T434" s="136"/>
      <c r="U434" s="136"/>
      <c r="V434" s="136"/>
    </row>
    <row r="435" spans="14:22" x14ac:dyDescent="0.35">
      <c r="N435" s="135"/>
      <c r="O435" s="136"/>
      <c r="P435" s="136"/>
      <c r="Q435" s="136"/>
      <c r="R435" s="136"/>
      <c r="S435" s="136"/>
      <c r="T435" s="136"/>
      <c r="U435" s="136"/>
      <c r="V435" s="136"/>
    </row>
    <row r="436" spans="14:22" x14ac:dyDescent="0.35">
      <c r="N436" s="135"/>
      <c r="O436" s="136"/>
      <c r="P436" s="136"/>
      <c r="Q436" s="136"/>
      <c r="R436" s="136"/>
      <c r="S436" s="136"/>
      <c r="T436" s="136"/>
      <c r="U436" s="136"/>
      <c r="V436" s="136"/>
    </row>
    <row r="437" spans="14:22" x14ac:dyDescent="0.35">
      <c r="N437" s="135"/>
      <c r="O437" s="136"/>
      <c r="P437" s="136"/>
      <c r="Q437" s="136"/>
      <c r="R437" s="136"/>
      <c r="S437" s="136"/>
      <c r="T437" s="136"/>
      <c r="U437" s="136"/>
      <c r="V437" s="136"/>
    </row>
    <row r="438" spans="14:22" x14ac:dyDescent="0.35">
      <c r="N438" s="135"/>
      <c r="O438" s="136"/>
      <c r="P438" s="136"/>
      <c r="Q438" s="136"/>
      <c r="R438" s="136"/>
      <c r="S438" s="136"/>
      <c r="T438" s="136"/>
      <c r="U438" s="136"/>
      <c r="V438" s="136"/>
    </row>
    <row r="439" spans="14:22" x14ac:dyDescent="0.35">
      <c r="N439" s="135"/>
      <c r="O439" s="136"/>
      <c r="P439" s="136"/>
      <c r="Q439" s="136"/>
      <c r="R439" s="136"/>
      <c r="S439" s="136"/>
      <c r="T439" s="136"/>
      <c r="U439" s="136"/>
      <c r="V439" s="136"/>
    </row>
    <row r="440" spans="14:22" x14ac:dyDescent="0.35">
      <c r="N440" s="135"/>
      <c r="O440" s="136"/>
      <c r="P440" s="136"/>
      <c r="Q440" s="136"/>
      <c r="R440" s="136"/>
      <c r="S440" s="136"/>
      <c r="T440" s="136"/>
      <c r="U440" s="136"/>
      <c r="V440" s="136"/>
    </row>
    <row r="441" spans="14:22" x14ac:dyDescent="0.35">
      <c r="N441" s="135"/>
      <c r="O441" s="136"/>
      <c r="P441" s="136"/>
      <c r="Q441" s="136"/>
      <c r="R441" s="136"/>
      <c r="S441" s="136"/>
      <c r="T441" s="136"/>
      <c r="U441" s="136"/>
      <c r="V441" s="136"/>
    </row>
    <row r="442" spans="14:22" x14ac:dyDescent="0.35">
      <c r="N442" s="135"/>
      <c r="O442" s="136"/>
      <c r="P442" s="136"/>
      <c r="Q442" s="136"/>
      <c r="R442" s="136"/>
      <c r="S442" s="136"/>
      <c r="T442" s="136"/>
      <c r="U442" s="136"/>
      <c r="V442" s="136"/>
    </row>
    <row r="443" spans="14:22" x14ac:dyDescent="0.35">
      <c r="N443" s="135"/>
      <c r="O443" s="136"/>
      <c r="P443" s="136"/>
      <c r="Q443" s="136"/>
      <c r="R443" s="136"/>
      <c r="S443" s="136"/>
      <c r="T443" s="136"/>
      <c r="U443" s="136"/>
      <c r="V443" s="136"/>
    </row>
    <row r="444" spans="14:22" x14ac:dyDescent="0.35">
      <c r="N444" s="135"/>
      <c r="O444" s="136"/>
      <c r="P444" s="136"/>
      <c r="Q444" s="136"/>
      <c r="R444" s="136"/>
      <c r="S444" s="136"/>
      <c r="T444" s="136"/>
      <c r="U444" s="136"/>
      <c r="V444" s="136"/>
    </row>
    <row r="445" spans="14:22" x14ac:dyDescent="0.35">
      <c r="N445" s="135"/>
      <c r="O445" s="136"/>
      <c r="P445" s="136"/>
      <c r="Q445" s="136"/>
      <c r="R445" s="136"/>
      <c r="S445" s="136"/>
      <c r="T445" s="136"/>
      <c r="U445" s="136"/>
      <c r="V445" s="136"/>
    </row>
    <row r="446" spans="14:22" x14ac:dyDescent="0.35">
      <c r="N446" s="135"/>
      <c r="O446" s="136"/>
      <c r="P446" s="136"/>
      <c r="Q446" s="136"/>
      <c r="R446" s="136"/>
      <c r="S446" s="136"/>
      <c r="T446" s="136"/>
      <c r="U446" s="136"/>
      <c r="V446" s="136"/>
    </row>
    <row r="447" spans="14:22" x14ac:dyDescent="0.35">
      <c r="N447" s="135"/>
      <c r="O447" s="136"/>
      <c r="P447" s="136"/>
      <c r="Q447" s="136"/>
      <c r="R447" s="136"/>
      <c r="S447" s="136"/>
      <c r="T447" s="136"/>
      <c r="U447" s="136"/>
      <c r="V447" s="136"/>
    </row>
    <row r="448" spans="14:22" x14ac:dyDescent="0.35">
      <c r="N448" s="135"/>
      <c r="O448" s="136"/>
      <c r="P448" s="136"/>
      <c r="Q448" s="136"/>
      <c r="R448" s="136"/>
      <c r="S448" s="136"/>
      <c r="T448" s="136"/>
      <c r="U448" s="136"/>
      <c r="V448" s="136"/>
    </row>
    <row r="449" spans="14:22" x14ac:dyDescent="0.35">
      <c r="N449" s="135"/>
      <c r="O449" s="136"/>
      <c r="P449" s="136"/>
      <c r="Q449" s="136"/>
      <c r="R449" s="136"/>
      <c r="S449" s="136"/>
      <c r="T449" s="136"/>
      <c r="U449" s="136"/>
      <c r="V449" s="136"/>
    </row>
    <row r="450" spans="14:22" x14ac:dyDescent="0.35">
      <c r="N450" s="135"/>
      <c r="O450" s="136"/>
      <c r="P450" s="136"/>
      <c r="Q450" s="136"/>
      <c r="R450" s="136"/>
      <c r="S450" s="136"/>
      <c r="T450" s="136"/>
      <c r="U450" s="136"/>
      <c r="V450" s="136"/>
    </row>
    <row r="451" spans="14:22" x14ac:dyDescent="0.35">
      <c r="N451" s="135"/>
      <c r="O451" s="136"/>
      <c r="P451" s="136"/>
      <c r="Q451" s="136"/>
      <c r="R451" s="136"/>
      <c r="S451" s="136"/>
      <c r="T451" s="136"/>
      <c r="U451" s="136"/>
      <c r="V451" s="136"/>
    </row>
    <row r="452" spans="14:22" x14ac:dyDescent="0.35">
      <c r="N452" s="135"/>
      <c r="O452" s="136"/>
      <c r="P452" s="136"/>
      <c r="Q452" s="136"/>
      <c r="R452" s="136"/>
      <c r="S452" s="136"/>
      <c r="T452" s="136"/>
      <c r="U452" s="136"/>
      <c r="V452" s="136"/>
    </row>
    <row r="453" spans="14:22" x14ac:dyDescent="0.35">
      <c r="N453" s="135"/>
      <c r="O453" s="136"/>
      <c r="P453" s="136"/>
      <c r="Q453" s="136"/>
      <c r="R453" s="136"/>
      <c r="S453" s="136"/>
      <c r="T453" s="136"/>
      <c r="U453" s="136"/>
      <c r="V453" s="136"/>
    </row>
    <row r="454" spans="14:22" x14ac:dyDescent="0.35">
      <c r="N454" s="135"/>
      <c r="O454" s="136"/>
      <c r="P454" s="136"/>
      <c r="Q454" s="136"/>
      <c r="R454" s="136"/>
      <c r="S454" s="136"/>
      <c r="T454" s="136"/>
      <c r="U454" s="136"/>
      <c r="V454" s="136"/>
    </row>
    <row r="455" spans="14:22" x14ac:dyDescent="0.35">
      <c r="N455" s="135"/>
      <c r="O455" s="136"/>
      <c r="P455" s="136"/>
      <c r="Q455" s="136"/>
      <c r="R455" s="136"/>
      <c r="S455" s="136"/>
      <c r="T455" s="136"/>
      <c r="U455" s="136"/>
      <c r="V455" s="136"/>
    </row>
    <row r="456" spans="14:22" x14ac:dyDescent="0.35">
      <c r="N456" s="135"/>
      <c r="O456" s="136"/>
      <c r="P456" s="136"/>
      <c r="Q456" s="136"/>
      <c r="R456" s="136"/>
      <c r="S456" s="136"/>
      <c r="T456" s="136"/>
      <c r="U456" s="136"/>
      <c r="V456" s="136"/>
    </row>
    <row r="457" spans="14:22" x14ac:dyDescent="0.35">
      <c r="N457" s="135"/>
      <c r="O457" s="136"/>
      <c r="P457" s="136"/>
      <c r="Q457" s="136"/>
      <c r="R457" s="136"/>
      <c r="S457" s="136"/>
      <c r="T457" s="136"/>
      <c r="U457" s="136"/>
      <c r="V457" s="136"/>
    </row>
    <row r="458" spans="14:22" x14ac:dyDescent="0.35">
      <c r="N458" s="135"/>
      <c r="O458" s="136"/>
      <c r="P458" s="136"/>
      <c r="Q458" s="136"/>
      <c r="R458" s="136"/>
      <c r="S458" s="136"/>
      <c r="T458" s="136"/>
      <c r="U458" s="136"/>
      <c r="V458" s="136"/>
    </row>
    <row r="459" spans="14:22" x14ac:dyDescent="0.35">
      <c r="N459" s="135"/>
      <c r="O459" s="136"/>
      <c r="P459" s="136"/>
      <c r="Q459" s="136"/>
      <c r="R459" s="136"/>
      <c r="S459" s="136"/>
      <c r="T459" s="136"/>
      <c r="U459" s="136"/>
      <c r="V459" s="136"/>
    </row>
    <row r="460" spans="14:22" x14ac:dyDescent="0.35">
      <c r="N460" s="135"/>
      <c r="O460" s="136"/>
      <c r="P460" s="136"/>
      <c r="Q460" s="136"/>
      <c r="R460" s="136"/>
      <c r="S460" s="136"/>
      <c r="T460" s="136"/>
      <c r="U460" s="136"/>
      <c r="V460" s="136"/>
    </row>
    <row r="461" spans="14:22" x14ac:dyDescent="0.35">
      <c r="N461" s="135"/>
      <c r="O461" s="136"/>
      <c r="P461" s="136"/>
      <c r="Q461" s="136"/>
      <c r="R461" s="136"/>
      <c r="S461" s="136"/>
      <c r="T461" s="136"/>
      <c r="U461" s="136"/>
      <c r="V461" s="136"/>
    </row>
    <row r="462" spans="14:22" x14ac:dyDescent="0.35">
      <c r="N462" s="135"/>
      <c r="O462" s="136"/>
      <c r="P462" s="136"/>
      <c r="Q462" s="136"/>
      <c r="R462" s="136"/>
      <c r="S462" s="136"/>
      <c r="T462" s="136"/>
      <c r="U462" s="136"/>
      <c r="V462" s="136"/>
    </row>
    <row r="463" spans="14:22" x14ac:dyDescent="0.35">
      <c r="N463" s="135"/>
      <c r="O463" s="136"/>
      <c r="P463" s="136"/>
      <c r="Q463" s="136"/>
      <c r="R463" s="136"/>
      <c r="S463" s="136"/>
      <c r="T463" s="136"/>
      <c r="U463" s="136"/>
      <c r="V463" s="136"/>
    </row>
    <row r="464" spans="14:22" x14ac:dyDescent="0.35">
      <c r="N464" s="135"/>
      <c r="O464" s="136"/>
      <c r="P464" s="136"/>
      <c r="Q464" s="136"/>
      <c r="R464" s="136"/>
      <c r="S464" s="136"/>
      <c r="T464" s="136"/>
      <c r="U464" s="136"/>
      <c r="V464" s="136"/>
    </row>
    <row r="465" spans="14:22" x14ac:dyDescent="0.35">
      <c r="N465" s="135"/>
      <c r="O465" s="136"/>
      <c r="P465" s="136"/>
      <c r="Q465" s="136"/>
      <c r="R465" s="136"/>
      <c r="S465" s="136"/>
      <c r="T465" s="136"/>
      <c r="U465" s="136"/>
      <c r="V465" s="136"/>
    </row>
    <row r="466" spans="14:22" x14ac:dyDescent="0.35">
      <c r="N466" s="135"/>
      <c r="O466" s="136"/>
      <c r="P466" s="136"/>
      <c r="Q466" s="136"/>
      <c r="R466" s="136"/>
      <c r="S466" s="136"/>
      <c r="T466" s="136"/>
      <c r="U466" s="136"/>
      <c r="V466" s="136"/>
    </row>
    <row r="467" spans="14:22" x14ac:dyDescent="0.35">
      <c r="N467" s="135"/>
      <c r="O467" s="136"/>
      <c r="P467" s="136"/>
      <c r="Q467" s="136"/>
      <c r="R467" s="136"/>
      <c r="S467" s="136"/>
      <c r="T467" s="136"/>
      <c r="U467" s="136"/>
      <c r="V467" s="136"/>
    </row>
    <row r="468" spans="14:22" x14ac:dyDescent="0.35">
      <c r="N468" s="135"/>
      <c r="O468" s="136"/>
      <c r="P468" s="136"/>
      <c r="Q468" s="136"/>
      <c r="R468" s="136"/>
      <c r="S468" s="136"/>
      <c r="T468" s="136"/>
      <c r="U468" s="136"/>
      <c r="V468" s="136"/>
    </row>
    <row r="469" spans="14:22" x14ac:dyDescent="0.35">
      <c r="N469" s="135"/>
      <c r="O469" s="136"/>
      <c r="P469" s="136"/>
      <c r="Q469" s="136"/>
      <c r="R469" s="136"/>
      <c r="S469" s="136"/>
      <c r="T469" s="136"/>
      <c r="U469" s="136"/>
      <c r="V469" s="136"/>
    </row>
    <row r="470" spans="14:22" x14ac:dyDescent="0.35">
      <c r="N470" s="135"/>
      <c r="O470" s="136"/>
      <c r="P470" s="136"/>
      <c r="Q470" s="136"/>
      <c r="R470" s="136"/>
      <c r="S470" s="136"/>
      <c r="T470" s="136"/>
      <c r="U470" s="136"/>
      <c r="V470" s="136"/>
    </row>
    <row r="471" spans="14:22" x14ac:dyDescent="0.35">
      <c r="N471" s="135"/>
      <c r="O471" s="136"/>
      <c r="P471" s="136"/>
      <c r="Q471" s="136"/>
      <c r="R471" s="136"/>
      <c r="S471" s="136"/>
      <c r="T471" s="136"/>
      <c r="U471" s="136"/>
      <c r="V471" s="136"/>
    </row>
    <row r="472" spans="14:22" x14ac:dyDescent="0.35">
      <c r="N472" s="135"/>
      <c r="O472" s="136"/>
      <c r="P472" s="136"/>
      <c r="Q472" s="136"/>
      <c r="R472" s="136"/>
      <c r="S472" s="136"/>
      <c r="T472" s="136"/>
      <c r="U472" s="136"/>
      <c r="V472" s="136"/>
    </row>
    <row r="473" spans="14:22" x14ac:dyDescent="0.35">
      <c r="N473" s="135"/>
      <c r="O473" s="136"/>
      <c r="P473" s="136"/>
      <c r="Q473" s="136"/>
      <c r="R473" s="136"/>
      <c r="S473" s="136"/>
      <c r="T473" s="136"/>
      <c r="U473" s="136"/>
      <c r="V473" s="136"/>
    </row>
    <row r="474" spans="14:22" x14ac:dyDescent="0.35">
      <c r="N474" s="135"/>
      <c r="O474" s="136"/>
      <c r="P474" s="136"/>
      <c r="Q474" s="136"/>
      <c r="R474" s="136"/>
      <c r="S474" s="136"/>
      <c r="T474" s="136"/>
      <c r="U474" s="136"/>
      <c r="V474" s="136"/>
    </row>
    <row r="475" spans="14:22" x14ac:dyDescent="0.35">
      <c r="N475" s="135"/>
      <c r="O475" s="136"/>
      <c r="P475" s="136"/>
      <c r="Q475" s="136"/>
      <c r="R475" s="136"/>
      <c r="S475" s="136"/>
      <c r="T475" s="136"/>
      <c r="U475" s="136"/>
      <c r="V475" s="136"/>
    </row>
    <row r="476" spans="14:22" x14ac:dyDescent="0.35">
      <c r="N476" s="135"/>
      <c r="O476" s="136"/>
      <c r="P476" s="136"/>
      <c r="Q476" s="136"/>
      <c r="R476" s="136"/>
      <c r="S476" s="136"/>
      <c r="T476" s="136"/>
      <c r="U476" s="136"/>
      <c r="V476" s="136"/>
    </row>
    <row r="477" spans="14:22" x14ac:dyDescent="0.35">
      <c r="N477" s="135"/>
      <c r="O477" s="136"/>
      <c r="P477" s="136"/>
      <c r="Q477" s="136"/>
      <c r="R477" s="136"/>
      <c r="S477" s="136"/>
      <c r="T477" s="136"/>
      <c r="U477" s="136"/>
      <c r="V477" s="136"/>
    </row>
    <row r="478" spans="14:22" x14ac:dyDescent="0.35">
      <c r="N478" s="135"/>
      <c r="O478" s="136"/>
      <c r="P478" s="136"/>
      <c r="Q478" s="136"/>
      <c r="R478" s="136"/>
      <c r="S478" s="136"/>
      <c r="T478" s="136"/>
      <c r="U478" s="136"/>
      <c r="V478" s="136"/>
    </row>
    <row r="479" spans="14:22" x14ac:dyDescent="0.35">
      <c r="N479" s="135"/>
      <c r="O479" s="136"/>
      <c r="P479" s="136"/>
      <c r="Q479" s="136"/>
      <c r="R479" s="136"/>
      <c r="S479" s="136"/>
      <c r="T479" s="136"/>
      <c r="U479" s="136"/>
      <c r="V479" s="136"/>
    </row>
    <row r="480" spans="14:22" x14ac:dyDescent="0.35">
      <c r="N480" s="135"/>
      <c r="O480" s="136"/>
      <c r="P480" s="136"/>
      <c r="Q480" s="136"/>
      <c r="R480" s="136"/>
      <c r="S480" s="136"/>
      <c r="T480" s="136"/>
      <c r="U480" s="136"/>
      <c r="V480" s="136"/>
    </row>
    <row r="481" spans="14:22" x14ac:dyDescent="0.35">
      <c r="N481" s="135"/>
      <c r="O481" s="136"/>
      <c r="P481" s="136"/>
      <c r="Q481" s="136"/>
      <c r="R481" s="136"/>
      <c r="S481" s="136"/>
      <c r="T481" s="136"/>
      <c r="U481" s="136"/>
      <c r="V481" s="136"/>
    </row>
    <row r="482" spans="14:22" x14ac:dyDescent="0.35">
      <c r="N482" s="135"/>
      <c r="O482" s="136"/>
      <c r="P482" s="136"/>
      <c r="Q482" s="136"/>
      <c r="R482" s="136"/>
      <c r="S482" s="136"/>
      <c r="T482" s="136"/>
      <c r="U482" s="136"/>
      <c r="V482" s="136"/>
    </row>
    <row r="483" spans="14:22" x14ac:dyDescent="0.35">
      <c r="N483" s="135"/>
      <c r="O483" s="136"/>
      <c r="P483" s="136"/>
      <c r="Q483" s="136"/>
      <c r="R483" s="136"/>
      <c r="S483" s="136"/>
      <c r="T483" s="136"/>
      <c r="U483" s="136"/>
      <c r="V483" s="136"/>
    </row>
    <row r="484" spans="14:22" x14ac:dyDescent="0.35">
      <c r="N484" s="135"/>
      <c r="O484" s="136"/>
      <c r="P484" s="136"/>
      <c r="Q484" s="136"/>
      <c r="R484" s="136"/>
      <c r="S484" s="136"/>
      <c r="T484" s="136"/>
      <c r="U484" s="136"/>
      <c r="V484" s="136"/>
    </row>
    <row r="485" spans="14:22" x14ac:dyDescent="0.35">
      <c r="N485" s="135"/>
      <c r="O485" s="136"/>
      <c r="P485" s="136"/>
      <c r="Q485" s="136"/>
      <c r="R485" s="136"/>
      <c r="S485" s="136"/>
      <c r="T485" s="136"/>
      <c r="U485" s="136"/>
      <c r="V485" s="136"/>
    </row>
    <row r="486" spans="14:22" x14ac:dyDescent="0.35">
      <c r="N486" s="135"/>
      <c r="O486" s="136"/>
      <c r="P486" s="136"/>
      <c r="Q486" s="136"/>
      <c r="R486" s="136"/>
      <c r="S486" s="136"/>
      <c r="T486" s="136"/>
      <c r="U486" s="136"/>
      <c r="V486" s="136"/>
    </row>
    <row r="487" spans="14:22" x14ac:dyDescent="0.35">
      <c r="N487" s="135"/>
      <c r="O487" s="136"/>
      <c r="P487" s="136"/>
      <c r="Q487" s="136"/>
      <c r="R487" s="136"/>
      <c r="S487" s="136"/>
      <c r="T487" s="136"/>
      <c r="U487" s="136"/>
      <c r="V487" s="136"/>
    </row>
    <row r="488" spans="14:22" x14ac:dyDescent="0.35">
      <c r="N488" s="135"/>
      <c r="O488" s="136"/>
      <c r="P488" s="136"/>
      <c r="Q488" s="136"/>
      <c r="R488" s="136"/>
      <c r="S488" s="136"/>
      <c r="T488" s="136"/>
      <c r="U488" s="136"/>
      <c r="V488" s="136"/>
    </row>
    <row r="489" spans="14:22" x14ac:dyDescent="0.35">
      <c r="N489" s="135"/>
      <c r="O489" s="136"/>
      <c r="P489" s="136"/>
      <c r="Q489" s="136"/>
      <c r="R489" s="136"/>
      <c r="S489" s="136"/>
      <c r="T489" s="136"/>
      <c r="U489" s="136"/>
      <c r="V489" s="136"/>
    </row>
    <row r="490" spans="14:22" x14ac:dyDescent="0.35">
      <c r="N490" s="135"/>
      <c r="O490" s="136"/>
      <c r="P490" s="136"/>
      <c r="Q490" s="136"/>
      <c r="R490" s="136"/>
      <c r="S490" s="136"/>
      <c r="T490" s="136"/>
      <c r="U490" s="136"/>
      <c r="V490" s="136"/>
    </row>
    <row r="491" spans="14:22" x14ac:dyDescent="0.35">
      <c r="N491" s="135"/>
      <c r="O491" s="136"/>
      <c r="P491" s="136"/>
      <c r="Q491" s="136"/>
      <c r="R491" s="136"/>
      <c r="S491" s="136"/>
      <c r="T491" s="136"/>
      <c r="U491" s="136"/>
      <c r="V491" s="136"/>
    </row>
    <row r="492" spans="14:22" x14ac:dyDescent="0.35">
      <c r="N492" s="135"/>
      <c r="O492" s="136"/>
      <c r="P492" s="136"/>
      <c r="Q492" s="136"/>
      <c r="R492" s="136"/>
      <c r="S492" s="136"/>
      <c r="T492" s="136"/>
      <c r="U492" s="136"/>
      <c r="V492" s="136"/>
    </row>
    <row r="493" spans="14:22" x14ac:dyDescent="0.35">
      <c r="N493" s="135"/>
      <c r="O493" s="136"/>
      <c r="P493" s="136"/>
      <c r="Q493" s="136"/>
      <c r="R493" s="136"/>
      <c r="S493" s="136"/>
      <c r="T493" s="136"/>
      <c r="U493" s="136"/>
      <c r="V493" s="136"/>
    </row>
    <row r="494" spans="14:22" x14ac:dyDescent="0.35">
      <c r="N494" s="135"/>
      <c r="O494" s="136"/>
      <c r="P494" s="136"/>
      <c r="Q494" s="136"/>
      <c r="R494" s="136"/>
      <c r="S494" s="136"/>
      <c r="T494" s="136"/>
      <c r="U494" s="136"/>
      <c r="V494" s="136"/>
    </row>
    <row r="495" spans="14:22" x14ac:dyDescent="0.35">
      <c r="N495" s="135"/>
      <c r="O495" s="136"/>
      <c r="P495" s="136"/>
      <c r="Q495" s="136"/>
      <c r="R495" s="136"/>
      <c r="S495" s="136"/>
      <c r="T495" s="136"/>
      <c r="U495" s="136"/>
      <c r="V495" s="136"/>
    </row>
    <row r="496" spans="14:22" x14ac:dyDescent="0.35">
      <c r="N496" s="135"/>
      <c r="O496" s="136"/>
      <c r="P496" s="136"/>
      <c r="Q496" s="136"/>
      <c r="R496" s="136"/>
      <c r="S496" s="136"/>
      <c r="T496" s="136"/>
      <c r="U496" s="136"/>
      <c r="V496" s="136"/>
    </row>
    <row r="497" spans="14:22" x14ac:dyDescent="0.35">
      <c r="N497" s="135"/>
      <c r="O497" s="136"/>
      <c r="P497" s="136"/>
      <c r="Q497" s="136"/>
      <c r="R497" s="136"/>
      <c r="S497" s="136"/>
      <c r="T497" s="136"/>
      <c r="U497" s="136"/>
      <c r="V497" s="136"/>
    </row>
    <row r="498" spans="14:22" x14ac:dyDescent="0.35">
      <c r="N498" s="135"/>
      <c r="O498" s="136"/>
      <c r="P498" s="136"/>
      <c r="Q498" s="136"/>
      <c r="R498" s="136"/>
      <c r="S498" s="136"/>
      <c r="T498" s="136"/>
      <c r="U498" s="136"/>
      <c r="V498" s="136"/>
    </row>
    <row r="499" spans="14:22" x14ac:dyDescent="0.35">
      <c r="N499" s="135"/>
      <c r="O499" s="136"/>
      <c r="P499" s="136"/>
      <c r="Q499" s="136"/>
      <c r="R499" s="136"/>
      <c r="S499" s="136"/>
      <c r="T499" s="136"/>
      <c r="U499" s="136"/>
      <c r="V499" s="136"/>
    </row>
    <row r="500" spans="14:22" x14ac:dyDescent="0.35">
      <c r="N500" s="135"/>
      <c r="O500" s="136"/>
      <c r="P500" s="136"/>
      <c r="Q500" s="136"/>
      <c r="R500" s="136"/>
      <c r="S500" s="136"/>
      <c r="T500" s="136"/>
      <c r="U500" s="136"/>
      <c r="V500" s="136"/>
    </row>
    <row r="501" spans="14:22" x14ac:dyDescent="0.35">
      <c r="N501" s="135"/>
      <c r="O501" s="136"/>
      <c r="P501" s="136"/>
      <c r="Q501" s="136"/>
      <c r="R501" s="136"/>
      <c r="S501" s="136"/>
      <c r="T501" s="136"/>
      <c r="U501" s="136"/>
      <c r="V501" s="136"/>
    </row>
    <row r="502" spans="14:22" x14ac:dyDescent="0.35">
      <c r="N502" s="135"/>
      <c r="O502" s="136"/>
      <c r="P502" s="136"/>
      <c r="Q502" s="136"/>
      <c r="R502" s="136"/>
      <c r="S502" s="136"/>
      <c r="T502" s="136"/>
      <c r="U502" s="136"/>
      <c r="V502" s="136"/>
    </row>
    <row r="503" spans="14:22" x14ac:dyDescent="0.35">
      <c r="N503" s="135"/>
      <c r="O503" s="136"/>
      <c r="P503" s="136"/>
      <c r="Q503" s="136"/>
      <c r="R503" s="136"/>
      <c r="S503" s="136"/>
      <c r="T503" s="136"/>
      <c r="U503" s="136"/>
      <c r="V503" s="136"/>
    </row>
    <row r="504" spans="14:22" x14ac:dyDescent="0.35">
      <c r="N504" s="135"/>
      <c r="O504" s="136"/>
      <c r="P504" s="136"/>
      <c r="Q504" s="136"/>
      <c r="R504" s="136"/>
      <c r="S504" s="136"/>
      <c r="T504" s="136"/>
      <c r="U504" s="136"/>
      <c r="V504" s="136"/>
    </row>
    <row r="505" spans="14:22" x14ac:dyDescent="0.35">
      <c r="N505" s="135"/>
      <c r="O505" s="136"/>
      <c r="P505" s="136"/>
      <c r="Q505" s="136"/>
      <c r="R505" s="136"/>
      <c r="S505" s="136"/>
      <c r="T505" s="136"/>
      <c r="U505" s="136"/>
      <c r="V505" s="136"/>
    </row>
    <row r="506" spans="14:22" x14ac:dyDescent="0.35">
      <c r="N506" s="135"/>
      <c r="O506" s="136"/>
      <c r="P506" s="136"/>
      <c r="Q506" s="136"/>
      <c r="R506" s="136"/>
      <c r="S506" s="136"/>
      <c r="T506" s="136"/>
      <c r="U506" s="136"/>
      <c r="V506" s="136"/>
    </row>
    <row r="507" spans="14:22" x14ac:dyDescent="0.35">
      <c r="N507" s="135"/>
      <c r="O507" s="136"/>
      <c r="P507" s="136"/>
      <c r="Q507" s="136"/>
      <c r="R507" s="136"/>
      <c r="S507" s="136"/>
      <c r="T507" s="136"/>
      <c r="U507" s="136"/>
      <c r="V507" s="136"/>
    </row>
    <row r="508" spans="14:22" x14ac:dyDescent="0.35">
      <c r="N508" s="135"/>
      <c r="O508" s="136"/>
      <c r="P508" s="136"/>
      <c r="Q508" s="136"/>
      <c r="R508" s="136"/>
      <c r="S508" s="136"/>
      <c r="T508" s="136"/>
      <c r="U508" s="136"/>
      <c r="V508" s="136"/>
    </row>
    <row r="509" spans="14:22" x14ac:dyDescent="0.35">
      <c r="N509" s="135"/>
      <c r="O509" s="136"/>
      <c r="P509" s="136"/>
      <c r="Q509" s="136"/>
      <c r="R509" s="136"/>
      <c r="S509" s="136"/>
      <c r="T509" s="136"/>
      <c r="U509" s="136"/>
      <c r="V509" s="136"/>
    </row>
    <row r="510" spans="14:22" x14ac:dyDescent="0.35">
      <c r="N510" s="135"/>
      <c r="O510" s="136"/>
      <c r="P510" s="136"/>
      <c r="Q510" s="136"/>
      <c r="R510" s="136"/>
      <c r="S510" s="136"/>
      <c r="T510" s="136"/>
      <c r="U510" s="136"/>
      <c r="V510" s="136"/>
    </row>
    <row r="511" spans="14:22" x14ac:dyDescent="0.35">
      <c r="N511" s="135"/>
      <c r="O511" s="136"/>
      <c r="P511" s="136"/>
      <c r="Q511" s="136"/>
      <c r="R511" s="136"/>
      <c r="S511" s="136"/>
      <c r="T511" s="136"/>
      <c r="U511" s="136"/>
      <c r="V511" s="136"/>
    </row>
    <row r="512" spans="14:22" x14ac:dyDescent="0.35">
      <c r="N512" s="135"/>
      <c r="O512" s="136"/>
      <c r="P512" s="136"/>
      <c r="Q512" s="136"/>
      <c r="R512" s="136"/>
      <c r="S512" s="136"/>
      <c r="T512" s="136"/>
      <c r="U512" s="136"/>
      <c r="V512" s="136"/>
    </row>
    <row r="513" spans="14:22" x14ac:dyDescent="0.35">
      <c r="N513" s="135"/>
      <c r="O513" s="136"/>
      <c r="P513" s="136"/>
      <c r="Q513" s="136"/>
      <c r="R513" s="136"/>
      <c r="S513" s="136"/>
      <c r="T513" s="136"/>
      <c r="U513" s="136"/>
      <c r="V513" s="136"/>
    </row>
    <row r="514" spans="14:22" x14ac:dyDescent="0.35">
      <c r="N514" s="135"/>
      <c r="O514" s="136"/>
      <c r="P514" s="136"/>
      <c r="Q514" s="136"/>
      <c r="R514" s="136"/>
      <c r="S514" s="136"/>
      <c r="T514" s="136"/>
      <c r="U514" s="136"/>
      <c r="V514" s="136"/>
    </row>
    <row r="515" spans="14:22" x14ac:dyDescent="0.35">
      <c r="N515" s="135"/>
      <c r="O515" s="136"/>
      <c r="P515" s="136"/>
      <c r="Q515" s="136"/>
      <c r="R515" s="136"/>
      <c r="S515" s="136"/>
      <c r="T515" s="136"/>
      <c r="U515" s="136"/>
      <c r="V515" s="136"/>
    </row>
    <row r="516" spans="14:22" x14ac:dyDescent="0.35">
      <c r="N516" s="135"/>
      <c r="O516" s="136"/>
      <c r="P516" s="136"/>
      <c r="Q516" s="136"/>
      <c r="R516" s="136"/>
      <c r="S516" s="136"/>
      <c r="T516" s="136"/>
      <c r="U516" s="136"/>
      <c r="V516" s="136"/>
    </row>
    <row r="517" spans="14:22" x14ac:dyDescent="0.35">
      <c r="N517" s="135"/>
      <c r="O517" s="136"/>
      <c r="P517" s="136"/>
      <c r="Q517" s="136"/>
      <c r="R517" s="136"/>
      <c r="S517" s="136"/>
      <c r="T517" s="136"/>
      <c r="U517" s="136"/>
      <c r="V517" s="136"/>
    </row>
    <row r="518" spans="14:22" x14ac:dyDescent="0.35">
      <c r="N518" s="135"/>
      <c r="O518" s="136"/>
      <c r="P518" s="136"/>
      <c r="Q518" s="136"/>
      <c r="R518" s="136"/>
      <c r="S518" s="136"/>
      <c r="T518" s="136"/>
      <c r="U518" s="136"/>
      <c r="V518" s="136"/>
    </row>
    <row r="519" spans="14:22" x14ac:dyDescent="0.35">
      <c r="N519" s="135"/>
      <c r="O519" s="136"/>
      <c r="P519" s="136"/>
      <c r="Q519" s="136"/>
      <c r="R519" s="136"/>
      <c r="S519" s="136"/>
      <c r="T519" s="136"/>
      <c r="U519" s="136"/>
      <c r="V519" s="136"/>
    </row>
    <row r="520" spans="14:22" x14ac:dyDescent="0.35">
      <c r="N520" s="135"/>
      <c r="O520" s="136"/>
      <c r="P520" s="136"/>
      <c r="Q520" s="136"/>
      <c r="R520" s="136"/>
      <c r="S520" s="136"/>
      <c r="T520" s="136"/>
      <c r="U520" s="136"/>
      <c r="V520" s="136"/>
    </row>
    <row r="521" spans="14:22" x14ac:dyDescent="0.35">
      <c r="N521" s="135"/>
      <c r="O521" s="136"/>
      <c r="P521" s="136"/>
      <c r="Q521" s="136"/>
      <c r="R521" s="136"/>
      <c r="S521" s="136"/>
      <c r="T521" s="136"/>
      <c r="U521" s="136"/>
      <c r="V521" s="136"/>
    </row>
    <row r="522" spans="14:22" x14ac:dyDescent="0.35">
      <c r="N522" s="135"/>
      <c r="O522" s="136"/>
      <c r="P522" s="136"/>
      <c r="Q522" s="136"/>
      <c r="R522" s="136"/>
      <c r="S522" s="136"/>
      <c r="T522" s="136"/>
      <c r="U522" s="136"/>
      <c r="V522" s="136"/>
    </row>
    <row r="523" spans="14:22" x14ac:dyDescent="0.35">
      <c r="N523" s="135"/>
      <c r="O523" s="136"/>
      <c r="P523" s="136"/>
      <c r="Q523" s="136"/>
      <c r="R523" s="136"/>
      <c r="S523" s="136"/>
      <c r="T523" s="136"/>
      <c r="U523" s="136"/>
      <c r="V523" s="136"/>
    </row>
    <row r="524" spans="14:22" x14ac:dyDescent="0.35">
      <c r="N524" s="135"/>
      <c r="O524" s="136"/>
      <c r="P524" s="136"/>
      <c r="Q524" s="136"/>
      <c r="R524" s="136"/>
      <c r="S524" s="136"/>
      <c r="T524" s="136"/>
      <c r="U524" s="136"/>
      <c r="V524" s="136"/>
    </row>
    <row r="525" spans="14:22" x14ac:dyDescent="0.35">
      <c r="N525" s="135"/>
      <c r="O525" s="136"/>
      <c r="P525" s="136"/>
      <c r="Q525" s="136"/>
      <c r="R525" s="136"/>
      <c r="S525" s="136"/>
      <c r="T525" s="136"/>
      <c r="U525" s="136"/>
      <c r="V525" s="136"/>
    </row>
    <row r="526" spans="14:22" x14ac:dyDescent="0.35">
      <c r="N526" s="135"/>
      <c r="O526" s="136"/>
      <c r="P526" s="136"/>
      <c r="Q526" s="136"/>
      <c r="R526" s="136"/>
      <c r="S526" s="136"/>
      <c r="T526" s="136"/>
      <c r="U526" s="136"/>
      <c r="V526" s="136"/>
    </row>
    <row r="527" spans="14:22" x14ac:dyDescent="0.35">
      <c r="N527" s="135"/>
      <c r="O527" s="136"/>
      <c r="P527" s="136"/>
      <c r="Q527" s="136"/>
      <c r="R527" s="136"/>
      <c r="S527" s="136"/>
      <c r="T527" s="136"/>
      <c r="U527" s="136"/>
      <c r="V527" s="136"/>
    </row>
    <row r="528" spans="14:22" x14ac:dyDescent="0.35">
      <c r="N528" s="135"/>
      <c r="O528" s="136"/>
      <c r="P528" s="136"/>
      <c r="Q528" s="136"/>
      <c r="R528" s="136"/>
      <c r="S528" s="136"/>
      <c r="T528" s="136"/>
      <c r="U528" s="136"/>
      <c r="V528" s="136"/>
    </row>
    <row r="529" spans="14:22" x14ac:dyDescent="0.35">
      <c r="N529" s="135"/>
      <c r="O529" s="136"/>
      <c r="P529" s="136"/>
      <c r="Q529" s="136"/>
      <c r="R529" s="136"/>
      <c r="S529" s="136"/>
      <c r="T529" s="136"/>
      <c r="U529" s="136"/>
      <c r="V529" s="136"/>
    </row>
    <row r="530" spans="14:22" x14ac:dyDescent="0.35">
      <c r="N530" s="135"/>
      <c r="O530" s="136"/>
      <c r="P530" s="136"/>
      <c r="Q530" s="136"/>
      <c r="R530" s="136"/>
      <c r="S530" s="136"/>
      <c r="T530" s="136"/>
      <c r="U530" s="136"/>
      <c r="V530" s="136"/>
    </row>
    <row r="531" spans="14:22" x14ac:dyDescent="0.35">
      <c r="N531" s="135"/>
      <c r="O531" s="136"/>
      <c r="P531" s="136"/>
      <c r="Q531" s="136"/>
      <c r="R531" s="136"/>
      <c r="S531" s="136"/>
      <c r="T531" s="136"/>
      <c r="U531" s="136"/>
      <c r="V531" s="136"/>
    </row>
    <row r="532" spans="14:22" x14ac:dyDescent="0.35">
      <c r="N532" s="135"/>
      <c r="O532" s="136"/>
      <c r="P532" s="136"/>
      <c r="Q532" s="136"/>
      <c r="R532" s="136"/>
      <c r="S532" s="136"/>
      <c r="T532" s="136"/>
      <c r="U532" s="136"/>
      <c r="V532" s="136"/>
    </row>
    <row r="533" spans="14:22" x14ac:dyDescent="0.35">
      <c r="N533" s="135"/>
      <c r="O533" s="136"/>
      <c r="P533" s="136"/>
      <c r="Q533" s="136"/>
      <c r="R533" s="136"/>
      <c r="S533" s="136"/>
      <c r="T533" s="136"/>
      <c r="U533" s="136"/>
      <c r="V533" s="136"/>
    </row>
    <row r="534" spans="14:22" x14ac:dyDescent="0.35">
      <c r="N534" s="135"/>
      <c r="O534" s="136"/>
      <c r="P534" s="136"/>
      <c r="Q534" s="136"/>
      <c r="R534" s="136"/>
      <c r="S534" s="136"/>
      <c r="T534" s="136"/>
      <c r="U534" s="136"/>
      <c r="V534" s="136"/>
    </row>
    <row r="535" spans="14:22" x14ac:dyDescent="0.35">
      <c r="N535" s="135"/>
      <c r="O535" s="136"/>
      <c r="P535" s="136"/>
      <c r="Q535" s="136"/>
      <c r="R535" s="136"/>
      <c r="S535" s="136"/>
      <c r="T535" s="136"/>
      <c r="U535" s="136"/>
      <c r="V535" s="136"/>
    </row>
    <row r="536" spans="14:22" x14ac:dyDescent="0.35">
      <c r="N536" s="135"/>
      <c r="O536" s="136"/>
      <c r="P536" s="136"/>
      <c r="Q536" s="136"/>
      <c r="R536" s="136"/>
      <c r="S536" s="136"/>
      <c r="T536" s="136"/>
      <c r="U536" s="136"/>
      <c r="V536" s="136"/>
    </row>
    <row r="537" spans="14:22" x14ac:dyDescent="0.35">
      <c r="N537" s="135"/>
      <c r="O537" s="136"/>
      <c r="P537" s="136"/>
      <c r="Q537" s="136"/>
      <c r="R537" s="136"/>
      <c r="S537" s="136"/>
      <c r="T537" s="136"/>
      <c r="U537" s="136"/>
      <c r="V537" s="136"/>
    </row>
    <row r="538" spans="14:22" x14ac:dyDescent="0.35">
      <c r="N538" s="135"/>
      <c r="O538" s="136"/>
      <c r="P538" s="136"/>
      <c r="Q538" s="136"/>
      <c r="R538" s="136"/>
      <c r="S538" s="136"/>
      <c r="T538" s="136"/>
      <c r="U538" s="136"/>
      <c r="V538" s="136"/>
    </row>
    <row r="539" spans="14:22" x14ac:dyDescent="0.35">
      <c r="N539" s="135"/>
      <c r="O539" s="136"/>
      <c r="P539" s="136"/>
      <c r="Q539" s="136"/>
      <c r="R539" s="136"/>
      <c r="S539" s="136"/>
      <c r="T539" s="136"/>
      <c r="U539" s="136"/>
      <c r="V539" s="136"/>
    </row>
    <row r="540" spans="14:22" x14ac:dyDescent="0.35">
      <c r="N540" s="135"/>
      <c r="O540" s="136"/>
      <c r="P540" s="136"/>
      <c r="Q540" s="136"/>
      <c r="R540" s="136"/>
      <c r="S540" s="136"/>
      <c r="T540" s="136"/>
      <c r="U540" s="136"/>
      <c r="V540" s="136"/>
    </row>
    <row r="541" spans="14:22" x14ac:dyDescent="0.35">
      <c r="N541" s="135"/>
      <c r="O541" s="136"/>
      <c r="P541" s="136"/>
      <c r="Q541" s="136"/>
      <c r="R541" s="136"/>
      <c r="S541" s="136"/>
      <c r="T541" s="136"/>
      <c r="U541" s="136"/>
      <c r="V541" s="136"/>
    </row>
    <row r="542" spans="14:22" x14ac:dyDescent="0.35">
      <c r="N542" s="135"/>
      <c r="O542" s="136"/>
      <c r="P542" s="136"/>
      <c r="Q542" s="136"/>
      <c r="R542" s="136"/>
      <c r="S542" s="136"/>
      <c r="T542" s="136"/>
      <c r="U542" s="136"/>
      <c r="V542" s="136"/>
    </row>
    <row r="543" spans="14:22" x14ac:dyDescent="0.35">
      <c r="N543" s="135"/>
      <c r="O543" s="136"/>
      <c r="P543" s="136"/>
      <c r="Q543" s="136"/>
      <c r="R543" s="136"/>
      <c r="S543" s="136"/>
      <c r="T543" s="136"/>
      <c r="U543" s="136"/>
      <c r="V543" s="136"/>
    </row>
    <row r="544" spans="14:22" x14ac:dyDescent="0.35">
      <c r="N544" s="135"/>
      <c r="O544" s="136"/>
      <c r="P544" s="136"/>
      <c r="Q544" s="136"/>
      <c r="R544" s="136"/>
      <c r="S544" s="136"/>
      <c r="T544" s="136"/>
      <c r="U544" s="136"/>
      <c r="V544" s="136"/>
    </row>
    <row r="545" spans="14:22" x14ac:dyDescent="0.35">
      <c r="N545" s="135"/>
      <c r="O545" s="136"/>
      <c r="P545" s="136"/>
      <c r="Q545" s="136"/>
      <c r="R545" s="136"/>
      <c r="S545" s="136"/>
      <c r="T545" s="136"/>
      <c r="U545" s="136"/>
      <c r="V545" s="136"/>
    </row>
    <row r="546" spans="14:22" x14ac:dyDescent="0.35">
      <c r="N546" s="135"/>
      <c r="O546" s="136"/>
      <c r="P546" s="136"/>
      <c r="Q546" s="136"/>
      <c r="R546" s="136"/>
      <c r="S546" s="136"/>
      <c r="T546" s="136"/>
      <c r="U546" s="136"/>
      <c r="V546" s="136"/>
    </row>
    <row r="547" spans="14:22" x14ac:dyDescent="0.35">
      <c r="N547" s="135"/>
      <c r="O547" s="136"/>
      <c r="P547" s="136"/>
      <c r="Q547" s="136"/>
      <c r="R547" s="136"/>
      <c r="S547" s="136"/>
      <c r="T547" s="136"/>
      <c r="U547" s="136"/>
      <c r="V547" s="136"/>
    </row>
    <row r="548" spans="14:22" x14ac:dyDescent="0.35">
      <c r="N548" s="135"/>
      <c r="O548" s="136"/>
      <c r="P548" s="136"/>
      <c r="Q548" s="136"/>
      <c r="R548" s="136"/>
      <c r="S548" s="136"/>
      <c r="T548" s="136"/>
      <c r="U548" s="136"/>
      <c r="V548" s="136"/>
    </row>
    <row r="549" spans="14:22" x14ac:dyDescent="0.35">
      <c r="N549" s="135"/>
      <c r="O549" s="136"/>
      <c r="P549" s="136"/>
      <c r="Q549" s="136"/>
      <c r="R549" s="136"/>
      <c r="S549" s="136"/>
      <c r="T549" s="136"/>
      <c r="U549" s="136"/>
      <c r="V549" s="136"/>
    </row>
    <row r="550" spans="14:22" x14ac:dyDescent="0.35">
      <c r="N550" s="135"/>
      <c r="O550" s="136"/>
      <c r="P550" s="136"/>
      <c r="Q550" s="136"/>
      <c r="R550" s="136"/>
      <c r="S550" s="136"/>
      <c r="T550" s="136"/>
      <c r="U550" s="136"/>
      <c r="V550" s="136"/>
    </row>
    <row r="551" spans="14:22" x14ac:dyDescent="0.35">
      <c r="N551" s="135"/>
      <c r="O551" s="136"/>
      <c r="P551" s="136"/>
      <c r="Q551" s="136"/>
      <c r="R551" s="136"/>
      <c r="S551" s="136"/>
      <c r="T551" s="136"/>
      <c r="U551" s="136"/>
      <c r="V551" s="136"/>
    </row>
    <row r="552" spans="14:22" x14ac:dyDescent="0.35">
      <c r="N552" s="135"/>
      <c r="O552" s="136"/>
      <c r="P552" s="136"/>
      <c r="Q552" s="136"/>
      <c r="R552" s="136"/>
      <c r="S552" s="136"/>
      <c r="T552" s="136"/>
      <c r="U552" s="136"/>
      <c r="V552" s="136"/>
    </row>
    <row r="553" spans="14:22" x14ac:dyDescent="0.35">
      <c r="N553" s="135"/>
      <c r="O553" s="136"/>
      <c r="P553" s="136"/>
      <c r="Q553" s="136"/>
      <c r="R553" s="136"/>
      <c r="S553" s="136"/>
      <c r="T553" s="136"/>
      <c r="U553" s="136"/>
      <c r="V553" s="136"/>
    </row>
    <row r="554" spans="14:22" x14ac:dyDescent="0.35">
      <c r="N554" s="135"/>
      <c r="O554" s="136"/>
      <c r="P554" s="136"/>
      <c r="Q554" s="136"/>
      <c r="R554" s="136"/>
      <c r="S554" s="136"/>
      <c r="T554" s="136"/>
      <c r="U554" s="136"/>
      <c r="V554" s="136"/>
    </row>
    <row r="555" spans="14:22" x14ac:dyDescent="0.35">
      <c r="N555" s="135"/>
      <c r="O555" s="136"/>
      <c r="P555" s="136"/>
      <c r="Q555" s="136"/>
      <c r="R555" s="136"/>
      <c r="S555" s="136"/>
      <c r="T555" s="136"/>
      <c r="U555" s="136"/>
      <c r="V555" s="136"/>
    </row>
    <row r="556" spans="14:22" x14ac:dyDescent="0.35">
      <c r="N556" s="135"/>
      <c r="O556" s="136"/>
      <c r="P556" s="136"/>
      <c r="Q556" s="136"/>
      <c r="R556" s="136"/>
      <c r="S556" s="136"/>
      <c r="T556" s="136"/>
      <c r="U556" s="136"/>
      <c r="V556" s="136"/>
    </row>
    <row r="557" spans="14:22" x14ac:dyDescent="0.35">
      <c r="N557" s="135"/>
      <c r="O557" s="136"/>
      <c r="P557" s="136"/>
      <c r="Q557" s="136"/>
      <c r="R557" s="136"/>
      <c r="S557" s="136"/>
      <c r="T557" s="136"/>
      <c r="U557" s="136"/>
      <c r="V557" s="136"/>
    </row>
    <row r="558" spans="14:22" x14ac:dyDescent="0.35">
      <c r="N558" s="135"/>
      <c r="O558" s="136"/>
      <c r="P558" s="136"/>
      <c r="Q558" s="136"/>
      <c r="R558" s="136"/>
      <c r="S558" s="136"/>
      <c r="T558" s="136"/>
      <c r="U558" s="136"/>
      <c r="V558" s="136"/>
    </row>
    <row r="559" spans="14:22" x14ac:dyDescent="0.35">
      <c r="N559" s="135"/>
      <c r="O559" s="136"/>
      <c r="P559" s="136"/>
      <c r="Q559" s="136"/>
      <c r="R559" s="136"/>
      <c r="S559" s="136"/>
      <c r="T559" s="136"/>
      <c r="U559" s="136"/>
      <c r="V559" s="136"/>
    </row>
    <row r="560" spans="14:22" x14ac:dyDescent="0.35">
      <c r="N560" s="135"/>
      <c r="O560" s="136"/>
      <c r="P560" s="136"/>
      <c r="Q560" s="136"/>
      <c r="R560" s="136"/>
      <c r="S560" s="136"/>
      <c r="T560" s="136"/>
      <c r="U560" s="136"/>
      <c r="V560" s="136"/>
    </row>
    <row r="561" spans="14:22" x14ac:dyDescent="0.35">
      <c r="N561" s="135"/>
      <c r="O561" s="136"/>
      <c r="P561" s="136"/>
      <c r="Q561" s="136"/>
      <c r="R561" s="136"/>
      <c r="S561" s="136"/>
      <c r="T561" s="136"/>
      <c r="U561" s="136"/>
      <c r="V561" s="136"/>
    </row>
    <row r="562" spans="14:22" x14ac:dyDescent="0.35">
      <c r="N562" s="135"/>
      <c r="O562" s="136"/>
      <c r="P562" s="136"/>
      <c r="Q562" s="136"/>
      <c r="R562" s="136"/>
      <c r="S562" s="136"/>
      <c r="T562" s="136"/>
      <c r="U562" s="136"/>
      <c r="V562" s="136"/>
    </row>
    <row r="563" spans="14:22" x14ac:dyDescent="0.35">
      <c r="N563" s="135"/>
      <c r="O563" s="136"/>
      <c r="P563" s="136"/>
      <c r="Q563" s="136"/>
      <c r="R563" s="136"/>
      <c r="S563" s="136"/>
      <c r="T563" s="136"/>
      <c r="U563" s="136"/>
      <c r="V563" s="136"/>
    </row>
    <row r="564" spans="14:22" x14ac:dyDescent="0.35">
      <c r="N564" s="135"/>
      <c r="O564" s="136"/>
      <c r="P564" s="136"/>
      <c r="Q564" s="136"/>
      <c r="R564" s="136"/>
      <c r="S564" s="136"/>
      <c r="T564" s="136"/>
      <c r="U564" s="136"/>
      <c r="V564" s="136"/>
    </row>
    <row r="565" spans="14:22" x14ac:dyDescent="0.35">
      <c r="N565" s="135"/>
      <c r="O565" s="136"/>
      <c r="P565" s="136"/>
      <c r="Q565" s="136"/>
      <c r="R565" s="136"/>
      <c r="S565" s="136"/>
      <c r="T565" s="136"/>
      <c r="U565" s="136"/>
      <c r="V565" s="136"/>
    </row>
    <row r="566" spans="14:22" x14ac:dyDescent="0.35">
      <c r="N566" s="135"/>
      <c r="O566" s="136"/>
      <c r="P566" s="136"/>
      <c r="Q566" s="136"/>
      <c r="R566" s="136"/>
      <c r="S566" s="136"/>
      <c r="T566" s="136"/>
      <c r="U566" s="136"/>
      <c r="V566" s="136"/>
    </row>
    <row r="567" spans="14:22" x14ac:dyDescent="0.35">
      <c r="N567" s="135"/>
      <c r="O567" s="136"/>
      <c r="P567" s="136"/>
      <c r="Q567" s="136"/>
      <c r="R567" s="136"/>
      <c r="S567" s="136"/>
      <c r="T567" s="136"/>
      <c r="U567" s="136"/>
      <c r="V567" s="136"/>
    </row>
    <row r="568" spans="14:22" x14ac:dyDescent="0.35">
      <c r="N568" s="135"/>
      <c r="O568" s="136"/>
      <c r="P568" s="136"/>
      <c r="Q568" s="136"/>
      <c r="R568" s="136"/>
      <c r="S568" s="136"/>
      <c r="T568" s="136"/>
      <c r="U568" s="136"/>
      <c r="V568" s="136"/>
    </row>
    <row r="569" spans="14:22" x14ac:dyDescent="0.35">
      <c r="N569" s="135"/>
      <c r="O569" s="136"/>
      <c r="P569" s="136"/>
      <c r="Q569" s="136"/>
      <c r="R569" s="136"/>
      <c r="S569" s="136"/>
      <c r="T569" s="136"/>
      <c r="U569" s="136"/>
      <c r="V569" s="136"/>
    </row>
    <row r="570" spans="14:22" x14ac:dyDescent="0.35">
      <c r="N570" s="135"/>
      <c r="O570" s="136"/>
      <c r="P570" s="136"/>
      <c r="Q570" s="136"/>
      <c r="R570" s="136"/>
      <c r="S570" s="136"/>
      <c r="T570" s="136"/>
      <c r="U570" s="136"/>
      <c r="V570" s="136"/>
    </row>
    <row r="571" spans="14:22" x14ac:dyDescent="0.35">
      <c r="N571" s="135"/>
      <c r="O571" s="136"/>
      <c r="P571" s="136"/>
      <c r="Q571" s="136"/>
      <c r="R571" s="136"/>
      <c r="S571" s="136"/>
      <c r="T571" s="136"/>
      <c r="U571" s="136"/>
      <c r="V571" s="136"/>
    </row>
    <row r="572" spans="14:22" x14ac:dyDescent="0.35">
      <c r="N572" s="135"/>
      <c r="O572" s="136"/>
      <c r="P572" s="136"/>
      <c r="Q572" s="136"/>
      <c r="R572" s="136"/>
      <c r="S572" s="136"/>
      <c r="T572" s="136"/>
      <c r="U572" s="136"/>
      <c r="V572" s="136"/>
    </row>
    <row r="573" spans="14:22" x14ac:dyDescent="0.35">
      <c r="N573" s="135"/>
      <c r="O573" s="136"/>
      <c r="P573" s="136"/>
      <c r="Q573" s="136"/>
      <c r="R573" s="136"/>
      <c r="S573" s="136"/>
      <c r="T573" s="136"/>
      <c r="U573" s="136"/>
      <c r="V573" s="136"/>
    </row>
    <row r="574" spans="14:22" x14ac:dyDescent="0.35">
      <c r="N574" s="135"/>
      <c r="O574" s="136"/>
      <c r="P574" s="136"/>
      <c r="Q574" s="136"/>
      <c r="R574" s="136"/>
      <c r="S574" s="136"/>
      <c r="T574" s="136"/>
      <c r="U574" s="136"/>
      <c r="V574" s="136"/>
    </row>
    <row r="575" spans="14:22" x14ac:dyDescent="0.35">
      <c r="N575" s="135"/>
      <c r="O575" s="136"/>
      <c r="P575" s="136"/>
      <c r="Q575" s="136"/>
      <c r="R575" s="136"/>
      <c r="S575" s="136"/>
      <c r="T575" s="136"/>
      <c r="U575" s="136"/>
      <c r="V575" s="136"/>
    </row>
    <row r="576" spans="14:22" x14ac:dyDescent="0.35">
      <c r="N576" s="135"/>
      <c r="O576" s="136"/>
      <c r="P576" s="136"/>
      <c r="Q576" s="136"/>
      <c r="R576" s="136"/>
      <c r="S576" s="136"/>
      <c r="T576" s="136"/>
      <c r="U576" s="136"/>
      <c r="V576" s="136"/>
    </row>
    <row r="577" spans="14:22" x14ac:dyDescent="0.35">
      <c r="N577" s="135"/>
      <c r="O577" s="136"/>
      <c r="P577" s="136"/>
      <c r="Q577" s="136"/>
      <c r="R577" s="136"/>
      <c r="S577" s="136"/>
      <c r="T577" s="136"/>
      <c r="U577" s="136"/>
      <c r="V577" s="136"/>
    </row>
    <row r="578" spans="14:22" x14ac:dyDescent="0.35">
      <c r="N578" s="135"/>
      <c r="O578" s="136"/>
      <c r="P578" s="136"/>
      <c r="Q578" s="136"/>
      <c r="R578" s="136"/>
      <c r="S578" s="136"/>
      <c r="T578" s="136"/>
      <c r="U578" s="136"/>
      <c r="V578" s="136"/>
    </row>
    <row r="579" spans="14:22" x14ac:dyDescent="0.35">
      <c r="N579" s="135"/>
      <c r="O579" s="136"/>
      <c r="P579" s="136"/>
      <c r="Q579" s="136"/>
      <c r="R579" s="136"/>
      <c r="S579" s="136"/>
      <c r="T579" s="136"/>
      <c r="U579" s="136"/>
      <c r="V579" s="136"/>
    </row>
    <row r="580" spans="14:22" x14ac:dyDescent="0.35">
      <c r="N580" s="135"/>
      <c r="O580" s="136"/>
      <c r="P580" s="136"/>
      <c r="Q580" s="136"/>
      <c r="R580" s="136"/>
      <c r="S580" s="136"/>
      <c r="T580" s="136"/>
      <c r="U580" s="136"/>
      <c r="V580" s="136"/>
    </row>
    <row r="581" spans="14:22" x14ac:dyDescent="0.35">
      <c r="N581" s="135"/>
      <c r="O581" s="136"/>
      <c r="P581" s="136"/>
      <c r="Q581" s="136"/>
      <c r="R581" s="136"/>
      <c r="S581" s="136"/>
      <c r="T581" s="136"/>
      <c r="U581" s="136"/>
      <c r="V581" s="136"/>
    </row>
    <row r="582" spans="14:22" x14ac:dyDescent="0.35">
      <c r="N582" s="135"/>
      <c r="O582" s="136"/>
      <c r="P582" s="136"/>
      <c r="Q582" s="136"/>
      <c r="R582" s="136"/>
      <c r="S582" s="136"/>
      <c r="T582" s="136"/>
      <c r="U582" s="136"/>
      <c r="V582" s="136"/>
    </row>
    <row r="583" spans="14:22" x14ac:dyDescent="0.35">
      <c r="N583" s="135"/>
      <c r="O583" s="136"/>
      <c r="P583" s="136"/>
      <c r="Q583" s="136"/>
      <c r="R583" s="136"/>
      <c r="S583" s="136"/>
      <c r="T583" s="136"/>
      <c r="U583" s="136"/>
      <c r="V583" s="136"/>
    </row>
    <row r="584" spans="14:22" x14ac:dyDescent="0.35">
      <c r="N584" s="135"/>
      <c r="O584" s="136"/>
      <c r="P584" s="136"/>
      <c r="Q584" s="136"/>
      <c r="R584" s="136"/>
      <c r="S584" s="136"/>
      <c r="T584" s="136"/>
      <c r="U584" s="136"/>
      <c r="V584" s="136"/>
    </row>
    <row r="585" spans="14:22" x14ac:dyDescent="0.35">
      <c r="N585" s="135"/>
      <c r="O585" s="136"/>
      <c r="P585" s="136"/>
      <c r="Q585" s="136"/>
      <c r="R585" s="136"/>
      <c r="S585" s="136"/>
      <c r="T585" s="136"/>
      <c r="U585" s="136"/>
      <c r="V585" s="136"/>
    </row>
    <row r="586" spans="14:22" x14ac:dyDescent="0.35">
      <c r="N586" s="135"/>
      <c r="O586" s="136"/>
      <c r="P586" s="136"/>
      <c r="Q586" s="136"/>
      <c r="R586" s="136"/>
      <c r="S586" s="136"/>
      <c r="T586" s="136"/>
      <c r="U586" s="136"/>
      <c r="V586" s="136"/>
    </row>
    <row r="587" spans="14:22" x14ac:dyDescent="0.35">
      <c r="N587" s="135"/>
      <c r="O587" s="136"/>
      <c r="P587" s="136"/>
      <c r="Q587" s="136"/>
      <c r="R587" s="136"/>
      <c r="S587" s="136"/>
      <c r="T587" s="136"/>
      <c r="U587" s="136"/>
      <c r="V587" s="136"/>
    </row>
    <row r="588" spans="14:22" x14ac:dyDescent="0.35">
      <c r="N588" s="135"/>
      <c r="O588" s="136"/>
      <c r="P588" s="136"/>
      <c r="Q588" s="136"/>
      <c r="R588" s="136"/>
      <c r="S588" s="136"/>
      <c r="T588" s="136"/>
      <c r="U588" s="136"/>
      <c r="V588" s="136"/>
    </row>
    <row r="589" spans="14:22" x14ac:dyDescent="0.35">
      <c r="N589" s="135"/>
      <c r="O589" s="136"/>
      <c r="P589" s="136"/>
      <c r="Q589" s="136"/>
      <c r="R589" s="136"/>
      <c r="S589" s="136"/>
      <c r="T589" s="136"/>
      <c r="U589" s="136"/>
      <c r="V589" s="136"/>
    </row>
    <row r="590" spans="14:22" x14ac:dyDescent="0.35">
      <c r="N590" s="135"/>
      <c r="O590" s="136"/>
      <c r="P590" s="136"/>
      <c r="Q590" s="136"/>
      <c r="R590" s="136"/>
      <c r="S590" s="136"/>
      <c r="T590" s="136"/>
      <c r="U590" s="136"/>
      <c r="V590" s="136"/>
    </row>
    <row r="591" spans="14:22" x14ac:dyDescent="0.35">
      <c r="N591" s="135"/>
      <c r="O591" s="136"/>
      <c r="P591" s="136"/>
      <c r="Q591" s="136"/>
      <c r="R591" s="136"/>
      <c r="S591" s="136"/>
      <c r="T591" s="136"/>
      <c r="U591" s="136"/>
      <c r="V591" s="136"/>
    </row>
    <row r="592" spans="14:22" x14ac:dyDescent="0.35">
      <c r="N592" s="135"/>
      <c r="O592" s="136"/>
      <c r="P592" s="136"/>
      <c r="Q592" s="136"/>
      <c r="R592" s="136"/>
      <c r="S592" s="136"/>
      <c r="T592" s="136"/>
      <c r="U592" s="136"/>
      <c r="V592" s="136"/>
    </row>
    <row r="593" spans="14:22" x14ac:dyDescent="0.35">
      <c r="N593" s="135"/>
      <c r="O593" s="136"/>
      <c r="P593" s="136"/>
      <c r="Q593" s="136"/>
      <c r="R593" s="136"/>
      <c r="S593" s="136"/>
      <c r="T593" s="136"/>
      <c r="U593" s="136"/>
      <c r="V593" s="136"/>
    </row>
    <row r="594" spans="14:22" x14ac:dyDescent="0.35">
      <c r="N594" s="135"/>
      <c r="O594" s="136"/>
      <c r="P594" s="136"/>
      <c r="Q594" s="136"/>
      <c r="R594" s="136"/>
      <c r="S594" s="136"/>
      <c r="T594" s="136"/>
      <c r="U594" s="136"/>
      <c r="V594" s="136"/>
    </row>
    <row r="595" spans="14:22" x14ac:dyDescent="0.35">
      <c r="N595" s="135"/>
      <c r="O595" s="136"/>
      <c r="P595" s="136"/>
      <c r="Q595" s="136"/>
      <c r="R595" s="136"/>
      <c r="S595" s="136"/>
      <c r="T595" s="136"/>
      <c r="U595" s="136"/>
      <c r="V595" s="136"/>
    </row>
    <row r="596" spans="14:22" x14ac:dyDescent="0.35">
      <c r="N596" s="135"/>
      <c r="O596" s="136"/>
      <c r="P596" s="136"/>
      <c r="Q596" s="136"/>
      <c r="R596" s="136"/>
      <c r="S596" s="136"/>
      <c r="T596" s="136"/>
      <c r="U596" s="136"/>
      <c r="V596" s="136"/>
    </row>
    <row r="597" spans="14:22" x14ac:dyDescent="0.35">
      <c r="N597" s="135"/>
      <c r="O597" s="136"/>
      <c r="P597" s="136"/>
      <c r="Q597" s="136"/>
      <c r="R597" s="136"/>
      <c r="S597" s="136"/>
      <c r="T597" s="136"/>
      <c r="U597" s="136"/>
      <c r="V597" s="136"/>
    </row>
    <row r="598" spans="14:22" x14ac:dyDescent="0.35">
      <c r="N598" s="135"/>
      <c r="O598" s="136"/>
      <c r="P598" s="136"/>
      <c r="Q598" s="136"/>
      <c r="R598" s="136"/>
      <c r="S598" s="136"/>
      <c r="T598" s="136"/>
      <c r="U598" s="136"/>
      <c r="V598" s="136"/>
    </row>
    <row r="599" spans="14:22" x14ac:dyDescent="0.35">
      <c r="N599" s="135"/>
      <c r="O599" s="136"/>
      <c r="P599" s="136"/>
      <c r="Q599" s="136"/>
      <c r="R599" s="136"/>
      <c r="S599" s="136"/>
      <c r="T599" s="136"/>
      <c r="U599" s="136"/>
      <c r="V599" s="136"/>
    </row>
    <row r="600" spans="14:22" x14ac:dyDescent="0.35">
      <c r="N600" s="135"/>
      <c r="O600" s="136"/>
      <c r="P600" s="136"/>
      <c r="Q600" s="136"/>
      <c r="R600" s="136"/>
      <c r="S600" s="136"/>
      <c r="T600" s="136"/>
      <c r="U600" s="136"/>
      <c r="V600" s="136"/>
    </row>
    <row r="601" spans="14:22" x14ac:dyDescent="0.35">
      <c r="N601" s="135"/>
      <c r="O601" s="136"/>
      <c r="P601" s="136"/>
      <c r="Q601" s="136"/>
      <c r="R601" s="136"/>
      <c r="S601" s="136"/>
      <c r="T601" s="136"/>
      <c r="U601" s="136"/>
      <c r="V601" s="136"/>
    </row>
    <row r="602" spans="14:22" x14ac:dyDescent="0.35">
      <c r="N602" s="135"/>
      <c r="O602" s="136"/>
      <c r="P602" s="136"/>
      <c r="Q602" s="136"/>
      <c r="R602" s="136"/>
      <c r="S602" s="136"/>
      <c r="T602" s="136"/>
      <c r="U602" s="136"/>
      <c r="V602" s="136"/>
    </row>
    <row r="603" spans="14:22" x14ac:dyDescent="0.35">
      <c r="N603" s="135"/>
      <c r="O603" s="136"/>
      <c r="P603" s="136"/>
      <c r="Q603" s="136"/>
      <c r="R603" s="136"/>
      <c r="S603" s="136"/>
      <c r="T603" s="136"/>
      <c r="U603" s="136"/>
      <c r="V603" s="136"/>
    </row>
    <row r="604" spans="14:22" x14ac:dyDescent="0.35">
      <c r="N604" s="135"/>
      <c r="O604" s="136"/>
      <c r="P604" s="136"/>
      <c r="Q604" s="136"/>
      <c r="R604" s="136"/>
      <c r="S604" s="136"/>
      <c r="T604" s="136"/>
      <c r="U604" s="136"/>
      <c r="V604" s="136"/>
    </row>
    <row r="605" spans="14:22" x14ac:dyDescent="0.35">
      <c r="N605" s="135"/>
      <c r="O605" s="136"/>
      <c r="P605" s="136"/>
      <c r="Q605" s="136"/>
      <c r="R605" s="136"/>
      <c r="S605" s="136"/>
      <c r="T605" s="136"/>
      <c r="U605" s="136"/>
      <c r="V605" s="136"/>
    </row>
    <row r="606" spans="14:22" x14ac:dyDescent="0.35">
      <c r="N606" s="135"/>
      <c r="O606" s="136"/>
      <c r="P606" s="136"/>
      <c r="Q606" s="136"/>
      <c r="R606" s="136"/>
      <c r="S606" s="136"/>
      <c r="T606" s="136"/>
      <c r="U606" s="136"/>
      <c r="V606" s="136"/>
    </row>
    <row r="607" spans="14:22" x14ac:dyDescent="0.35">
      <c r="N607" s="135"/>
      <c r="O607" s="136"/>
      <c r="P607" s="136"/>
      <c r="Q607" s="136"/>
      <c r="R607" s="136"/>
      <c r="S607" s="136"/>
      <c r="T607" s="136"/>
      <c r="U607" s="136"/>
      <c r="V607" s="136"/>
    </row>
    <row r="608" spans="14:22" x14ac:dyDescent="0.35">
      <c r="N608" s="135"/>
      <c r="O608" s="136"/>
      <c r="P608" s="136"/>
      <c r="Q608" s="136"/>
      <c r="R608" s="136"/>
      <c r="S608" s="136"/>
      <c r="T608" s="136"/>
      <c r="U608" s="136"/>
      <c r="V608" s="136"/>
    </row>
    <row r="609" spans="14:22" x14ac:dyDescent="0.35">
      <c r="N609" s="135"/>
      <c r="O609" s="136"/>
      <c r="P609" s="136"/>
      <c r="Q609" s="136"/>
      <c r="R609" s="136"/>
      <c r="S609" s="136"/>
      <c r="T609" s="136"/>
      <c r="U609" s="136"/>
      <c r="V609" s="136"/>
    </row>
    <row r="610" spans="14:22" x14ac:dyDescent="0.35">
      <c r="N610" s="135"/>
      <c r="O610" s="136"/>
      <c r="P610" s="136"/>
      <c r="Q610" s="136"/>
      <c r="R610" s="136"/>
      <c r="S610" s="136"/>
      <c r="T610" s="136"/>
      <c r="U610" s="136"/>
      <c r="V610" s="136"/>
    </row>
    <row r="611" spans="14:22" x14ac:dyDescent="0.35">
      <c r="N611" s="135"/>
      <c r="O611" s="136"/>
      <c r="P611" s="136"/>
      <c r="Q611" s="136"/>
      <c r="R611" s="136"/>
      <c r="S611" s="136"/>
      <c r="T611" s="136"/>
      <c r="U611" s="136"/>
      <c r="V611" s="136"/>
    </row>
    <row r="612" spans="14:22" x14ac:dyDescent="0.35">
      <c r="N612" s="135"/>
      <c r="O612" s="136"/>
      <c r="P612" s="136"/>
      <c r="Q612" s="136"/>
      <c r="R612" s="136"/>
      <c r="S612" s="136"/>
      <c r="T612" s="136"/>
      <c r="U612" s="136"/>
      <c r="V612" s="136"/>
    </row>
    <row r="613" spans="14:22" x14ac:dyDescent="0.35">
      <c r="N613" s="135"/>
      <c r="O613" s="136"/>
      <c r="P613" s="136"/>
      <c r="Q613" s="136"/>
      <c r="R613" s="136"/>
      <c r="S613" s="136"/>
      <c r="T613" s="136"/>
      <c r="U613" s="136"/>
      <c r="V613" s="136"/>
    </row>
    <row r="614" spans="14:22" x14ac:dyDescent="0.35">
      <c r="N614" s="135"/>
      <c r="O614" s="136"/>
      <c r="P614" s="136"/>
      <c r="Q614" s="136"/>
      <c r="R614" s="136"/>
      <c r="S614" s="136"/>
      <c r="T614" s="136"/>
      <c r="U614" s="136"/>
      <c r="V614" s="136"/>
    </row>
    <row r="615" spans="14:22" x14ac:dyDescent="0.35">
      <c r="N615" s="135"/>
      <c r="O615" s="136"/>
      <c r="P615" s="136"/>
      <c r="Q615" s="136"/>
      <c r="R615" s="136"/>
      <c r="S615" s="136"/>
      <c r="T615" s="136"/>
      <c r="U615" s="136"/>
      <c r="V615" s="136"/>
    </row>
    <row r="616" spans="14:22" x14ac:dyDescent="0.35">
      <c r="N616" s="135"/>
      <c r="O616" s="136"/>
      <c r="P616" s="136"/>
      <c r="Q616" s="136"/>
      <c r="R616" s="136"/>
      <c r="S616" s="136"/>
      <c r="T616" s="136"/>
      <c r="U616" s="136"/>
      <c r="V616" s="136"/>
    </row>
    <row r="617" spans="14:22" x14ac:dyDescent="0.35">
      <c r="N617" s="135"/>
      <c r="O617" s="136"/>
      <c r="P617" s="136"/>
      <c r="Q617" s="136"/>
      <c r="R617" s="136"/>
      <c r="S617" s="136"/>
      <c r="T617" s="136"/>
      <c r="U617" s="136"/>
      <c r="V617" s="136"/>
    </row>
    <row r="618" spans="14:22" x14ac:dyDescent="0.35">
      <c r="N618" s="135"/>
      <c r="O618" s="136"/>
      <c r="P618" s="136"/>
      <c r="Q618" s="136"/>
      <c r="R618" s="136"/>
      <c r="S618" s="136"/>
      <c r="T618" s="136"/>
      <c r="U618" s="136"/>
      <c r="V618" s="136"/>
    </row>
    <row r="619" spans="14:22" x14ac:dyDescent="0.35">
      <c r="N619" s="135"/>
      <c r="O619" s="136"/>
      <c r="P619" s="136"/>
      <c r="Q619" s="136"/>
      <c r="R619" s="136"/>
      <c r="S619" s="136"/>
      <c r="T619" s="136"/>
      <c r="U619" s="136"/>
      <c r="V619" s="136"/>
    </row>
    <row r="620" spans="14:22" x14ac:dyDescent="0.35">
      <c r="N620" s="135"/>
      <c r="O620" s="136"/>
      <c r="P620" s="136"/>
      <c r="Q620" s="136"/>
      <c r="R620" s="136"/>
      <c r="S620" s="136"/>
      <c r="T620" s="136"/>
      <c r="U620" s="136"/>
      <c r="V620" s="136"/>
    </row>
    <row r="621" spans="14:22" x14ac:dyDescent="0.35">
      <c r="N621" s="135"/>
      <c r="O621" s="136"/>
      <c r="P621" s="136"/>
      <c r="Q621" s="136"/>
      <c r="R621" s="136"/>
      <c r="S621" s="136"/>
      <c r="T621" s="136"/>
      <c r="U621" s="136"/>
      <c r="V621" s="136"/>
    </row>
    <row r="622" spans="14:22" x14ac:dyDescent="0.35">
      <c r="N622" s="135"/>
      <c r="O622" s="136"/>
      <c r="P622" s="136"/>
      <c r="Q622" s="136"/>
      <c r="R622" s="136"/>
      <c r="S622" s="136"/>
      <c r="T622" s="136"/>
      <c r="U622" s="136"/>
      <c r="V622" s="136"/>
    </row>
    <row r="623" spans="14:22" x14ac:dyDescent="0.35">
      <c r="N623" s="135"/>
      <c r="O623" s="136"/>
      <c r="P623" s="136"/>
      <c r="Q623" s="136"/>
      <c r="R623" s="136"/>
      <c r="S623" s="136"/>
      <c r="T623" s="136"/>
      <c r="U623" s="136"/>
      <c r="V623" s="136"/>
    </row>
    <row r="624" spans="14:22" x14ac:dyDescent="0.35">
      <c r="N624" s="135"/>
      <c r="O624" s="136"/>
      <c r="P624" s="136"/>
      <c r="Q624" s="136"/>
      <c r="R624" s="136"/>
      <c r="S624" s="136"/>
      <c r="T624" s="136"/>
      <c r="U624" s="136"/>
      <c r="V624" s="136"/>
    </row>
    <row r="625" spans="14:22" x14ac:dyDescent="0.35">
      <c r="N625" s="135"/>
      <c r="O625" s="136"/>
      <c r="P625" s="136"/>
      <c r="Q625" s="136"/>
      <c r="R625" s="136"/>
      <c r="S625" s="136"/>
      <c r="T625" s="136"/>
      <c r="U625" s="136"/>
      <c r="V625" s="136"/>
    </row>
    <row r="626" spans="14:22" x14ac:dyDescent="0.35">
      <c r="N626" s="135"/>
      <c r="O626" s="136"/>
      <c r="P626" s="136"/>
      <c r="Q626" s="136"/>
      <c r="R626" s="136"/>
      <c r="S626" s="136"/>
      <c r="T626" s="136"/>
      <c r="U626" s="136"/>
      <c r="V626" s="136"/>
    </row>
    <row r="627" spans="14:22" x14ac:dyDescent="0.35">
      <c r="N627" s="135"/>
      <c r="O627" s="136"/>
      <c r="P627" s="136"/>
      <c r="Q627" s="136"/>
      <c r="R627" s="136"/>
      <c r="S627" s="136"/>
      <c r="T627" s="136"/>
      <c r="U627" s="136"/>
      <c r="V627" s="136"/>
    </row>
    <row r="628" spans="14:22" x14ac:dyDescent="0.35">
      <c r="N628" s="135"/>
      <c r="O628" s="136"/>
      <c r="P628" s="136"/>
      <c r="Q628" s="136"/>
      <c r="R628" s="136"/>
      <c r="S628" s="136"/>
      <c r="T628" s="136"/>
      <c r="U628" s="136"/>
      <c r="V628" s="136"/>
    </row>
    <row r="629" spans="14:22" x14ac:dyDescent="0.35">
      <c r="N629" s="135"/>
      <c r="O629" s="136"/>
      <c r="P629" s="136"/>
      <c r="Q629" s="136"/>
      <c r="R629" s="136"/>
      <c r="S629" s="136"/>
      <c r="T629" s="136"/>
      <c r="U629" s="136"/>
      <c r="V629" s="136"/>
    </row>
    <row r="630" spans="14:22" x14ac:dyDescent="0.35">
      <c r="N630" s="135"/>
      <c r="O630" s="136"/>
      <c r="P630" s="136"/>
      <c r="Q630" s="136"/>
      <c r="R630" s="136"/>
      <c r="S630" s="136"/>
      <c r="T630" s="136"/>
      <c r="U630" s="136"/>
      <c r="V630" s="136"/>
    </row>
    <row r="631" spans="14:22" x14ac:dyDescent="0.35">
      <c r="N631" s="135"/>
      <c r="O631" s="136"/>
      <c r="P631" s="136"/>
      <c r="Q631" s="136"/>
      <c r="R631" s="136"/>
      <c r="S631" s="136"/>
      <c r="T631" s="136"/>
      <c r="U631" s="136"/>
      <c r="V631" s="136"/>
    </row>
    <row r="632" spans="14:22" x14ac:dyDescent="0.35">
      <c r="N632" s="135"/>
      <c r="O632" s="136"/>
      <c r="P632" s="136"/>
      <c r="Q632" s="136"/>
      <c r="R632" s="136"/>
      <c r="S632" s="136"/>
      <c r="T632" s="136"/>
      <c r="U632" s="136"/>
      <c r="V632" s="136"/>
    </row>
    <row r="633" spans="14:22" x14ac:dyDescent="0.35">
      <c r="N633" s="135"/>
      <c r="O633" s="136"/>
      <c r="P633" s="136"/>
      <c r="Q633" s="136"/>
      <c r="R633" s="136"/>
      <c r="S633" s="136"/>
      <c r="T633" s="136"/>
      <c r="U633" s="136"/>
      <c r="V633" s="136"/>
    </row>
    <row r="634" spans="14:22" x14ac:dyDescent="0.35">
      <c r="N634" s="135"/>
      <c r="O634" s="136"/>
      <c r="P634" s="136"/>
      <c r="Q634" s="136"/>
      <c r="R634" s="136"/>
      <c r="S634" s="136"/>
      <c r="T634" s="136"/>
      <c r="U634" s="136"/>
      <c r="V634" s="136"/>
    </row>
    <row r="635" spans="14:22" x14ac:dyDescent="0.35">
      <c r="N635" s="135"/>
      <c r="O635" s="136"/>
      <c r="P635" s="136"/>
      <c r="Q635" s="136"/>
      <c r="R635" s="136"/>
      <c r="S635" s="136"/>
      <c r="T635" s="136"/>
      <c r="U635" s="136"/>
      <c r="V635" s="136"/>
    </row>
    <row r="636" spans="14:22" x14ac:dyDescent="0.35">
      <c r="N636" s="135"/>
      <c r="O636" s="136"/>
      <c r="P636" s="136"/>
      <c r="Q636" s="136"/>
      <c r="R636" s="136"/>
      <c r="S636" s="136"/>
      <c r="T636" s="136"/>
      <c r="U636" s="136"/>
      <c r="V636" s="136"/>
    </row>
    <row r="637" spans="14:22" x14ac:dyDescent="0.35">
      <c r="N637" s="135"/>
      <c r="O637" s="136"/>
      <c r="P637" s="136"/>
      <c r="Q637" s="136"/>
      <c r="R637" s="136"/>
      <c r="S637" s="136"/>
      <c r="T637" s="136"/>
      <c r="U637" s="136"/>
      <c r="V637" s="136"/>
    </row>
    <row r="638" spans="14:22" x14ac:dyDescent="0.35">
      <c r="N638" s="135"/>
      <c r="O638" s="136"/>
      <c r="P638" s="136"/>
      <c r="Q638" s="136"/>
      <c r="R638" s="136"/>
      <c r="S638" s="136"/>
      <c r="T638" s="136"/>
      <c r="U638" s="136"/>
      <c r="V638" s="136"/>
    </row>
    <row r="639" spans="14:22" x14ac:dyDescent="0.35">
      <c r="N639" s="135"/>
      <c r="O639" s="136"/>
      <c r="P639" s="136"/>
      <c r="Q639" s="136"/>
      <c r="R639" s="136"/>
      <c r="S639" s="136"/>
      <c r="T639" s="136"/>
      <c r="U639" s="136"/>
      <c r="V639" s="136"/>
    </row>
    <row r="640" spans="14:22" x14ac:dyDescent="0.35">
      <c r="N640" s="135"/>
      <c r="O640" s="136"/>
      <c r="P640" s="136"/>
      <c r="Q640" s="136"/>
      <c r="R640" s="136"/>
      <c r="S640" s="136"/>
      <c r="T640" s="136"/>
      <c r="U640" s="136"/>
      <c r="V640" s="136"/>
    </row>
    <row r="641" spans="14:22" x14ac:dyDescent="0.35">
      <c r="N641" s="135"/>
      <c r="O641" s="136"/>
      <c r="P641" s="136"/>
      <c r="Q641" s="136"/>
      <c r="R641" s="136"/>
      <c r="S641" s="136"/>
      <c r="T641" s="136"/>
      <c r="U641" s="136"/>
      <c r="V641" s="136"/>
    </row>
    <row r="642" spans="14:22" x14ac:dyDescent="0.35">
      <c r="N642" s="135"/>
      <c r="O642" s="136"/>
      <c r="P642" s="136"/>
      <c r="Q642" s="136"/>
      <c r="R642" s="136"/>
      <c r="S642" s="136"/>
      <c r="T642" s="136"/>
      <c r="U642" s="136"/>
      <c r="V642" s="136"/>
    </row>
    <row r="643" spans="14:22" x14ac:dyDescent="0.35">
      <c r="N643" s="135"/>
      <c r="O643" s="136"/>
      <c r="P643" s="136"/>
      <c r="Q643" s="136"/>
      <c r="R643" s="136"/>
      <c r="S643" s="136"/>
      <c r="T643" s="136"/>
      <c r="U643" s="136"/>
      <c r="V643" s="136"/>
    </row>
    <row r="644" spans="14:22" x14ac:dyDescent="0.35">
      <c r="N644" s="135"/>
      <c r="O644" s="136"/>
      <c r="P644" s="136"/>
      <c r="Q644" s="136"/>
      <c r="R644" s="136"/>
      <c r="S644" s="136"/>
      <c r="T644" s="136"/>
      <c r="U644" s="136"/>
      <c r="V644" s="136"/>
    </row>
    <row r="645" spans="14:22" x14ac:dyDescent="0.35">
      <c r="N645" s="135"/>
      <c r="O645" s="136"/>
      <c r="P645" s="136"/>
      <c r="Q645" s="136"/>
      <c r="R645" s="136"/>
      <c r="S645" s="136"/>
      <c r="T645" s="136"/>
      <c r="U645" s="136"/>
      <c r="V645" s="136"/>
    </row>
    <row r="646" spans="14:22" x14ac:dyDescent="0.35">
      <c r="N646" s="135"/>
      <c r="O646" s="136"/>
      <c r="P646" s="136"/>
      <c r="Q646" s="136"/>
      <c r="R646" s="136"/>
      <c r="S646" s="136"/>
      <c r="T646" s="136"/>
      <c r="U646" s="136"/>
      <c r="V646" s="136"/>
    </row>
    <row r="647" spans="14:22" x14ac:dyDescent="0.35">
      <c r="N647" s="135"/>
      <c r="O647" s="136"/>
      <c r="P647" s="136"/>
      <c r="Q647" s="136"/>
      <c r="R647" s="136"/>
      <c r="S647" s="136"/>
      <c r="T647" s="136"/>
      <c r="U647" s="136"/>
      <c r="V647" s="136"/>
    </row>
    <row r="648" spans="14:22" x14ac:dyDescent="0.35">
      <c r="N648" s="135"/>
      <c r="O648" s="136"/>
      <c r="P648" s="136"/>
      <c r="Q648" s="136"/>
      <c r="R648" s="136"/>
      <c r="S648" s="136"/>
      <c r="T648" s="136"/>
      <c r="U648" s="136"/>
      <c r="V648" s="136"/>
    </row>
    <row r="649" spans="14:22" x14ac:dyDescent="0.35">
      <c r="N649" s="135"/>
      <c r="O649" s="136"/>
      <c r="P649" s="136"/>
      <c r="Q649" s="136"/>
      <c r="R649" s="136"/>
      <c r="S649" s="136"/>
      <c r="T649" s="136"/>
      <c r="U649" s="136"/>
      <c r="V649" s="136"/>
    </row>
    <row r="650" spans="14:22" x14ac:dyDescent="0.35">
      <c r="N650" s="135"/>
      <c r="O650" s="136"/>
      <c r="P650" s="136"/>
      <c r="Q650" s="136"/>
      <c r="R650" s="136"/>
      <c r="S650" s="136"/>
      <c r="T650" s="136"/>
      <c r="U650" s="136"/>
      <c r="V650" s="136"/>
    </row>
    <row r="651" spans="14:22" x14ac:dyDescent="0.35">
      <c r="N651" s="135"/>
      <c r="O651" s="136"/>
      <c r="P651" s="136"/>
      <c r="Q651" s="136"/>
      <c r="R651" s="136"/>
      <c r="S651" s="136"/>
      <c r="T651" s="136"/>
      <c r="U651" s="136"/>
      <c r="V651" s="136"/>
    </row>
    <row r="652" spans="14:22" x14ac:dyDescent="0.35">
      <c r="N652" s="135"/>
      <c r="O652" s="136"/>
      <c r="P652" s="136"/>
      <c r="Q652" s="136"/>
      <c r="R652" s="136"/>
      <c r="S652" s="136"/>
      <c r="T652" s="136"/>
      <c r="U652" s="136"/>
      <c r="V652" s="136"/>
    </row>
    <row r="653" spans="14:22" x14ac:dyDescent="0.35">
      <c r="N653" s="135"/>
      <c r="O653" s="136"/>
      <c r="P653" s="136"/>
      <c r="Q653" s="136"/>
      <c r="R653" s="136"/>
      <c r="S653" s="136"/>
      <c r="T653" s="136"/>
      <c r="U653" s="136"/>
      <c r="V653" s="136"/>
    </row>
    <row r="654" spans="14:22" x14ac:dyDescent="0.35">
      <c r="N654" s="135"/>
      <c r="O654" s="136"/>
      <c r="P654" s="136"/>
      <c r="Q654" s="136"/>
      <c r="R654" s="136"/>
      <c r="S654" s="136"/>
      <c r="T654" s="136"/>
      <c r="U654" s="136"/>
      <c r="V654" s="136"/>
    </row>
    <row r="655" spans="14:22" x14ac:dyDescent="0.35">
      <c r="N655" s="135"/>
      <c r="O655" s="136"/>
      <c r="P655" s="136"/>
      <c r="Q655" s="136"/>
      <c r="R655" s="136"/>
      <c r="S655" s="136"/>
      <c r="T655" s="136"/>
      <c r="U655" s="136"/>
      <c r="V655" s="136"/>
    </row>
    <row r="656" spans="14:22" x14ac:dyDescent="0.35">
      <c r="N656" s="135"/>
      <c r="O656" s="136"/>
      <c r="P656" s="136"/>
      <c r="Q656" s="136"/>
      <c r="R656" s="136"/>
      <c r="S656" s="136"/>
      <c r="T656" s="136"/>
      <c r="U656" s="136"/>
      <c r="V656" s="136"/>
    </row>
    <row r="657" spans="14:22" x14ac:dyDescent="0.35">
      <c r="N657" s="135"/>
      <c r="O657" s="136"/>
      <c r="P657" s="136"/>
      <c r="Q657" s="136"/>
      <c r="R657" s="136"/>
      <c r="S657" s="136"/>
      <c r="T657" s="136"/>
      <c r="U657" s="136"/>
      <c r="V657" s="136"/>
    </row>
    <row r="658" spans="14:22" x14ac:dyDescent="0.35">
      <c r="N658" s="135"/>
      <c r="O658" s="136"/>
      <c r="P658" s="136"/>
      <c r="Q658" s="136"/>
      <c r="R658" s="136"/>
      <c r="S658" s="136"/>
      <c r="T658" s="136"/>
      <c r="U658" s="136"/>
      <c r="V658" s="136"/>
    </row>
    <row r="659" spans="14:22" x14ac:dyDescent="0.35">
      <c r="N659" s="135"/>
      <c r="O659" s="136"/>
      <c r="P659" s="136"/>
      <c r="Q659" s="136"/>
      <c r="R659" s="136"/>
      <c r="S659" s="136"/>
      <c r="T659" s="136"/>
      <c r="U659" s="136"/>
      <c r="V659" s="136"/>
    </row>
    <row r="660" spans="14:22" x14ac:dyDescent="0.35">
      <c r="N660" s="135"/>
      <c r="O660" s="136"/>
      <c r="P660" s="136"/>
      <c r="Q660" s="136"/>
      <c r="R660" s="136"/>
      <c r="S660" s="136"/>
      <c r="T660" s="136"/>
      <c r="U660" s="136"/>
      <c r="V660" s="136"/>
    </row>
    <row r="661" spans="14:22" x14ac:dyDescent="0.35">
      <c r="N661" s="135"/>
      <c r="O661" s="136"/>
      <c r="P661" s="136"/>
      <c r="Q661" s="136"/>
      <c r="R661" s="136"/>
      <c r="S661" s="136"/>
      <c r="T661" s="136"/>
      <c r="U661" s="136"/>
      <c r="V661" s="136"/>
    </row>
    <row r="662" spans="14:22" x14ac:dyDescent="0.35">
      <c r="N662" s="135"/>
      <c r="O662" s="136"/>
      <c r="P662" s="136"/>
      <c r="Q662" s="136"/>
      <c r="R662" s="136"/>
      <c r="S662" s="136"/>
      <c r="T662" s="136"/>
      <c r="U662" s="136"/>
      <c r="V662" s="136"/>
    </row>
    <row r="663" spans="14:22" x14ac:dyDescent="0.35">
      <c r="N663" s="135"/>
      <c r="O663" s="136"/>
      <c r="P663" s="136"/>
      <c r="Q663" s="136"/>
      <c r="R663" s="136"/>
      <c r="S663" s="136"/>
      <c r="T663" s="136"/>
      <c r="U663" s="136"/>
      <c r="V663" s="136"/>
    </row>
    <row r="664" spans="14:22" x14ac:dyDescent="0.35">
      <c r="N664" s="135"/>
      <c r="O664" s="136"/>
      <c r="P664" s="136"/>
      <c r="Q664" s="136"/>
      <c r="R664" s="136"/>
      <c r="S664" s="136"/>
      <c r="T664" s="136"/>
      <c r="U664" s="136"/>
      <c r="V664" s="136"/>
    </row>
    <row r="665" spans="14:22" x14ac:dyDescent="0.35">
      <c r="N665" s="135"/>
      <c r="O665" s="136"/>
      <c r="P665" s="136"/>
      <c r="Q665" s="136"/>
      <c r="R665" s="136"/>
      <c r="S665" s="136"/>
      <c r="T665" s="136"/>
      <c r="U665" s="136"/>
      <c r="V665" s="136"/>
    </row>
    <row r="666" spans="14:22" x14ac:dyDescent="0.35">
      <c r="N666" s="135"/>
      <c r="O666" s="136"/>
      <c r="P666" s="136"/>
      <c r="Q666" s="136"/>
      <c r="R666" s="136"/>
      <c r="S666" s="136"/>
      <c r="T666" s="136"/>
      <c r="U666" s="136"/>
      <c r="V666" s="136"/>
    </row>
    <row r="667" spans="14:22" x14ac:dyDescent="0.35">
      <c r="N667" s="135"/>
      <c r="O667" s="136"/>
      <c r="P667" s="136"/>
      <c r="Q667" s="136"/>
      <c r="R667" s="136"/>
      <c r="S667" s="136"/>
      <c r="T667" s="136"/>
      <c r="U667" s="136"/>
      <c r="V667" s="136"/>
    </row>
    <row r="668" spans="14:22" x14ac:dyDescent="0.35">
      <c r="N668" s="135"/>
      <c r="O668" s="136"/>
      <c r="P668" s="136"/>
      <c r="Q668" s="136"/>
      <c r="R668" s="136"/>
      <c r="S668" s="136"/>
      <c r="T668" s="136"/>
      <c r="U668" s="136"/>
      <c r="V668" s="136"/>
    </row>
    <row r="669" spans="14:22" x14ac:dyDescent="0.35">
      <c r="N669" s="135"/>
      <c r="O669" s="136"/>
      <c r="P669" s="136"/>
      <c r="Q669" s="136"/>
      <c r="R669" s="136"/>
      <c r="S669" s="136"/>
      <c r="T669" s="136"/>
      <c r="U669" s="136"/>
      <c r="V669" s="136"/>
    </row>
    <row r="670" spans="14:22" x14ac:dyDescent="0.35">
      <c r="N670" s="135"/>
      <c r="O670" s="136"/>
      <c r="P670" s="136"/>
      <c r="Q670" s="136"/>
      <c r="R670" s="136"/>
      <c r="S670" s="136"/>
      <c r="T670" s="136"/>
      <c r="U670" s="136"/>
      <c r="V670" s="136"/>
    </row>
    <row r="671" spans="14:22" x14ac:dyDescent="0.35">
      <c r="N671" s="135"/>
      <c r="O671" s="136"/>
      <c r="P671" s="136"/>
      <c r="Q671" s="136"/>
      <c r="R671" s="136"/>
      <c r="S671" s="136"/>
      <c r="T671" s="136"/>
      <c r="U671" s="136"/>
      <c r="V671" s="136"/>
    </row>
    <row r="672" spans="14:22" x14ac:dyDescent="0.35">
      <c r="N672" s="135"/>
      <c r="O672" s="136"/>
      <c r="P672" s="136"/>
      <c r="Q672" s="136"/>
      <c r="R672" s="136"/>
      <c r="S672" s="136"/>
      <c r="T672" s="136"/>
      <c r="U672" s="136"/>
      <c r="V672" s="136"/>
    </row>
    <row r="673" spans="14:22" x14ac:dyDescent="0.35">
      <c r="N673" s="135"/>
      <c r="O673" s="136"/>
      <c r="P673" s="136"/>
      <c r="Q673" s="136"/>
      <c r="R673" s="136"/>
      <c r="S673" s="136"/>
      <c r="T673" s="136"/>
      <c r="U673" s="136"/>
      <c r="V673" s="136"/>
    </row>
    <row r="674" spans="14:22" x14ac:dyDescent="0.35">
      <c r="N674" s="135"/>
      <c r="O674" s="136"/>
      <c r="P674" s="136"/>
      <c r="Q674" s="136"/>
      <c r="R674" s="136"/>
      <c r="S674" s="136"/>
      <c r="T674" s="136"/>
      <c r="U674" s="136"/>
      <c r="V674" s="136"/>
    </row>
    <row r="675" spans="14:22" x14ac:dyDescent="0.35">
      <c r="N675" s="135"/>
      <c r="O675" s="136"/>
      <c r="P675" s="136"/>
      <c r="Q675" s="136"/>
      <c r="R675" s="136"/>
      <c r="S675" s="136"/>
      <c r="T675" s="136"/>
      <c r="U675" s="136"/>
      <c r="V675" s="136"/>
    </row>
    <row r="676" spans="14:22" x14ac:dyDescent="0.35">
      <c r="N676" s="135"/>
      <c r="O676" s="136"/>
      <c r="P676" s="136"/>
      <c r="Q676" s="136"/>
      <c r="R676" s="136"/>
      <c r="S676" s="136"/>
      <c r="T676" s="136"/>
      <c r="U676" s="136"/>
      <c r="V676" s="136"/>
    </row>
    <row r="677" spans="14:22" x14ac:dyDescent="0.35">
      <c r="N677" s="135"/>
      <c r="O677" s="136"/>
      <c r="P677" s="136"/>
      <c r="Q677" s="136"/>
      <c r="R677" s="136"/>
      <c r="S677" s="136"/>
      <c r="T677" s="136"/>
      <c r="U677" s="136"/>
      <c r="V677" s="136"/>
    </row>
    <row r="678" spans="14:22" x14ac:dyDescent="0.35">
      <c r="N678" s="135"/>
      <c r="O678" s="136"/>
      <c r="P678" s="136"/>
      <c r="Q678" s="136"/>
      <c r="R678" s="136"/>
      <c r="S678" s="136"/>
      <c r="T678" s="136"/>
      <c r="U678" s="136"/>
      <c r="V678" s="136"/>
    </row>
    <row r="679" spans="14:22" x14ac:dyDescent="0.35">
      <c r="N679" s="135"/>
      <c r="O679" s="136"/>
      <c r="P679" s="136"/>
      <c r="Q679" s="136"/>
      <c r="R679" s="136"/>
      <c r="S679" s="136"/>
      <c r="T679" s="136"/>
      <c r="U679" s="136"/>
      <c r="V679" s="136"/>
    </row>
    <row r="680" spans="14:22" x14ac:dyDescent="0.35">
      <c r="N680" s="135"/>
      <c r="O680" s="136"/>
      <c r="P680" s="136"/>
      <c r="Q680" s="136"/>
      <c r="R680" s="136"/>
      <c r="S680" s="136"/>
      <c r="T680" s="136"/>
      <c r="U680" s="136"/>
      <c r="V680" s="136"/>
    </row>
    <row r="681" spans="14:22" x14ac:dyDescent="0.35">
      <c r="N681" s="135"/>
      <c r="O681" s="136"/>
      <c r="P681" s="136"/>
      <c r="Q681" s="136"/>
      <c r="R681" s="136"/>
      <c r="S681" s="136"/>
      <c r="T681" s="136"/>
      <c r="U681" s="136"/>
      <c r="V681" s="136"/>
    </row>
    <row r="682" spans="14:22" x14ac:dyDescent="0.35">
      <c r="N682" s="135"/>
      <c r="O682" s="136"/>
      <c r="P682" s="136"/>
      <c r="Q682" s="136"/>
      <c r="R682" s="136"/>
      <c r="S682" s="136"/>
      <c r="T682" s="136"/>
      <c r="U682" s="136"/>
      <c r="V682" s="136"/>
    </row>
    <row r="683" spans="14:22" x14ac:dyDescent="0.35">
      <c r="N683" s="135"/>
      <c r="O683" s="136"/>
      <c r="P683" s="136"/>
      <c r="Q683" s="136"/>
      <c r="R683" s="136"/>
      <c r="S683" s="136"/>
      <c r="T683" s="136"/>
      <c r="U683" s="136"/>
      <c r="V683" s="136"/>
    </row>
    <row r="684" spans="14:22" x14ac:dyDescent="0.35">
      <c r="N684" s="135"/>
      <c r="O684" s="136"/>
      <c r="P684" s="136"/>
      <c r="Q684" s="136"/>
      <c r="R684" s="136"/>
      <c r="S684" s="136"/>
      <c r="T684" s="136"/>
      <c r="U684" s="136"/>
      <c r="V684" s="136"/>
    </row>
    <row r="685" spans="14:22" x14ac:dyDescent="0.35">
      <c r="N685" s="135"/>
      <c r="O685" s="136"/>
      <c r="P685" s="136"/>
      <c r="Q685" s="136"/>
      <c r="R685" s="136"/>
      <c r="S685" s="136"/>
      <c r="T685" s="136"/>
      <c r="U685" s="136"/>
      <c r="V685" s="136"/>
    </row>
    <row r="686" spans="14:22" x14ac:dyDescent="0.35">
      <c r="N686" s="135"/>
      <c r="O686" s="136"/>
      <c r="P686" s="136"/>
      <c r="Q686" s="136"/>
      <c r="R686" s="136"/>
      <c r="S686" s="136"/>
      <c r="T686" s="136"/>
      <c r="U686" s="136"/>
      <c r="V686" s="136"/>
    </row>
    <row r="687" spans="14:22" x14ac:dyDescent="0.35">
      <c r="N687" s="135"/>
      <c r="O687" s="136"/>
      <c r="P687" s="136"/>
      <c r="Q687" s="136"/>
      <c r="R687" s="136"/>
      <c r="S687" s="136"/>
      <c r="T687" s="136"/>
      <c r="U687" s="136"/>
      <c r="V687" s="136"/>
    </row>
    <row r="688" spans="14:22" x14ac:dyDescent="0.35">
      <c r="N688" s="135"/>
      <c r="O688" s="136"/>
      <c r="P688" s="136"/>
      <c r="Q688" s="136"/>
      <c r="R688" s="136"/>
      <c r="S688" s="136"/>
      <c r="T688" s="136"/>
      <c r="U688" s="136"/>
      <c r="V688" s="136"/>
    </row>
    <row r="689" spans="14:22" x14ac:dyDescent="0.35">
      <c r="N689" s="135"/>
      <c r="O689" s="136"/>
      <c r="P689" s="136"/>
      <c r="Q689" s="136"/>
      <c r="R689" s="136"/>
      <c r="S689" s="136"/>
      <c r="T689" s="136"/>
      <c r="U689" s="136"/>
      <c r="V689" s="136"/>
    </row>
    <row r="690" spans="14:22" x14ac:dyDescent="0.35">
      <c r="N690" s="135"/>
      <c r="O690" s="136"/>
      <c r="P690" s="136"/>
      <c r="Q690" s="136"/>
      <c r="R690" s="136"/>
      <c r="S690" s="136"/>
      <c r="T690" s="136"/>
      <c r="U690" s="136"/>
      <c r="V690" s="136"/>
    </row>
    <row r="691" spans="14:22" x14ac:dyDescent="0.35">
      <c r="N691" s="135"/>
      <c r="O691" s="136"/>
      <c r="P691" s="136"/>
      <c r="Q691" s="136"/>
      <c r="R691" s="136"/>
      <c r="S691" s="136"/>
      <c r="T691" s="136"/>
      <c r="U691" s="136"/>
      <c r="V691" s="136"/>
    </row>
    <row r="692" spans="14:22" x14ac:dyDescent="0.35">
      <c r="N692" s="135"/>
      <c r="O692" s="136"/>
      <c r="P692" s="136"/>
      <c r="Q692" s="136"/>
      <c r="R692" s="136"/>
      <c r="S692" s="136"/>
      <c r="T692" s="136"/>
      <c r="U692" s="136"/>
      <c r="V692" s="136"/>
    </row>
    <row r="693" spans="14:22" x14ac:dyDescent="0.35">
      <c r="N693" s="135"/>
      <c r="O693" s="136"/>
      <c r="P693" s="136"/>
      <c r="Q693" s="136"/>
      <c r="R693" s="136"/>
      <c r="S693" s="136"/>
      <c r="T693" s="136"/>
      <c r="U693" s="136"/>
      <c r="V693" s="136"/>
    </row>
    <row r="694" spans="14:22" x14ac:dyDescent="0.35">
      <c r="N694" s="135"/>
      <c r="O694" s="136"/>
      <c r="P694" s="136"/>
      <c r="Q694" s="136"/>
      <c r="R694" s="136"/>
      <c r="S694" s="136"/>
      <c r="T694" s="136"/>
      <c r="U694" s="136"/>
      <c r="V694" s="136"/>
    </row>
    <row r="695" spans="14:22" x14ac:dyDescent="0.35">
      <c r="N695" s="135"/>
      <c r="O695" s="136"/>
      <c r="P695" s="136"/>
      <c r="Q695" s="136"/>
      <c r="R695" s="136"/>
      <c r="S695" s="136"/>
      <c r="T695" s="136"/>
      <c r="U695" s="136"/>
      <c r="V695" s="136"/>
    </row>
    <row r="696" spans="14:22" x14ac:dyDescent="0.35">
      <c r="N696" s="135"/>
      <c r="O696" s="136"/>
      <c r="P696" s="136"/>
      <c r="Q696" s="136"/>
      <c r="R696" s="136"/>
      <c r="S696" s="136"/>
      <c r="T696" s="136"/>
      <c r="U696" s="136"/>
      <c r="V696" s="136"/>
    </row>
    <row r="697" spans="14:22" x14ac:dyDescent="0.35">
      <c r="N697" s="135"/>
      <c r="O697" s="136"/>
      <c r="P697" s="136"/>
      <c r="Q697" s="136"/>
      <c r="R697" s="136"/>
      <c r="S697" s="136"/>
      <c r="T697" s="136"/>
      <c r="U697" s="136"/>
      <c r="V697" s="136"/>
    </row>
    <row r="698" spans="14:22" x14ac:dyDescent="0.35">
      <c r="N698" s="135"/>
      <c r="O698" s="136"/>
      <c r="P698" s="136"/>
      <c r="Q698" s="136"/>
      <c r="R698" s="136"/>
      <c r="S698" s="136"/>
      <c r="T698" s="136"/>
      <c r="U698" s="136"/>
      <c r="V698" s="136"/>
    </row>
    <row r="699" spans="14:22" x14ac:dyDescent="0.35">
      <c r="N699" s="135"/>
      <c r="O699" s="136"/>
      <c r="P699" s="136"/>
      <c r="Q699" s="136"/>
      <c r="R699" s="136"/>
      <c r="S699" s="136"/>
      <c r="T699" s="136"/>
      <c r="U699" s="136"/>
      <c r="V699" s="136"/>
    </row>
    <row r="700" spans="14:22" x14ac:dyDescent="0.35">
      <c r="N700" s="135"/>
      <c r="O700" s="136"/>
      <c r="P700" s="136"/>
      <c r="Q700" s="136"/>
      <c r="R700" s="136"/>
      <c r="S700" s="136"/>
      <c r="T700" s="136"/>
      <c r="U700" s="136"/>
      <c r="V700" s="136"/>
    </row>
    <row r="701" spans="14:22" x14ac:dyDescent="0.35">
      <c r="N701" s="135"/>
      <c r="O701" s="136"/>
      <c r="P701" s="136"/>
      <c r="Q701" s="136"/>
      <c r="R701" s="136"/>
      <c r="S701" s="136"/>
      <c r="T701" s="136"/>
      <c r="U701" s="136"/>
      <c r="V701" s="136"/>
    </row>
    <row r="702" spans="14:22" x14ac:dyDescent="0.35">
      <c r="N702" s="135"/>
      <c r="O702" s="136"/>
      <c r="P702" s="136"/>
      <c r="Q702" s="136"/>
      <c r="R702" s="136"/>
      <c r="S702" s="136"/>
      <c r="T702" s="136"/>
      <c r="U702" s="136"/>
      <c r="V702" s="136"/>
    </row>
    <row r="703" spans="14:22" x14ac:dyDescent="0.35">
      <c r="N703" s="135"/>
      <c r="O703" s="136"/>
      <c r="P703" s="136"/>
      <c r="Q703" s="136"/>
      <c r="R703" s="136"/>
      <c r="S703" s="136"/>
      <c r="T703" s="136"/>
      <c r="U703" s="136"/>
      <c r="V703" s="136"/>
    </row>
    <row r="704" spans="14:22" x14ac:dyDescent="0.35">
      <c r="N704" s="135"/>
      <c r="O704" s="136"/>
      <c r="P704" s="136"/>
      <c r="Q704" s="136"/>
      <c r="R704" s="136"/>
      <c r="S704" s="136"/>
      <c r="T704" s="136"/>
      <c r="U704" s="136"/>
      <c r="V704" s="136"/>
    </row>
    <row r="705" spans="14:22" x14ac:dyDescent="0.35">
      <c r="N705" s="135"/>
      <c r="O705" s="136"/>
      <c r="P705" s="136"/>
      <c r="Q705" s="136"/>
      <c r="R705" s="136"/>
      <c r="S705" s="136"/>
      <c r="T705" s="136"/>
      <c r="U705" s="136"/>
      <c r="V705" s="136"/>
    </row>
    <row r="706" spans="14:22" x14ac:dyDescent="0.35">
      <c r="N706" s="135"/>
      <c r="O706" s="136"/>
      <c r="P706" s="136"/>
      <c r="Q706" s="136"/>
      <c r="R706" s="136"/>
      <c r="S706" s="136"/>
      <c r="T706" s="136"/>
      <c r="U706" s="136"/>
      <c r="V706" s="136"/>
    </row>
    <row r="707" spans="14:22" x14ac:dyDescent="0.35">
      <c r="N707" s="135"/>
      <c r="O707" s="136"/>
      <c r="P707" s="136"/>
      <c r="Q707" s="136"/>
      <c r="R707" s="136"/>
      <c r="S707" s="136"/>
      <c r="T707" s="136"/>
      <c r="U707" s="136"/>
      <c r="V707" s="136"/>
    </row>
    <row r="708" spans="14:22" x14ac:dyDescent="0.35">
      <c r="N708" s="135"/>
      <c r="O708" s="136"/>
      <c r="P708" s="136"/>
      <c r="Q708" s="136"/>
      <c r="R708" s="136"/>
      <c r="S708" s="136"/>
      <c r="T708" s="136"/>
      <c r="U708" s="136"/>
      <c r="V708" s="136"/>
    </row>
    <row r="709" spans="14:22" x14ac:dyDescent="0.35">
      <c r="N709" s="135"/>
      <c r="O709" s="136"/>
      <c r="P709" s="136"/>
      <c r="Q709" s="136"/>
      <c r="R709" s="136"/>
      <c r="S709" s="136"/>
      <c r="T709" s="136"/>
      <c r="U709" s="136"/>
      <c r="V709" s="136"/>
    </row>
    <row r="710" spans="14:22" x14ac:dyDescent="0.35">
      <c r="N710" s="135"/>
      <c r="O710" s="136"/>
      <c r="P710" s="136"/>
      <c r="Q710" s="136"/>
      <c r="R710" s="136"/>
      <c r="S710" s="136"/>
      <c r="T710" s="136"/>
      <c r="U710" s="136"/>
      <c r="V710" s="136"/>
    </row>
    <row r="711" spans="14:22" x14ac:dyDescent="0.35">
      <c r="N711" s="135"/>
      <c r="O711" s="136"/>
      <c r="P711" s="136"/>
      <c r="Q711" s="136"/>
      <c r="R711" s="136"/>
      <c r="S711" s="136"/>
      <c r="T711" s="136"/>
      <c r="U711" s="136"/>
      <c r="V711" s="136"/>
    </row>
    <row r="712" spans="14:22" x14ac:dyDescent="0.35">
      <c r="N712" s="135"/>
      <c r="O712" s="136"/>
      <c r="P712" s="136"/>
      <c r="Q712" s="136"/>
      <c r="R712" s="136"/>
      <c r="S712" s="136"/>
      <c r="T712" s="136"/>
      <c r="U712" s="136"/>
      <c r="V712" s="136"/>
    </row>
    <row r="713" spans="14:22" x14ac:dyDescent="0.35">
      <c r="N713" s="135"/>
      <c r="O713" s="136"/>
      <c r="P713" s="136"/>
      <c r="Q713" s="136"/>
      <c r="R713" s="136"/>
      <c r="S713" s="136"/>
      <c r="T713" s="136"/>
      <c r="U713" s="136"/>
      <c r="V713" s="136"/>
    </row>
    <row r="714" spans="14:22" x14ac:dyDescent="0.35">
      <c r="N714" s="135"/>
      <c r="O714" s="136"/>
      <c r="P714" s="136"/>
      <c r="Q714" s="136"/>
      <c r="R714" s="136"/>
      <c r="S714" s="136"/>
      <c r="T714" s="136"/>
      <c r="U714" s="136"/>
      <c r="V714" s="136"/>
    </row>
    <row r="715" spans="14:22" x14ac:dyDescent="0.35">
      <c r="N715" s="135"/>
      <c r="O715" s="136"/>
      <c r="P715" s="136"/>
      <c r="Q715" s="136"/>
      <c r="R715" s="136"/>
      <c r="S715" s="136"/>
      <c r="T715" s="136"/>
      <c r="U715" s="136"/>
      <c r="V715" s="136"/>
    </row>
    <row r="716" spans="14:22" x14ac:dyDescent="0.35">
      <c r="N716" s="135"/>
      <c r="O716" s="136"/>
      <c r="P716" s="136"/>
      <c r="Q716" s="136"/>
      <c r="R716" s="136"/>
      <c r="S716" s="136"/>
      <c r="T716" s="136"/>
      <c r="U716" s="136"/>
      <c r="V716" s="136"/>
    </row>
    <row r="717" spans="14:22" x14ac:dyDescent="0.35">
      <c r="N717" s="135"/>
      <c r="O717" s="136"/>
      <c r="P717" s="136"/>
      <c r="Q717" s="136"/>
      <c r="R717" s="136"/>
      <c r="S717" s="136"/>
      <c r="T717" s="136"/>
      <c r="U717" s="136"/>
      <c r="V717" s="136"/>
    </row>
    <row r="718" spans="14:22" x14ac:dyDescent="0.35">
      <c r="N718" s="135"/>
      <c r="O718" s="136"/>
      <c r="P718" s="136"/>
      <c r="Q718" s="136"/>
      <c r="R718" s="136"/>
      <c r="S718" s="136"/>
      <c r="T718" s="136"/>
      <c r="U718" s="136"/>
      <c r="V718" s="136"/>
    </row>
    <row r="719" spans="14:22" x14ac:dyDescent="0.35">
      <c r="N719" s="135"/>
      <c r="O719" s="136"/>
      <c r="P719" s="136"/>
      <c r="Q719" s="136"/>
      <c r="R719" s="136"/>
      <c r="S719" s="136"/>
      <c r="T719" s="136"/>
      <c r="U719" s="136"/>
      <c r="V719" s="136"/>
    </row>
    <row r="720" spans="14:22" x14ac:dyDescent="0.35">
      <c r="N720" s="135"/>
      <c r="O720" s="136"/>
      <c r="P720" s="136"/>
      <c r="Q720" s="136"/>
      <c r="R720" s="136"/>
      <c r="S720" s="136"/>
      <c r="T720" s="136"/>
      <c r="U720" s="136"/>
      <c r="V720" s="136"/>
    </row>
    <row r="721" spans="14:22" x14ac:dyDescent="0.35">
      <c r="N721" s="135"/>
      <c r="O721" s="136"/>
      <c r="P721" s="136"/>
      <c r="Q721" s="136"/>
      <c r="R721" s="136"/>
      <c r="S721" s="136"/>
      <c r="T721" s="136"/>
      <c r="U721" s="136"/>
      <c r="V721" s="136"/>
    </row>
    <row r="722" spans="14:22" x14ac:dyDescent="0.35">
      <c r="N722" s="135"/>
      <c r="O722" s="136"/>
      <c r="P722" s="136"/>
      <c r="Q722" s="136"/>
      <c r="R722" s="136"/>
      <c r="S722" s="136"/>
      <c r="T722" s="136"/>
      <c r="U722" s="136"/>
      <c r="V722" s="136"/>
    </row>
    <row r="723" spans="14:22" x14ac:dyDescent="0.35">
      <c r="N723" s="135"/>
      <c r="O723" s="136"/>
      <c r="P723" s="136"/>
      <c r="Q723" s="136"/>
      <c r="R723" s="136"/>
      <c r="S723" s="136"/>
      <c r="T723" s="136"/>
      <c r="U723" s="136"/>
      <c r="V723" s="136"/>
    </row>
    <row r="724" spans="14:22" x14ac:dyDescent="0.35">
      <c r="N724" s="135"/>
      <c r="O724" s="136"/>
      <c r="P724" s="136"/>
      <c r="Q724" s="136"/>
      <c r="R724" s="136"/>
      <c r="S724" s="136"/>
      <c r="T724" s="136"/>
      <c r="U724" s="136"/>
      <c r="V724" s="136"/>
    </row>
    <row r="725" spans="14:22" x14ac:dyDescent="0.35">
      <c r="N725" s="135"/>
      <c r="O725" s="136"/>
      <c r="P725" s="136"/>
      <c r="Q725" s="136"/>
      <c r="R725" s="136"/>
      <c r="S725" s="136"/>
      <c r="T725" s="136"/>
      <c r="U725" s="136"/>
      <c r="V725" s="136"/>
    </row>
    <row r="726" spans="14:22" x14ac:dyDescent="0.35">
      <c r="N726" s="135"/>
      <c r="O726" s="136"/>
      <c r="P726" s="136"/>
      <c r="Q726" s="136"/>
      <c r="R726" s="136"/>
      <c r="S726" s="136"/>
      <c r="T726" s="136"/>
      <c r="U726" s="136"/>
      <c r="V726" s="136"/>
    </row>
    <row r="727" spans="14:22" x14ac:dyDescent="0.35">
      <c r="N727" s="135"/>
      <c r="O727" s="136"/>
      <c r="P727" s="136"/>
      <c r="Q727" s="136"/>
      <c r="R727" s="136"/>
      <c r="S727" s="136"/>
      <c r="T727" s="136"/>
      <c r="U727" s="136"/>
      <c r="V727" s="136"/>
    </row>
    <row r="728" spans="14:22" x14ac:dyDescent="0.35">
      <c r="N728" s="135"/>
      <c r="O728" s="136"/>
      <c r="P728" s="136"/>
      <c r="Q728" s="136"/>
      <c r="R728" s="136"/>
      <c r="S728" s="136"/>
      <c r="T728" s="136"/>
      <c r="U728" s="136"/>
      <c r="V728" s="136"/>
    </row>
    <row r="729" spans="14:22" x14ac:dyDescent="0.35">
      <c r="N729" s="135"/>
      <c r="O729" s="136"/>
      <c r="P729" s="136"/>
      <c r="Q729" s="136"/>
      <c r="R729" s="136"/>
      <c r="S729" s="136"/>
      <c r="T729" s="136"/>
      <c r="U729" s="136"/>
      <c r="V729" s="136"/>
    </row>
    <row r="730" spans="14:22" x14ac:dyDescent="0.35">
      <c r="N730" s="135"/>
      <c r="O730" s="136"/>
      <c r="P730" s="136"/>
      <c r="Q730" s="136"/>
      <c r="R730" s="136"/>
      <c r="S730" s="136"/>
      <c r="T730" s="136"/>
      <c r="U730" s="136"/>
      <c r="V730" s="136"/>
    </row>
    <row r="731" spans="14:22" x14ac:dyDescent="0.35">
      <c r="N731" s="135"/>
      <c r="O731" s="136"/>
      <c r="P731" s="136"/>
      <c r="Q731" s="136"/>
      <c r="R731" s="136"/>
      <c r="S731" s="136"/>
      <c r="T731" s="136"/>
      <c r="U731" s="136"/>
      <c r="V731" s="136"/>
    </row>
    <row r="732" spans="14:22" x14ac:dyDescent="0.35">
      <c r="N732" s="135"/>
      <c r="O732" s="136"/>
      <c r="P732" s="136"/>
      <c r="Q732" s="136"/>
      <c r="R732" s="136"/>
      <c r="S732" s="136"/>
      <c r="T732" s="136"/>
      <c r="U732" s="136"/>
      <c r="V732" s="136"/>
    </row>
    <row r="733" spans="14:22" x14ac:dyDescent="0.35">
      <c r="N733" s="135"/>
      <c r="O733" s="136"/>
      <c r="P733" s="136"/>
      <c r="Q733" s="136"/>
      <c r="R733" s="136"/>
      <c r="S733" s="136"/>
      <c r="T733" s="136"/>
      <c r="U733" s="136"/>
      <c r="V733" s="136"/>
    </row>
    <row r="734" spans="14:22" x14ac:dyDescent="0.35">
      <c r="N734" s="135"/>
      <c r="O734" s="136"/>
      <c r="P734" s="136"/>
      <c r="Q734" s="136"/>
      <c r="R734" s="136"/>
      <c r="S734" s="136"/>
      <c r="T734" s="136"/>
      <c r="U734" s="136"/>
      <c r="V734" s="136"/>
    </row>
    <row r="735" spans="14:22" x14ac:dyDescent="0.35">
      <c r="N735" s="135"/>
      <c r="O735" s="136"/>
      <c r="P735" s="136"/>
      <c r="Q735" s="136"/>
      <c r="R735" s="136"/>
      <c r="S735" s="136"/>
      <c r="T735" s="136"/>
      <c r="U735" s="136"/>
      <c r="V735" s="136"/>
    </row>
    <row r="736" spans="14:22" x14ac:dyDescent="0.35">
      <c r="N736" s="135"/>
      <c r="O736" s="136"/>
      <c r="P736" s="136"/>
      <c r="Q736" s="136"/>
      <c r="R736" s="136"/>
      <c r="S736" s="136"/>
      <c r="T736" s="136"/>
      <c r="U736" s="136"/>
      <c r="V736" s="136"/>
    </row>
    <row r="737" spans="14:22" x14ac:dyDescent="0.35">
      <c r="N737" s="135"/>
      <c r="O737" s="136"/>
      <c r="P737" s="136"/>
      <c r="Q737" s="136"/>
      <c r="R737" s="136"/>
      <c r="S737" s="136"/>
      <c r="T737" s="136"/>
      <c r="U737" s="136"/>
      <c r="V737" s="136"/>
    </row>
    <row r="738" spans="14:22" x14ac:dyDescent="0.35">
      <c r="N738" s="135"/>
      <c r="O738" s="136"/>
      <c r="P738" s="136"/>
      <c r="Q738" s="136"/>
      <c r="R738" s="136"/>
      <c r="S738" s="136"/>
      <c r="T738" s="136"/>
      <c r="U738" s="136"/>
      <c r="V738" s="136"/>
    </row>
    <row r="739" spans="14:22" x14ac:dyDescent="0.35">
      <c r="N739" s="135"/>
      <c r="O739" s="136"/>
      <c r="P739" s="136"/>
      <c r="Q739" s="136"/>
      <c r="R739" s="136"/>
      <c r="S739" s="136"/>
      <c r="T739" s="136"/>
      <c r="U739" s="136"/>
      <c r="V739" s="136"/>
    </row>
    <row r="740" spans="14:22" x14ac:dyDescent="0.35">
      <c r="N740" s="135"/>
      <c r="O740" s="136"/>
      <c r="P740" s="136"/>
      <c r="Q740" s="136"/>
      <c r="R740" s="136"/>
      <c r="S740" s="136"/>
      <c r="T740" s="136"/>
      <c r="U740" s="136"/>
      <c r="V740" s="136"/>
    </row>
    <row r="741" spans="14:22" x14ac:dyDescent="0.35">
      <c r="N741" s="135"/>
      <c r="O741" s="136"/>
      <c r="P741" s="136"/>
      <c r="Q741" s="136"/>
      <c r="R741" s="136"/>
      <c r="S741" s="136"/>
      <c r="T741" s="136"/>
      <c r="U741" s="136"/>
      <c r="V741" s="136"/>
    </row>
    <row r="742" spans="14:22" x14ac:dyDescent="0.35">
      <c r="N742" s="135"/>
      <c r="O742" s="136"/>
      <c r="P742" s="136"/>
      <c r="Q742" s="136"/>
      <c r="R742" s="136"/>
      <c r="S742" s="136"/>
      <c r="T742" s="136"/>
      <c r="U742" s="136"/>
      <c r="V742" s="136"/>
    </row>
    <row r="743" spans="14:22" x14ac:dyDescent="0.35">
      <c r="N743" s="135"/>
      <c r="O743" s="136"/>
      <c r="P743" s="136"/>
      <c r="Q743" s="136"/>
      <c r="R743" s="136"/>
      <c r="S743" s="136"/>
      <c r="T743" s="136"/>
      <c r="U743" s="136"/>
      <c r="V743" s="136"/>
    </row>
    <row r="744" spans="14:22" x14ac:dyDescent="0.35">
      <c r="N744" s="135"/>
      <c r="O744" s="136"/>
      <c r="P744" s="136"/>
      <c r="Q744" s="136"/>
      <c r="R744" s="136"/>
      <c r="S744" s="136"/>
      <c r="T744" s="136"/>
      <c r="U744" s="136"/>
      <c r="V744" s="136"/>
    </row>
    <row r="745" spans="14:22" x14ac:dyDescent="0.35">
      <c r="N745" s="135"/>
      <c r="O745" s="136"/>
      <c r="P745" s="136"/>
      <c r="Q745" s="136"/>
      <c r="R745" s="136"/>
      <c r="S745" s="136"/>
      <c r="T745" s="136"/>
      <c r="U745" s="136"/>
      <c r="V745" s="136"/>
    </row>
    <row r="746" spans="14:22" x14ac:dyDescent="0.35">
      <c r="N746" s="135"/>
      <c r="O746" s="136"/>
      <c r="P746" s="136"/>
      <c r="Q746" s="136"/>
      <c r="R746" s="136"/>
      <c r="S746" s="136"/>
      <c r="T746" s="136"/>
      <c r="U746" s="136"/>
      <c r="V746" s="136"/>
    </row>
    <row r="747" spans="14:22" x14ac:dyDescent="0.35">
      <c r="N747" s="135"/>
      <c r="O747" s="136"/>
      <c r="P747" s="136"/>
      <c r="Q747" s="136"/>
      <c r="R747" s="136"/>
      <c r="S747" s="136"/>
      <c r="T747" s="136"/>
      <c r="U747" s="136"/>
      <c r="V747" s="136"/>
    </row>
    <row r="748" spans="14:22" x14ac:dyDescent="0.35">
      <c r="N748" s="135"/>
      <c r="O748" s="136"/>
      <c r="P748" s="136"/>
      <c r="Q748" s="136"/>
      <c r="R748" s="136"/>
      <c r="S748" s="136"/>
      <c r="T748" s="136"/>
      <c r="U748" s="136"/>
      <c r="V748" s="136"/>
    </row>
    <row r="749" spans="14:22" x14ac:dyDescent="0.35">
      <c r="N749" s="135"/>
      <c r="O749" s="136"/>
      <c r="P749" s="136"/>
      <c r="Q749" s="136"/>
      <c r="R749" s="136"/>
      <c r="S749" s="136"/>
      <c r="T749" s="136"/>
      <c r="U749" s="136"/>
      <c r="V749" s="136"/>
    </row>
    <row r="750" spans="14:22" x14ac:dyDescent="0.35">
      <c r="N750" s="135"/>
      <c r="O750" s="136"/>
      <c r="P750" s="136"/>
      <c r="Q750" s="136"/>
      <c r="R750" s="136"/>
      <c r="S750" s="136"/>
      <c r="T750" s="136"/>
      <c r="U750" s="136"/>
      <c r="V750" s="136"/>
    </row>
    <row r="751" spans="14:22" x14ac:dyDescent="0.35">
      <c r="N751" s="135"/>
      <c r="O751" s="136"/>
      <c r="P751" s="136"/>
      <c r="Q751" s="136"/>
      <c r="R751" s="136"/>
      <c r="S751" s="136"/>
      <c r="T751" s="136"/>
      <c r="U751" s="136"/>
      <c r="V751" s="136"/>
    </row>
    <row r="752" spans="14:22" x14ac:dyDescent="0.35">
      <c r="N752" s="135"/>
      <c r="O752" s="136"/>
      <c r="P752" s="136"/>
      <c r="Q752" s="136"/>
      <c r="R752" s="136"/>
      <c r="S752" s="136"/>
      <c r="T752" s="136"/>
      <c r="U752" s="136"/>
      <c r="V752" s="136"/>
    </row>
    <row r="753" spans="14:22" x14ac:dyDescent="0.35">
      <c r="N753" s="135"/>
      <c r="O753" s="136"/>
      <c r="P753" s="136"/>
      <c r="Q753" s="136"/>
      <c r="R753" s="136"/>
      <c r="S753" s="136"/>
      <c r="T753" s="136"/>
      <c r="U753" s="136"/>
      <c r="V753" s="136"/>
    </row>
    <row r="754" spans="14:22" x14ac:dyDescent="0.35">
      <c r="N754" s="135"/>
      <c r="O754" s="136"/>
      <c r="P754" s="136"/>
      <c r="Q754" s="136"/>
      <c r="R754" s="136"/>
      <c r="S754" s="136"/>
      <c r="T754" s="136"/>
      <c r="U754" s="136"/>
      <c r="V754" s="136"/>
    </row>
    <row r="755" spans="14:22" x14ac:dyDescent="0.35">
      <c r="N755" s="135"/>
      <c r="O755" s="136"/>
      <c r="P755" s="136"/>
      <c r="Q755" s="136"/>
      <c r="R755" s="136"/>
      <c r="S755" s="136"/>
      <c r="T755" s="136"/>
      <c r="U755" s="136"/>
      <c r="V755" s="136"/>
    </row>
    <row r="756" spans="14:22" x14ac:dyDescent="0.35">
      <c r="N756" s="135"/>
      <c r="O756" s="136"/>
      <c r="P756" s="136"/>
      <c r="Q756" s="136"/>
      <c r="R756" s="136"/>
      <c r="S756" s="136"/>
      <c r="T756" s="136"/>
      <c r="U756" s="136"/>
      <c r="V756" s="136"/>
    </row>
    <row r="757" spans="14:22" x14ac:dyDescent="0.35">
      <c r="N757" s="135"/>
      <c r="O757" s="136"/>
      <c r="P757" s="136"/>
      <c r="Q757" s="136"/>
      <c r="R757" s="136"/>
      <c r="S757" s="136"/>
      <c r="T757" s="136"/>
      <c r="U757" s="136"/>
      <c r="V757" s="136"/>
    </row>
    <row r="758" spans="14:22" x14ac:dyDescent="0.35">
      <c r="N758" s="135"/>
      <c r="O758" s="136"/>
      <c r="P758" s="136"/>
      <c r="Q758" s="136"/>
      <c r="R758" s="136"/>
      <c r="S758" s="136"/>
      <c r="T758" s="136"/>
      <c r="U758" s="136"/>
      <c r="V758" s="136"/>
    </row>
    <row r="759" spans="14:22" x14ac:dyDescent="0.35">
      <c r="N759" s="135"/>
      <c r="O759" s="136"/>
      <c r="P759" s="136"/>
      <c r="Q759" s="136"/>
      <c r="R759" s="136"/>
      <c r="S759" s="136"/>
      <c r="T759" s="136"/>
      <c r="U759" s="136"/>
      <c r="V759" s="136"/>
    </row>
    <row r="760" spans="14:22" x14ac:dyDescent="0.35">
      <c r="N760" s="135"/>
      <c r="O760" s="136"/>
      <c r="P760" s="136"/>
      <c r="Q760" s="136"/>
      <c r="R760" s="136"/>
      <c r="S760" s="136"/>
      <c r="T760" s="136"/>
      <c r="U760" s="136"/>
      <c r="V760" s="136"/>
    </row>
    <row r="761" spans="14:22" x14ac:dyDescent="0.35">
      <c r="N761" s="135"/>
      <c r="O761" s="136"/>
      <c r="P761" s="136"/>
      <c r="Q761" s="136"/>
      <c r="R761" s="136"/>
      <c r="S761" s="136"/>
      <c r="T761" s="136"/>
      <c r="U761" s="136"/>
      <c r="V761" s="136"/>
    </row>
    <row r="762" spans="14:22" x14ac:dyDescent="0.35">
      <c r="N762" s="135"/>
      <c r="O762" s="136"/>
      <c r="P762" s="136"/>
      <c r="Q762" s="136"/>
      <c r="R762" s="136"/>
      <c r="S762" s="136"/>
      <c r="T762" s="136"/>
      <c r="U762" s="136"/>
      <c r="V762" s="136"/>
    </row>
    <row r="763" spans="14:22" x14ac:dyDescent="0.35">
      <c r="N763" s="135"/>
      <c r="O763" s="136"/>
      <c r="P763" s="136"/>
      <c r="Q763" s="136"/>
      <c r="R763" s="136"/>
      <c r="S763" s="136"/>
      <c r="T763" s="136"/>
      <c r="U763" s="136"/>
      <c r="V763" s="136"/>
    </row>
    <row r="764" spans="14:22" x14ac:dyDescent="0.35">
      <c r="N764" s="135"/>
      <c r="O764" s="136"/>
      <c r="P764" s="136"/>
      <c r="Q764" s="136"/>
      <c r="R764" s="136"/>
      <c r="S764" s="136"/>
      <c r="T764" s="136"/>
      <c r="U764" s="136"/>
      <c r="V764" s="136"/>
    </row>
    <row r="765" spans="14:22" x14ac:dyDescent="0.35">
      <c r="N765" s="135"/>
      <c r="O765" s="136"/>
      <c r="P765" s="136"/>
      <c r="Q765" s="136"/>
      <c r="R765" s="136"/>
      <c r="S765" s="136"/>
      <c r="T765" s="136"/>
      <c r="U765" s="136"/>
      <c r="V765" s="136"/>
    </row>
    <row r="766" spans="14:22" x14ac:dyDescent="0.35">
      <c r="N766" s="135"/>
      <c r="O766" s="136"/>
      <c r="P766" s="136"/>
      <c r="Q766" s="136"/>
      <c r="R766" s="136"/>
      <c r="S766" s="136"/>
      <c r="T766" s="136"/>
      <c r="U766" s="136"/>
      <c r="V766" s="136"/>
    </row>
    <row r="767" spans="14:22" x14ac:dyDescent="0.35">
      <c r="N767" s="135"/>
      <c r="O767" s="136"/>
      <c r="P767" s="136"/>
      <c r="Q767" s="136"/>
      <c r="R767" s="136"/>
      <c r="S767" s="136"/>
      <c r="T767" s="136"/>
      <c r="U767" s="136"/>
      <c r="V767" s="136"/>
    </row>
    <row r="768" spans="14:22" x14ac:dyDescent="0.35">
      <c r="N768" s="135"/>
      <c r="O768" s="136"/>
      <c r="P768" s="136"/>
      <c r="Q768" s="136"/>
      <c r="R768" s="136"/>
      <c r="S768" s="136"/>
      <c r="T768" s="136"/>
      <c r="U768" s="136"/>
      <c r="V768" s="136"/>
    </row>
    <row r="769" spans="14:22" x14ac:dyDescent="0.35">
      <c r="N769" s="135"/>
      <c r="O769" s="136"/>
      <c r="P769" s="136"/>
      <c r="Q769" s="136"/>
      <c r="R769" s="136"/>
      <c r="S769" s="136"/>
      <c r="T769" s="136"/>
      <c r="U769" s="136"/>
      <c r="V769" s="136"/>
    </row>
    <row r="770" spans="14:22" x14ac:dyDescent="0.35">
      <c r="N770" s="135"/>
      <c r="O770" s="136"/>
      <c r="P770" s="136"/>
      <c r="Q770" s="136"/>
      <c r="R770" s="136"/>
      <c r="S770" s="136"/>
      <c r="T770" s="136"/>
      <c r="U770" s="136"/>
      <c r="V770" s="136"/>
    </row>
    <row r="771" spans="14:22" x14ac:dyDescent="0.35">
      <c r="N771" s="135"/>
      <c r="O771" s="136"/>
      <c r="P771" s="136"/>
      <c r="Q771" s="136"/>
      <c r="R771" s="136"/>
      <c r="S771" s="136"/>
      <c r="T771" s="136"/>
      <c r="U771" s="136"/>
      <c r="V771" s="136"/>
    </row>
    <row r="772" spans="14:22" x14ac:dyDescent="0.35">
      <c r="N772" s="135"/>
      <c r="O772" s="136"/>
      <c r="P772" s="136"/>
      <c r="Q772" s="136"/>
      <c r="R772" s="136"/>
      <c r="S772" s="136"/>
      <c r="T772" s="136"/>
      <c r="U772" s="136"/>
      <c r="V772" s="136"/>
    </row>
    <row r="773" spans="14:22" x14ac:dyDescent="0.35">
      <c r="N773" s="135"/>
      <c r="O773" s="136"/>
      <c r="P773" s="136"/>
      <c r="Q773" s="136"/>
      <c r="R773" s="136"/>
      <c r="S773" s="136"/>
      <c r="T773" s="136"/>
      <c r="U773" s="136"/>
      <c r="V773" s="136"/>
    </row>
    <row r="774" spans="14:22" x14ac:dyDescent="0.35">
      <c r="N774" s="135"/>
      <c r="O774" s="136"/>
      <c r="P774" s="136"/>
      <c r="Q774" s="136"/>
      <c r="R774" s="136"/>
      <c r="S774" s="136"/>
      <c r="T774" s="136"/>
      <c r="U774" s="136"/>
      <c r="V774" s="136"/>
    </row>
    <row r="775" spans="14:22" x14ac:dyDescent="0.35">
      <c r="N775" s="135"/>
      <c r="O775" s="136"/>
      <c r="P775" s="136"/>
      <c r="Q775" s="136"/>
      <c r="R775" s="136"/>
      <c r="S775" s="136"/>
      <c r="T775" s="136"/>
      <c r="U775" s="136"/>
      <c r="V775" s="136"/>
    </row>
    <row r="776" spans="14:22" x14ac:dyDescent="0.35">
      <c r="N776" s="135"/>
      <c r="O776" s="136"/>
      <c r="P776" s="136"/>
      <c r="Q776" s="136"/>
      <c r="R776" s="136"/>
      <c r="S776" s="136"/>
      <c r="T776" s="136"/>
      <c r="U776" s="136"/>
      <c r="V776" s="136"/>
    </row>
    <row r="777" spans="14:22" x14ac:dyDescent="0.35">
      <c r="N777" s="135"/>
      <c r="O777" s="136"/>
      <c r="P777" s="136"/>
      <c r="Q777" s="136"/>
      <c r="R777" s="136"/>
      <c r="S777" s="136"/>
      <c r="T777" s="136"/>
      <c r="U777" s="136"/>
      <c r="V777" s="136"/>
    </row>
    <row r="778" spans="14:22" x14ac:dyDescent="0.35">
      <c r="N778" s="135"/>
      <c r="O778" s="136"/>
      <c r="P778" s="136"/>
      <c r="Q778" s="136"/>
      <c r="R778" s="136"/>
      <c r="S778" s="136"/>
      <c r="T778" s="136"/>
      <c r="U778" s="136"/>
      <c r="V778" s="136"/>
    </row>
    <row r="779" spans="14:22" x14ac:dyDescent="0.35">
      <c r="N779" s="135"/>
      <c r="O779" s="136"/>
      <c r="P779" s="136"/>
      <c r="Q779" s="136"/>
      <c r="R779" s="136"/>
      <c r="S779" s="136"/>
      <c r="T779" s="136"/>
      <c r="U779" s="136"/>
      <c r="V779" s="136"/>
    </row>
    <row r="780" spans="14:22" x14ac:dyDescent="0.35">
      <c r="N780" s="135"/>
      <c r="O780" s="136"/>
      <c r="P780" s="136"/>
      <c r="Q780" s="136"/>
      <c r="R780" s="136"/>
      <c r="S780" s="136"/>
      <c r="T780" s="136"/>
      <c r="U780" s="136"/>
      <c r="V780" s="136"/>
    </row>
    <row r="781" spans="14:22" x14ac:dyDescent="0.35">
      <c r="N781" s="135"/>
      <c r="O781" s="136"/>
      <c r="P781" s="136"/>
      <c r="Q781" s="136"/>
      <c r="R781" s="136"/>
      <c r="S781" s="136"/>
      <c r="T781" s="136"/>
      <c r="U781" s="136"/>
      <c r="V781" s="136"/>
    </row>
    <row r="782" spans="14:22" x14ac:dyDescent="0.35">
      <c r="N782" s="135"/>
      <c r="O782" s="136"/>
      <c r="P782" s="136"/>
      <c r="Q782" s="136"/>
      <c r="R782" s="136"/>
      <c r="S782" s="136"/>
      <c r="T782" s="136"/>
      <c r="U782" s="136"/>
      <c r="V782" s="136"/>
    </row>
    <row r="783" spans="14:22" x14ac:dyDescent="0.35">
      <c r="N783" s="135"/>
      <c r="O783" s="136"/>
      <c r="P783" s="136"/>
      <c r="Q783" s="136"/>
      <c r="R783" s="136"/>
      <c r="S783" s="136"/>
      <c r="T783" s="136"/>
      <c r="U783" s="136"/>
      <c r="V783" s="136"/>
    </row>
    <row r="784" spans="14:22" x14ac:dyDescent="0.35">
      <c r="N784" s="135"/>
      <c r="O784" s="136"/>
      <c r="P784" s="136"/>
      <c r="Q784" s="136"/>
      <c r="R784" s="136"/>
      <c r="S784" s="136"/>
      <c r="T784" s="136"/>
      <c r="U784" s="136"/>
      <c r="V784" s="136"/>
    </row>
    <row r="785" spans="14:22" x14ac:dyDescent="0.35">
      <c r="N785" s="135"/>
      <c r="O785" s="136"/>
      <c r="P785" s="136"/>
      <c r="Q785" s="136"/>
      <c r="R785" s="136"/>
      <c r="S785" s="136"/>
      <c r="T785" s="136"/>
      <c r="U785" s="136"/>
      <c r="V785" s="136"/>
    </row>
    <row r="786" spans="14:22" x14ac:dyDescent="0.35">
      <c r="N786" s="135"/>
      <c r="O786" s="136"/>
      <c r="P786" s="136"/>
      <c r="Q786" s="136"/>
      <c r="R786" s="136"/>
      <c r="S786" s="136"/>
      <c r="T786" s="136"/>
      <c r="U786" s="136"/>
      <c r="V786" s="136"/>
    </row>
    <row r="787" spans="14:22" x14ac:dyDescent="0.35">
      <c r="N787" s="135"/>
      <c r="O787" s="136"/>
      <c r="P787" s="136"/>
      <c r="Q787" s="136"/>
      <c r="R787" s="136"/>
      <c r="S787" s="136"/>
      <c r="T787" s="136"/>
      <c r="U787" s="136"/>
      <c r="V787" s="136"/>
    </row>
    <row r="788" spans="14:22" x14ac:dyDescent="0.35">
      <c r="N788" s="135"/>
      <c r="O788" s="136"/>
      <c r="P788" s="136"/>
      <c r="Q788" s="136"/>
      <c r="R788" s="136"/>
      <c r="S788" s="136"/>
      <c r="T788" s="136"/>
      <c r="U788" s="136"/>
      <c r="V788" s="136"/>
    </row>
    <row r="789" spans="14:22" x14ac:dyDescent="0.35">
      <c r="N789" s="135"/>
      <c r="O789" s="136"/>
      <c r="P789" s="136"/>
      <c r="Q789" s="136"/>
      <c r="R789" s="136"/>
      <c r="S789" s="136"/>
      <c r="T789" s="136"/>
      <c r="U789" s="136"/>
      <c r="V789" s="136"/>
    </row>
    <row r="790" spans="14:22" x14ac:dyDescent="0.35">
      <c r="N790" s="135"/>
      <c r="O790" s="136"/>
      <c r="P790" s="136"/>
      <c r="Q790" s="136"/>
      <c r="R790" s="136"/>
      <c r="S790" s="136"/>
      <c r="T790" s="136"/>
      <c r="U790" s="136"/>
      <c r="V790" s="136"/>
    </row>
    <row r="791" spans="14:22" x14ac:dyDescent="0.35">
      <c r="N791" s="135"/>
      <c r="O791" s="136"/>
      <c r="P791" s="136"/>
      <c r="Q791" s="136"/>
      <c r="R791" s="136"/>
      <c r="S791" s="136"/>
      <c r="T791" s="136"/>
      <c r="U791" s="136"/>
      <c r="V791" s="136"/>
    </row>
    <row r="792" spans="14:22" x14ac:dyDescent="0.35">
      <c r="N792" s="135"/>
      <c r="O792" s="136"/>
      <c r="P792" s="136"/>
      <c r="Q792" s="136"/>
      <c r="R792" s="136"/>
      <c r="S792" s="136"/>
      <c r="T792" s="136"/>
      <c r="U792" s="136"/>
      <c r="V792" s="136"/>
    </row>
    <row r="793" spans="14:22" x14ac:dyDescent="0.35">
      <c r="N793" s="135"/>
      <c r="O793" s="136"/>
      <c r="P793" s="136"/>
      <c r="Q793" s="136"/>
      <c r="R793" s="136"/>
      <c r="S793" s="136"/>
      <c r="T793" s="136"/>
      <c r="U793" s="136"/>
      <c r="V793" s="136"/>
    </row>
    <row r="794" spans="14:22" x14ac:dyDescent="0.35">
      <c r="N794" s="135"/>
      <c r="O794" s="136"/>
      <c r="P794" s="136"/>
      <c r="Q794" s="136"/>
      <c r="R794" s="136"/>
      <c r="S794" s="136"/>
      <c r="T794" s="136"/>
      <c r="U794" s="136"/>
      <c r="V794" s="136"/>
    </row>
    <row r="795" spans="14:22" x14ac:dyDescent="0.35">
      <c r="N795" s="135"/>
      <c r="O795" s="136"/>
      <c r="P795" s="136"/>
      <c r="Q795" s="136"/>
      <c r="R795" s="136"/>
      <c r="S795" s="136"/>
      <c r="T795" s="136"/>
      <c r="U795" s="136"/>
      <c r="V795" s="136"/>
    </row>
    <row r="796" spans="14:22" x14ac:dyDescent="0.35">
      <c r="N796" s="135"/>
      <c r="O796" s="136"/>
      <c r="P796" s="136"/>
      <c r="Q796" s="136"/>
      <c r="R796" s="136"/>
      <c r="S796" s="136"/>
      <c r="T796" s="136"/>
      <c r="U796" s="136"/>
      <c r="V796" s="136"/>
    </row>
    <row r="797" spans="14:22" x14ac:dyDescent="0.35">
      <c r="N797" s="135"/>
      <c r="O797" s="136"/>
      <c r="P797" s="136"/>
      <c r="Q797" s="136"/>
      <c r="R797" s="136"/>
      <c r="S797" s="136"/>
      <c r="T797" s="136"/>
      <c r="U797" s="136"/>
      <c r="V797" s="136"/>
    </row>
    <row r="798" spans="14:22" x14ac:dyDescent="0.35">
      <c r="N798" s="135"/>
      <c r="O798" s="136"/>
      <c r="P798" s="136"/>
      <c r="Q798" s="136"/>
      <c r="R798" s="136"/>
      <c r="S798" s="136"/>
      <c r="T798" s="136"/>
      <c r="U798" s="136"/>
      <c r="V798" s="136"/>
    </row>
    <row r="799" spans="14:22" x14ac:dyDescent="0.35">
      <c r="N799" s="135"/>
      <c r="O799" s="136"/>
      <c r="P799" s="136"/>
      <c r="Q799" s="136"/>
      <c r="R799" s="136"/>
      <c r="S799" s="136"/>
      <c r="T799" s="136"/>
      <c r="U799" s="136"/>
      <c r="V799" s="136"/>
    </row>
    <row r="800" spans="14:22" x14ac:dyDescent="0.35">
      <c r="N800" s="135"/>
      <c r="O800" s="136"/>
      <c r="P800" s="136"/>
      <c r="Q800" s="136"/>
      <c r="R800" s="136"/>
      <c r="S800" s="136"/>
      <c r="T800" s="136"/>
      <c r="U800" s="136"/>
      <c r="V800" s="136"/>
    </row>
    <row r="801" spans="14:22" x14ac:dyDescent="0.35">
      <c r="N801" s="135"/>
      <c r="O801" s="136"/>
      <c r="P801" s="136"/>
      <c r="Q801" s="136"/>
      <c r="R801" s="136"/>
      <c r="S801" s="136"/>
      <c r="T801" s="136"/>
      <c r="U801" s="136"/>
      <c r="V801" s="136"/>
    </row>
    <row r="802" spans="14:22" x14ac:dyDescent="0.35">
      <c r="N802" s="135"/>
      <c r="O802" s="136"/>
      <c r="P802" s="136"/>
      <c r="Q802" s="136"/>
      <c r="R802" s="136"/>
      <c r="S802" s="136"/>
      <c r="T802" s="136"/>
      <c r="U802" s="136"/>
      <c r="V802" s="136"/>
    </row>
    <row r="803" spans="14:22" x14ac:dyDescent="0.35">
      <c r="N803" s="135"/>
      <c r="O803" s="136"/>
      <c r="P803" s="136"/>
      <c r="Q803" s="136"/>
      <c r="R803" s="136"/>
      <c r="S803" s="136"/>
      <c r="T803" s="136"/>
      <c r="U803" s="136"/>
      <c r="V803" s="136"/>
    </row>
    <row r="804" spans="14:22" x14ac:dyDescent="0.35">
      <c r="N804" s="135"/>
      <c r="O804" s="136"/>
      <c r="P804" s="136"/>
      <c r="Q804" s="136"/>
      <c r="R804" s="136"/>
      <c r="S804" s="136"/>
      <c r="T804" s="136"/>
      <c r="U804" s="136"/>
      <c r="V804" s="136"/>
    </row>
    <row r="805" spans="14:22" x14ac:dyDescent="0.35">
      <c r="N805" s="135"/>
      <c r="O805" s="136"/>
      <c r="P805" s="136"/>
      <c r="Q805" s="136"/>
      <c r="R805" s="136"/>
      <c r="S805" s="136"/>
      <c r="T805" s="136"/>
      <c r="U805" s="136"/>
      <c r="V805" s="136"/>
    </row>
    <row r="806" spans="14:22" x14ac:dyDescent="0.35">
      <c r="N806" s="135"/>
      <c r="O806" s="136"/>
      <c r="P806" s="136"/>
      <c r="Q806" s="136"/>
      <c r="R806" s="136"/>
      <c r="S806" s="136"/>
      <c r="T806" s="136"/>
      <c r="U806" s="136"/>
      <c r="V806" s="136"/>
    </row>
    <row r="807" spans="14:22" x14ac:dyDescent="0.35">
      <c r="N807" s="135"/>
      <c r="O807" s="136"/>
      <c r="P807" s="136"/>
      <c r="Q807" s="136"/>
      <c r="R807" s="136"/>
      <c r="S807" s="136"/>
      <c r="T807" s="136"/>
      <c r="U807" s="136"/>
      <c r="V807" s="136"/>
    </row>
    <row r="808" spans="14:22" x14ac:dyDescent="0.35">
      <c r="N808" s="135"/>
      <c r="O808" s="136"/>
      <c r="P808" s="136"/>
      <c r="Q808" s="136"/>
      <c r="R808" s="136"/>
      <c r="S808" s="136"/>
      <c r="T808" s="136"/>
      <c r="U808" s="136"/>
      <c r="V808" s="136"/>
    </row>
    <row r="809" spans="14:22" x14ac:dyDescent="0.35">
      <c r="N809" s="135"/>
      <c r="O809" s="136"/>
      <c r="P809" s="136"/>
      <c r="Q809" s="136"/>
      <c r="R809" s="136"/>
      <c r="S809" s="136"/>
      <c r="T809" s="136"/>
      <c r="U809" s="136"/>
      <c r="V809" s="136"/>
    </row>
    <row r="810" spans="14:22" x14ac:dyDescent="0.35">
      <c r="N810" s="135"/>
      <c r="O810" s="136"/>
      <c r="P810" s="136"/>
      <c r="Q810" s="136"/>
      <c r="R810" s="136"/>
      <c r="S810" s="136"/>
      <c r="T810" s="136"/>
      <c r="U810" s="136"/>
      <c r="V810" s="136"/>
    </row>
    <row r="811" spans="14:22" x14ac:dyDescent="0.35">
      <c r="N811" s="135"/>
      <c r="O811" s="136"/>
      <c r="P811" s="136"/>
      <c r="Q811" s="136"/>
      <c r="R811" s="136"/>
      <c r="S811" s="136"/>
      <c r="T811" s="136"/>
      <c r="U811" s="136"/>
      <c r="V811" s="136"/>
    </row>
    <row r="812" spans="14:22" x14ac:dyDescent="0.35">
      <c r="N812" s="135"/>
      <c r="O812" s="136"/>
      <c r="P812" s="136"/>
      <c r="Q812" s="136"/>
      <c r="R812" s="136"/>
      <c r="S812" s="136"/>
      <c r="T812" s="136"/>
      <c r="U812" s="136"/>
      <c r="V812" s="136"/>
    </row>
    <row r="813" spans="14:22" x14ac:dyDescent="0.35">
      <c r="N813" s="135"/>
      <c r="O813" s="136"/>
      <c r="P813" s="136"/>
      <c r="Q813" s="136"/>
      <c r="R813" s="136"/>
      <c r="S813" s="136"/>
      <c r="T813" s="136"/>
      <c r="U813" s="136"/>
      <c r="V813" s="136"/>
    </row>
    <row r="814" spans="14:22" x14ac:dyDescent="0.35">
      <c r="N814" s="135"/>
      <c r="O814" s="136"/>
      <c r="P814" s="136"/>
      <c r="Q814" s="136"/>
      <c r="R814" s="136"/>
      <c r="S814" s="136"/>
      <c r="T814" s="136"/>
      <c r="U814" s="136"/>
      <c r="V814" s="136"/>
    </row>
    <row r="815" spans="14:22" x14ac:dyDescent="0.35">
      <c r="N815" s="135"/>
      <c r="O815" s="136"/>
      <c r="P815" s="136"/>
      <c r="Q815" s="136"/>
      <c r="R815" s="136"/>
      <c r="S815" s="136"/>
      <c r="T815" s="136"/>
      <c r="U815" s="136"/>
      <c r="V815" s="136"/>
    </row>
    <row r="816" spans="14:22" x14ac:dyDescent="0.35">
      <c r="N816" s="135"/>
      <c r="O816" s="136"/>
      <c r="P816" s="136"/>
      <c r="Q816" s="136"/>
      <c r="R816" s="136"/>
      <c r="S816" s="136"/>
      <c r="T816" s="136"/>
      <c r="U816" s="136"/>
      <c r="V816" s="136"/>
    </row>
    <row r="817" spans="14:22" x14ac:dyDescent="0.35">
      <c r="N817" s="135"/>
      <c r="O817" s="136"/>
      <c r="P817" s="136"/>
      <c r="Q817" s="136"/>
      <c r="R817" s="136"/>
      <c r="S817" s="136"/>
      <c r="T817" s="136"/>
      <c r="U817" s="136"/>
      <c r="V817" s="136"/>
    </row>
    <row r="818" spans="14:22" x14ac:dyDescent="0.35">
      <c r="N818" s="135"/>
      <c r="O818" s="136"/>
      <c r="P818" s="136"/>
      <c r="Q818" s="136"/>
      <c r="R818" s="136"/>
      <c r="S818" s="136"/>
      <c r="T818" s="136"/>
      <c r="U818" s="136"/>
      <c r="V818" s="136"/>
    </row>
    <row r="819" spans="14:22" x14ac:dyDescent="0.35">
      <c r="N819" s="135"/>
      <c r="O819" s="136"/>
      <c r="P819" s="136"/>
      <c r="Q819" s="136"/>
      <c r="R819" s="136"/>
      <c r="S819" s="136"/>
      <c r="T819" s="136"/>
      <c r="U819" s="136"/>
      <c r="V819" s="136"/>
    </row>
    <row r="820" spans="14:22" x14ac:dyDescent="0.35">
      <c r="N820" s="135"/>
      <c r="O820" s="136"/>
      <c r="P820" s="136"/>
      <c r="Q820" s="136"/>
      <c r="R820" s="136"/>
      <c r="S820" s="136"/>
      <c r="T820" s="136"/>
      <c r="U820" s="136"/>
      <c r="V820" s="136"/>
    </row>
    <row r="821" spans="14:22" x14ac:dyDescent="0.35">
      <c r="N821" s="135"/>
      <c r="O821" s="136"/>
      <c r="P821" s="136"/>
      <c r="Q821" s="136"/>
      <c r="R821" s="136"/>
      <c r="S821" s="136"/>
      <c r="T821" s="136"/>
      <c r="U821" s="136"/>
      <c r="V821" s="136"/>
    </row>
    <row r="822" spans="14:22" x14ac:dyDescent="0.35">
      <c r="N822" s="135"/>
      <c r="O822" s="136"/>
      <c r="P822" s="136"/>
      <c r="Q822" s="136"/>
      <c r="R822" s="136"/>
      <c r="S822" s="136"/>
      <c r="T822" s="136"/>
      <c r="U822" s="136"/>
      <c r="V822" s="136"/>
    </row>
    <row r="823" spans="14:22" x14ac:dyDescent="0.35">
      <c r="N823" s="135"/>
      <c r="O823" s="136"/>
      <c r="P823" s="136"/>
      <c r="Q823" s="136"/>
      <c r="R823" s="136"/>
      <c r="S823" s="136"/>
      <c r="T823" s="136"/>
      <c r="U823" s="136"/>
      <c r="V823" s="136"/>
    </row>
    <row r="824" spans="14:22" x14ac:dyDescent="0.35">
      <c r="N824" s="135"/>
      <c r="O824" s="136"/>
      <c r="P824" s="136"/>
      <c r="Q824" s="136"/>
      <c r="R824" s="136"/>
      <c r="S824" s="136"/>
      <c r="T824" s="136"/>
      <c r="U824" s="136"/>
      <c r="V824" s="136"/>
    </row>
    <row r="825" spans="14:22" x14ac:dyDescent="0.35">
      <c r="N825" s="135"/>
      <c r="O825" s="136"/>
      <c r="P825" s="136"/>
      <c r="Q825" s="136"/>
      <c r="R825" s="136"/>
      <c r="S825" s="136"/>
      <c r="T825" s="136"/>
      <c r="U825" s="136"/>
      <c r="V825" s="136"/>
    </row>
    <row r="826" spans="14:22" x14ac:dyDescent="0.35">
      <c r="N826" s="135"/>
      <c r="O826" s="136"/>
      <c r="P826" s="136"/>
      <c r="Q826" s="136"/>
      <c r="R826" s="136"/>
      <c r="S826" s="136"/>
      <c r="T826" s="136"/>
      <c r="U826" s="136"/>
      <c r="V826" s="136"/>
    </row>
    <row r="827" spans="14:22" x14ac:dyDescent="0.35">
      <c r="N827" s="135"/>
      <c r="O827" s="136"/>
      <c r="P827" s="136"/>
      <c r="Q827" s="136"/>
      <c r="R827" s="136"/>
      <c r="S827" s="136"/>
      <c r="T827" s="136"/>
      <c r="U827" s="136"/>
      <c r="V827" s="136"/>
    </row>
    <row r="828" spans="14:22" x14ac:dyDescent="0.35">
      <c r="N828" s="135"/>
      <c r="O828" s="136"/>
      <c r="P828" s="136"/>
      <c r="Q828" s="136"/>
      <c r="R828" s="136"/>
      <c r="S828" s="136"/>
      <c r="T828" s="136"/>
      <c r="U828" s="136"/>
      <c r="V828" s="136"/>
    </row>
    <row r="829" spans="14:22" x14ac:dyDescent="0.35">
      <c r="N829" s="135"/>
      <c r="O829" s="136"/>
      <c r="P829" s="136"/>
      <c r="Q829" s="136"/>
      <c r="R829" s="136"/>
      <c r="S829" s="136"/>
      <c r="T829" s="136"/>
      <c r="U829" s="136"/>
      <c r="V829" s="136"/>
    </row>
    <row r="830" spans="14:22" x14ac:dyDescent="0.35">
      <c r="N830" s="135"/>
      <c r="O830" s="136"/>
      <c r="P830" s="136"/>
      <c r="Q830" s="136"/>
      <c r="R830" s="136"/>
      <c r="S830" s="136"/>
      <c r="T830" s="136"/>
      <c r="U830" s="136"/>
      <c r="V830" s="136"/>
    </row>
    <row r="831" spans="14:22" x14ac:dyDescent="0.35">
      <c r="N831" s="135"/>
      <c r="O831" s="136"/>
      <c r="P831" s="136"/>
      <c r="Q831" s="136"/>
      <c r="R831" s="136"/>
      <c r="S831" s="136"/>
      <c r="T831" s="136"/>
      <c r="U831" s="136"/>
      <c r="V831" s="136"/>
    </row>
    <row r="832" spans="14:22" x14ac:dyDescent="0.35">
      <c r="N832" s="135"/>
      <c r="O832" s="136"/>
      <c r="P832" s="136"/>
      <c r="Q832" s="136"/>
      <c r="R832" s="136"/>
      <c r="S832" s="136"/>
      <c r="T832" s="136"/>
      <c r="U832" s="136"/>
      <c r="V832" s="136"/>
    </row>
    <row r="833" spans="14:22" x14ac:dyDescent="0.35">
      <c r="N833" s="135"/>
      <c r="O833" s="136"/>
      <c r="P833" s="136"/>
      <c r="Q833" s="136"/>
      <c r="R833" s="136"/>
      <c r="S833" s="136"/>
      <c r="T833" s="136"/>
      <c r="U833" s="136"/>
      <c r="V833" s="136"/>
    </row>
    <row r="834" spans="14:22" x14ac:dyDescent="0.35">
      <c r="N834" s="135"/>
      <c r="O834" s="136"/>
      <c r="P834" s="136"/>
      <c r="Q834" s="136"/>
      <c r="R834" s="136"/>
      <c r="S834" s="136"/>
      <c r="T834" s="136"/>
      <c r="U834" s="136"/>
      <c r="V834" s="136"/>
    </row>
    <row r="835" spans="14:22" x14ac:dyDescent="0.35">
      <c r="N835" s="135"/>
      <c r="O835" s="136"/>
      <c r="P835" s="136"/>
      <c r="Q835" s="136"/>
      <c r="R835" s="136"/>
      <c r="S835" s="136"/>
      <c r="T835" s="136"/>
      <c r="U835" s="136"/>
      <c r="V835" s="136"/>
    </row>
    <row r="836" spans="14:22" x14ac:dyDescent="0.35">
      <c r="N836" s="135"/>
      <c r="O836" s="136"/>
      <c r="P836" s="136"/>
      <c r="Q836" s="136"/>
      <c r="R836" s="136"/>
      <c r="S836" s="136"/>
      <c r="T836" s="136"/>
      <c r="U836" s="136"/>
      <c r="V836" s="136"/>
    </row>
    <row r="837" spans="14:22" x14ac:dyDescent="0.35">
      <c r="N837" s="135"/>
      <c r="O837" s="136"/>
      <c r="P837" s="136"/>
      <c r="Q837" s="136"/>
      <c r="R837" s="136"/>
      <c r="S837" s="136"/>
      <c r="T837" s="136"/>
      <c r="U837" s="136"/>
      <c r="V837" s="136"/>
    </row>
    <row r="838" spans="14:22" x14ac:dyDescent="0.35">
      <c r="N838" s="135"/>
      <c r="O838" s="136"/>
      <c r="P838" s="136"/>
      <c r="Q838" s="136"/>
      <c r="R838" s="136"/>
      <c r="S838" s="136"/>
      <c r="T838" s="136"/>
      <c r="U838" s="136"/>
      <c r="V838" s="136"/>
    </row>
    <row r="839" spans="14:22" x14ac:dyDescent="0.35">
      <c r="N839" s="135"/>
      <c r="O839" s="136"/>
      <c r="P839" s="136"/>
      <c r="Q839" s="136"/>
      <c r="R839" s="136"/>
      <c r="S839" s="136"/>
      <c r="T839" s="136"/>
      <c r="U839" s="136"/>
      <c r="V839" s="136"/>
    </row>
    <row r="840" spans="14:22" x14ac:dyDescent="0.35">
      <c r="N840" s="135"/>
      <c r="O840" s="136"/>
      <c r="P840" s="136"/>
      <c r="Q840" s="136"/>
      <c r="R840" s="136"/>
      <c r="S840" s="136"/>
      <c r="T840" s="136"/>
      <c r="U840" s="136"/>
      <c r="V840" s="136"/>
    </row>
    <row r="841" spans="14:22" x14ac:dyDescent="0.35">
      <c r="N841" s="135"/>
      <c r="O841" s="136"/>
      <c r="P841" s="136"/>
      <c r="Q841" s="136"/>
      <c r="R841" s="136"/>
      <c r="S841" s="136"/>
      <c r="T841" s="136"/>
      <c r="U841" s="136"/>
      <c r="V841" s="136"/>
    </row>
    <row r="842" spans="14:22" x14ac:dyDescent="0.35">
      <c r="N842" s="135"/>
      <c r="O842" s="136"/>
      <c r="P842" s="136"/>
      <c r="Q842" s="136"/>
      <c r="R842" s="136"/>
      <c r="S842" s="136"/>
      <c r="T842" s="136"/>
      <c r="U842" s="136"/>
      <c r="V842" s="136"/>
    </row>
    <row r="843" spans="14:22" x14ac:dyDescent="0.35">
      <c r="N843" s="135"/>
      <c r="O843" s="136"/>
      <c r="P843" s="136"/>
      <c r="Q843" s="136"/>
      <c r="R843" s="136"/>
      <c r="S843" s="136"/>
      <c r="T843" s="136"/>
      <c r="U843" s="136"/>
      <c r="V843" s="136"/>
    </row>
    <row r="844" spans="14:22" x14ac:dyDescent="0.35">
      <c r="N844" s="135"/>
      <c r="O844" s="136"/>
      <c r="P844" s="136"/>
      <c r="Q844" s="136"/>
      <c r="R844" s="136"/>
      <c r="S844" s="136"/>
      <c r="T844" s="136"/>
      <c r="U844" s="136"/>
      <c r="V844" s="136"/>
    </row>
    <row r="845" spans="14:22" x14ac:dyDescent="0.35">
      <c r="N845" s="135"/>
      <c r="O845" s="136"/>
      <c r="P845" s="136"/>
      <c r="Q845" s="136"/>
      <c r="R845" s="136"/>
      <c r="S845" s="136"/>
      <c r="T845" s="136"/>
      <c r="U845" s="136"/>
      <c r="V845" s="136"/>
    </row>
    <row r="846" spans="14:22" x14ac:dyDescent="0.35">
      <c r="N846" s="135"/>
      <c r="O846" s="136"/>
      <c r="P846" s="136"/>
      <c r="Q846" s="136"/>
      <c r="R846" s="136"/>
      <c r="S846" s="136"/>
      <c r="T846" s="136"/>
      <c r="U846" s="136"/>
      <c r="V846" s="136"/>
    </row>
    <row r="847" spans="14:22" x14ac:dyDescent="0.35">
      <c r="N847" s="135"/>
      <c r="O847" s="136"/>
      <c r="P847" s="136"/>
      <c r="Q847" s="136"/>
      <c r="R847" s="136"/>
      <c r="S847" s="136"/>
      <c r="T847" s="136"/>
      <c r="U847" s="136"/>
      <c r="V847" s="136"/>
    </row>
    <row r="848" spans="14:22" x14ac:dyDescent="0.35">
      <c r="N848" s="135"/>
      <c r="O848" s="136"/>
      <c r="P848" s="136"/>
      <c r="Q848" s="136"/>
      <c r="R848" s="136"/>
      <c r="S848" s="136"/>
      <c r="T848" s="136"/>
      <c r="U848" s="136"/>
      <c r="V848" s="136"/>
    </row>
    <row r="849" spans="14:22" x14ac:dyDescent="0.35">
      <c r="N849" s="135"/>
      <c r="O849" s="136"/>
      <c r="P849" s="136"/>
      <c r="Q849" s="136"/>
      <c r="R849" s="136"/>
      <c r="S849" s="136"/>
      <c r="T849" s="136"/>
      <c r="U849" s="136"/>
      <c r="V849" s="136"/>
    </row>
    <row r="850" spans="14:22" x14ac:dyDescent="0.35">
      <c r="N850" s="135"/>
      <c r="O850" s="136"/>
      <c r="P850" s="136"/>
      <c r="Q850" s="136"/>
      <c r="R850" s="136"/>
      <c r="S850" s="136"/>
      <c r="T850" s="136"/>
      <c r="U850" s="136"/>
      <c r="V850" s="136"/>
    </row>
    <row r="851" spans="14:22" x14ac:dyDescent="0.35">
      <c r="N851" s="135"/>
      <c r="O851" s="136"/>
      <c r="P851" s="136"/>
      <c r="Q851" s="136"/>
      <c r="R851" s="136"/>
      <c r="S851" s="136"/>
      <c r="T851" s="136"/>
      <c r="U851" s="136"/>
      <c r="V851" s="136"/>
    </row>
    <row r="852" spans="14:22" x14ac:dyDescent="0.35">
      <c r="N852" s="135"/>
      <c r="O852" s="136"/>
      <c r="P852" s="136"/>
      <c r="Q852" s="136"/>
      <c r="R852" s="136"/>
      <c r="S852" s="136"/>
      <c r="T852" s="136"/>
      <c r="U852" s="136"/>
      <c r="V852" s="136"/>
    </row>
    <row r="853" spans="14:22" x14ac:dyDescent="0.35">
      <c r="N853" s="135"/>
      <c r="O853" s="136"/>
      <c r="P853" s="136"/>
      <c r="Q853" s="136"/>
      <c r="R853" s="136"/>
      <c r="S853" s="136"/>
      <c r="T853" s="136"/>
      <c r="U853" s="136"/>
      <c r="V853" s="136"/>
    </row>
    <row r="854" spans="14:22" x14ac:dyDescent="0.35">
      <c r="N854" s="135"/>
      <c r="O854" s="136"/>
      <c r="P854" s="136"/>
      <c r="Q854" s="136"/>
      <c r="R854" s="136"/>
      <c r="S854" s="136"/>
      <c r="T854" s="136"/>
      <c r="U854" s="136"/>
      <c r="V854" s="136"/>
    </row>
    <row r="855" spans="14:22" x14ac:dyDescent="0.35">
      <c r="N855" s="135"/>
      <c r="O855" s="136"/>
      <c r="P855" s="136"/>
      <c r="Q855" s="136"/>
      <c r="R855" s="136"/>
      <c r="S855" s="136"/>
      <c r="T855" s="136"/>
      <c r="U855" s="136"/>
      <c r="V855" s="136"/>
    </row>
    <row r="856" spans="14:22" x14ac:dyDescent="0.35">
      <c r="N856" s="135"/>
      <c r="O856" s="136"/>
      <c r="P856" s="136"/>
      <c r="Q856" s="136"/>
      <c r="R856" s="136"/>
      <c r="S856" s="136"/>
      <c r="T856" s="136"/>
      <c r="U856" s="136"/>
      <c r="V856" s="136"/>
    </row>
    <row r="857" spans="14:22" x14ac:dyDescent="0.35">
      <c r="N857" s="135"/>
      <c r="O857" s="136"/>
      <c r="P857" s="136"/>
      <c r="Q857" s="136"/>
      <c r="R857" s="136"/>
      <c r="S857" s="136"/>
      <c r="T857" s="136"/>
      <c r="U857" s="136"/>
      <c r="V857" s="136"/>
    </row>
    <row r="858" spans="14:22" x14ac:dyDescent="0.35">
      <c r="N858" s="135"/>
      <c r="O858" s="136"/>
      <c r="P858" s="136"/>
      <c r="Q858" s="136"/>
      <c r="R858" s="136"/>
      <c r="S858" s="136"/>
      <c r="T858" s="136"/>
      <c r="U858" s="136"/>
      <c r="V858" s="136"/>
    </row>
    <row r="859" spans="14:22" x14ac:dyDescent="0.35">
      <c r="N859" s="135"/>
      <c r="O859" s="136"/>
      <c r="P859" s="136"/>
      <c r="Q859" s="136"/>
      <c r="R859" s="136"/>
      <c r="S859" s="136"/>
      <c r="T859" s="136"/>
      <c r="U859" s="136"/>
      <c r="V859" s="136"/>
    </row>
    <row r="860" spans="14:22" x14ac:dyDescent="0.35">
      <c r="N860" s="135"/>
      <c r="O860" s="136"/>
      <c r="P860" s="136"/>
      <c r="Q860" s="136"/>
      <c r="R860" s="136"/>
      <c r="S860" s="136"/>
      <c r="T860" s="136"/>
      <c r="U860" s="136"/>
      <c r="V860" s="136"/>
    </row>
    <row r="861" spans="14:22" x14ac:dyDescent="0.35">
      <c r="N861" s="135"/>
      <c r="O861" s="136"/>
      <c r="P861" s="136"/>
      <c r="Q861" s="136"/>
      <c r="R861" s="136"/>
      <c r="S861" s="136"/>
      <c r="T861" s="136"/>
      <c r="U861" s="136"/>
      <c r="V861" s="136"/>
    </row>
    <row r="862" spans="14:22" x14ac:dyDescent="0.35">
      <c r="N862" s="135"/>
      <c r="O862" s="136"/>
      <c r="P862" s="136"/>
      <c r="Q862" s="136"/>
      <c r="R862" s="136"/>
      <c r="S862" s="136"/>
      <c r="T862" s="136"/>
      <c r="U862" s="136"/>
      <c r="V862" s="136"/>
    </row>
    <row r="863" spans="14:22" x14ac:dyDescent="0.35">
      <c r="N863" s="135"/>
      <c r="O863" s="136"/>
      <c r="P863" s="136"/>
      <c r="Q863" s="136"/>
      <c r="R863" s="136"/>
      <c r="S863" s="136"/>
      <c r="T863" s="136"/>
      <c r="U863" s="136"/>
      <c r="V863" s="136"/>
    </row>
    <row r="864" spans="14:22" x14ac:dyDescent="0.35">
      <c r="N864" s="135"/>
      <c r="O864" s="136"/>
      <c r="P864" s="136"/>
      <c r="Q864" s="136"/>
      <c r="R864" s="136"/>
      <c r="S864" s="136"/>
      <c r="T864" s="136"/>
      <c r="U864" s="136"/>
      <c r="V864" s="136"/>
    </row>
    <row r="865" spans="14:22" x14ac:dyDescent="0.35">
      <c r="N865" s="135"/>
      <c r="O865" s="136"/>
      <c r="P865" s="136"/>
      <c r="Q865" s="136"/>
      <c r="R865" s="136"/>
      <c r="S865" s="136"/>
      <c r="T865" s="136"/>
      <c r="U865" s="136"/>
      <c r="V865" s="136"/>
    </row>
    <row r="866" spans="14:22" x14ac:dyDescent="0.35">
      <c r="N866" s="135"/>
      <c r="O866" s="136"/>
      <c r="P866" s="136"/>
      <c r="Q866" s="136"/>
      <c r="R866" s="136"/>
      <c r="S866" s="136"/>
      <c r="T866" s="136"/>
      <c r="U866" s="136"/>
      <c r="V866" s="136"/>
    </row>
    <row r="867" spans="14:22" x14ac:dyDescent="0.35">
      <c r="N867" s="135"/>
      <c r="O867" s="136"/>
      <c r="P867" s="136"/>
      <c r="Q867" s="136"/>
      <c r="R867" s="136"/>
      <c r="S867" s="136"/>
      <c r="T867" s="136"/>
      <c r="U867" s="136"/>
      <c r="V867" s="136"/>
    </row>
    <row r="868" spans="14:22" x14ac:dyDescent="0.35">
      <c r="N868" s="135"/>
      <c r="O868" s="136"/>
      <c r="P868" s="136"/>
      <c r="Q868" s="136"/>
      <c r="R868" s="136"/>
      <c r="S868" s="136"/>
      <c r="T868" s="136"/>
      <c r="U868" s="136"/>
      <c r="V868" s="136"/>
    </row>
    <row r="869" spans="14:22" x14ac:dyDescent="0.35">
      <c r="N869" s="135"/>
      <c r="O869" s="136"/>
      <c r="P869" s="136"/>
      <c r="Q869" s="136"/>
      <c r="R869" s="136"/>
      <c r="S869" s="136"/>
      <c r="T869" s="136"/>
      <c r="U869" s="136"/>
      <c r="V869" s="136"/>
    </row>
    <row r="870" spans="14:22" x14ac:dyDescent="0.35">
      <c r="N870" s="135"/>
      <c r="O870" s="136"/>
      <c r="P870" s="136"/>
      <c r="Q870" s="136"/>
      <c r="R870" s="136"/>
      <c r="S870" s="136"/>
      <c r="T870" s="136"/>
      <c r="U870" s="136"/>
      <c r="V870" s="136"/>
    </row>
    <row r="871" spans="14:22" x14ac:dyDescent="0.35">
      <c r="N871" s="135"/>
      <c r="O871" s="136"/>
      <c r="P871" s="136"/>
      <c r="Q871" s="136"/>
      <c r="R871" s="136"/>
      <c r="S871" s="136"/>
      <c r="T871" s="136"/>
      <c r="U871" s="136"/>
      <c r="V871" s="136"/>
    </row>
    <row r="872" spans="14:22" x14ac:dyDescent="0.35">
      <c r="N872" s="135"/>
      <c r="O872" s="136"/>
      <c r="P872" s="136"/>
      <c r="Q872" s="136"/>
      <c r="R872" s="136"/>
      <c r="S872" s="136"/>
      <c r="T872" s="136"/>
      <c r="U872" s="136"/>
      <c r="V872" s="136"/>
    </row>
    <row r="873" spans="14:22" x14ac:dyDescent="0.35">
      <c r="N873" s="135"/>
      <c r="O873" s="136"/>
      <c r="P873" s="136"/>
      <c r="Q873" s="136"/>
      <c r="R873" s="136"/>
      <c r="S873" s="136"/>
      <c r="T873" s="136"/>
      <c r="U873" s="136"/>
      <c r="V873" s="136"/>
    </row>
    <row r="874" spans="14:22" x14ac:dyDescent="0.35">
      <c r="N874" s="135"/>
      <c r="O874" s="136"/>
      <c r="P874" s="136"/>
      <c r="Q874" s="136"/>
      <c r="R874" s="136"/>
      <c r="S874" s="136"/>
      <c r="T874" s="136"/>
      <c r="U874" s="136"/>
      <c r="V874" s="136"/>
    </row>
    <row r="875" spans="14:22" x14ac:dyDescent="0.35">
      <c r="N875" s="135"/>
      <c r="O875" s="136"/>
      <c r="P875" s="136"/>
      <c r="Q875" s="136"/>
      <c r="R875" s="136"/>
      <c r="S875" s="136"/>
      <c r="T875" s="136"/>
      <c r="U875" s="136"/>
      <c r="V875" s="136"/>
    </row>
    <row r="876" spans="14:22" x14ac:dyDescent="0.35">
      <c r="N876" s="135"/>
      <c r="O876" s="136"/>
      <c r="P876" s="136"/>
      <c r="Q876" s="136"/>
      <c r="R876" s="136"/>
      <c r="S876" s="136"/>
      <c r="T876" s="136"/>
      <c r="U876" s="136"/>
      <c r="V876" s="136"/>
    </row>
    <row r="877" spans="14:22" x14ac:dyDescent="0.35">
      <c r="N877" s="135"/>
      <c r="O877" s="136"/>
      <c r="P877" s="136"/>
      <c r="Q877" s="136"/>
      <c r="R877" s="136"/>
      <c r="S877" s="136"/>
      <c r="T877" s="136"/>
      <c r="U877" s="136"/>
      <c r="V877" s="136"/>
    </row>
    <row r="878" spans="14:22" x14ac:dyDescent="0.35">
      <c r="N878" s="135"/>
      <c r="O878" s="136"/>
      <c r="P878" s="136"/>
      <c r="Q878" s="136"/>
      <c r="R878" s="136"/>
      <c r="S878" s="136"/>
      <c r="T878" s="136"/>
      <c r="U878" s="136"/>
      <c r="V878" s="136"/>
    </row>
    <row r="879" spans="14:22" x14ac:dyDescent="0.35">
      <c r="N879" s="135"/>
      <c r="O879" s="136"/>
      <c r="P879" s="136"/>
      <c r="Q879" s="136"/>
      <c r="R879" s="136"/>
      <c r="S879" s="136"/>
      <c r="T879" s="136"/>
      <c r="U879" s="136"/>
      <c r="V879" s="136"/>
    </row>
    <row r="880" spans="14:22" x14ac:dyDescent="0.35">
      <c r="N880" s="135"/>
      <c r="O880" s="136"/>
      <c r="P880" s="136"/>
      <c r="Q880" s="136"/>
      <c r="R880" s="136"/>
      <c r="S880" s="136"/>
      <c r="T880" s="136"/>
      <c r="U880" s="136"/>
      <c r="V880" s="136"/>
    </row>
    <row r="881" spans="14:22" x14ac:dyDescent="0.35">
      <c r="N881" s="135"/>
      <c r="O881" s="136"/>
      <c r="P881" s="136"/>
      <c r="Q881" s="136"/>
      <c r="R881" s="136"/>
      <c r="S881" s="136"/>
      <c r="T881" s="136"/>
      <c r="U881" s="136"/>
      <c r="V881" s="136"/>
    </row>
    <row r="882" spans="14:22" x14ac:dyDescent="0.35">
      <c r="N882" s="135"/>
      <c r="O882" s="136"/>
      <c r="P882" s="136"/>
      <c r="Q882" s="136"/>
      <c r="R882" s="136"/>
      <c r="S882" s="136"/>
      <c r="T882" s="136"/>
      <c r="U882" s="136"/>
      <c r="V882" s="136"/>
    </row>
    <row r="883" spans="14:22" x14ac:dyDescent="0.35">
      <c r="N883" s="135"/>
      <c r="O883" s="136"/>
      <c r="P883" s="136"/>
      <c r="Q883" s="136"/>
      <c r="R883" s="136"/>
      <c r="S883" s="136"/>
      <c r="T883" s="136"/>
      <c r="U883" s="136"/>
      <c r="V883" s="136"/>
    </row>
    <row r="884" spans="14:22" x14ac:dyDescent="0.35">
      <c r="N884" s="135"/>
      <c r="O884" s="136"/>
      <c r="P884" s="136"/>
      <c r="Q884" s="136"/>
      <c r="R884" s="136"/>
      <c r="S884" s="136"/>
      <c r="T884" s="136"/>
      <c r="U884" s="136"/>
      <c r="V884" s="136"/>
    </row>
    <row r="885" spans="14:22" x14ac:dyDescent="0.35">
      <c r="N885" s="135"/>
      <c r="O885" s="136"/>
      <c r="P885" s="136"/>
      <c r="Q885" s="136"/>
      <c r="R885" s="136"/>
      <c r="S885" s="136"/>
      <c r="T885" s="136"/>
      <c r="U885" s="136"/>
      <c r="V885" s="136"/>
    </row>
    <row r="886" spans="14:22" x14ac:dyDescent="0.35">
      <c r="N886" s="135"/>
      <c r="O886" s="136"/>
      <c r="P886" s="136"/>
      <c r="Q886" s="136"/>
      <c r="R886" s="136"/>
      <c r="S886" s="136"/>
      <c r="T886" s="136"/>
      <c r="U886" s="136"/>
      <c r="V886" s="136"/>
    </row>
    <row r="887" spans="14:22" x14ac:dyDescent="0.35">
      <c r="N887" s="135"/>
      <c r="O887" s="136"/>
      <c r="P887" s="136"/>
      <c r="Q887" s="136"/>
      <c r="R887" s="136"/>
      <c r="S887" s="136"/>
      <c r="T887" s="136"/>
      <c r="U887" s="136"/>
      <c r="V887" s="136"/>
    </row>
    <row r="888" spans="14:22" x14ac:dyDescent="0.35">
      <c r="N888" s="135"/>
      <c r="O888" s="136"/>
      <c r="P888" s="136"/>
      <c r="Q888" s="136"/>
      <c r="R888" s="136"/>
      <c r="S888" s="136"/>
      <c r="T888" s="136"/>
      <c r="U888" s="136"/>
      <c r="V888" s="136"/>
    </row>
    <row r="889" spans="14:22" x14ac:dyDescent="0.35">
      <c r="N889" s="135"/>
      <c r="O889" s="136"/>
      <c r="P889" s="136"/>
      <c r="Q889" s="136"/>
      <c r="R889" s="136"/>
      <c r="S889" s="136"/>
      <c r="T889" s="136"/>
      <c r="U889" s="136"/>
      <c r="V889" s="136"/>
    </row>
    <row r="890" spans="14:22" x14ac:dyDescent="0.35">
      <c r="N890" s="135"/>
      <c r="O890" s="136"/>
      <c r="P890" s="136"/>
      <c r="Q890" s="136"/>
      <c r="R890" s="136"/>
      <c r="S890" s="136"/>
      <c r="T890" s="136"/>
      <c r="U890" s="136"/>
      <c r="V890" s="136"/>
    </row>
    <row r="891" spans="14:22" x14ac:dyDescent="0.35">
      <c r="N891" s="135"/>
      <c r="O891" s="136"/>
      <c r="P891" s="136"/>
      <c r="Q891" s="136"/>
      <c r="R891" s="136"/>
      <c r="S891" s="136"/>
      <c r="T891" s="136"/>
      <c r="U891" s="136"/>
      <c r="V891" s="136"/>
    </row>
    <row r="892" spans="14:22" x14ac:dyDescent="0.35">
      <c r="N892" s="135"/>
      <c r="O892" s="136"/>
      <c r="P892" s="136"/>
      <c r="Q892" s="136"/>
      <c r="R892" s="136"/>
      <c r="S892" s="136"/>
      <c r="T892" s="136"/>
      <c r="U892" s="136"/>
      <c r="V892" s="136"/>
    </row>
    <row r="893" spans="14:22" x14ac:dyDescent="0.35">
      <c r="N893" s="135"/>
      <c r="O893" s="136"/>
      <c r="P893" s="136"/>
      <c r="Q893" s="136"/>
      <c r="R893" s="136"/>
      <c r="S893" s="136"/>
      <c r="T893" s="136"/>
      <c r="U893" s="136"/>
      <c r="V893" s="136"/>
    </row>
    <row r="894" spans="14:22" x14ac:dyDescent="0.35">
      <c r="N894" s="135"/>
      <c r="O894" s="136"/>
      <c r="P894" s="136"/>
      <c r="Q894" s="136"/>
      <c r="R894" s="136"/>
      <c r="S894" s="136"/>
      <c r="T894" s="136"/>
      <c r="U894" s="136"/>
      <c r="V894" s="136"/>
    </row>
    <row r="895" spans="14:22" x14ac:dyDescent="0.35">
      <c r="N895" s="135"/>
      <c r="O895" s="136"/>
      <c r="P895" s="136"/>
      <c r="Q895" s="136"/>
      <c r="R895" s="136"/>
      <c r="S895" s="136"/>
      <c r="T895" s="136"/>
      <c r="U895" s="136"/>
      <c r="V895" s="136"/>
    </row>
    <row r="896" spans="14:22" x14ac:dyDescent="0.35">
      <c r="N896" s="135"/>
      <c r="O896" s="136"/>
      <c r="P896" s="136"/>
      <c r="Q896" s="136"/>
      <c r="R896" s="136"/>
      <c r="S896" s="136"/>
      <c r="T896" s="136"/>
      <c r="U896" s="136"/>
      <c r="V896" s="136"/>
    </row>
    <row r="897" spans="14:22" x14ac:dyDescent="0.35">
      <c r="N897" s="135"/>
      <c r="O897" s="136"/>
      <c r="P897" s="136"/>
      <c r="Q897" s="136"/>
      <c r="R897" s="136"/>
      <c r="S897" s="136"/>
      <c r="T897" s="136"/>
      <c r="U897" s="136"/>
      <c r="V897" s="136"/>
    </row>
    <row r="898" spans="14:22" x14ac:dyDescent="0.35">
      <c r="N898" s="135"/>
      <c r="O898" s="136"/>
      <c r="P898" s="136"/>
      <c r="Q898" s="136"/>
      <c r="R898" s="136"/>
      <c r="S898" s="136"/>
      <c r="T898" s="136"/>
      <c r="U898" s="136"/>
      <c r="V898" s="136"/>
    </row>
    <row r="899" spans="14:22" x14ac:dyDescent="0.35">
      <c r="N899" s="135"/>
      <c r="O899" s="136"/>
      <c r="P899" s="136"/>
      <c r="Q899" s="136"/>
      <c r="R899" s="136"/>
      <c r="S899" s="136"/>
      <c r="T899" s="136"/>
      <c r="U899" s="136"/>
      <c r="V899" s="136"/>
    </row>
    <row r="900" spans="14:22" x14ac:dyDescent="0.35">
      <c r="N900" s="135"/>
      <c r="O900" s="136"/>
      <c r="P900" s="136"/>
      <c r="Q900" s="136"/>
      <c r="R900" s="136"/>
      <c r="S900" s="136"/>
      <c r="T900" s="136"/>
      <c r="U900" s="136"/>
      <c r="V900" s="136"/>
    </row>
    <row r="901" spans="14:22" x14ac:dyDescent="0.35">
      <c r="N901" s="135"/>
      <c r="O901" s="136"/>
      <c r="P901" s="136"/>
      <c r="Q901" s="136"/>
      <c r="R901" s="136"/>
      <c r="S901" s="136"/>
      <c r="T901" s="136"/>
      <c r="U901" s="136"/>
      <c r="V901" s="136"/>
    </row>
    <row r="902" spans="14:22" x14ac:dyDescent="0.35">
      <c r="N902" s="135"/>
      <c r="O902" s="136"/>
      <c r="P902" s="136"/>
      <c r="Q902" s="136"/>
      <c r="R902" s="136"/>
      <c r="S902" s="136"/>
      <c r="T902" s="136"/>
      <c r="U902" s="136"/>
      <c r="V902" s="136"/>
    </row>
    <row r="903" spans="14:22" x14ac:dyDescent="0.35">
      <c r="N903" s="135"/>
      <c r="O903" s="136"/>
      <c r="P903" s="136"/>
      <c r="Q903" s="136"/>
      <c r="R903" s="136"/>
      <c r="S903" s="136"/>
      <c r="T903" s="136"/>
      <c r="U903" s="136"/>
      <c r="V903" s="136"/>
    </row>
    <row r="904" spans="14:22" x14ac:dyDescent="0.35">
      <c r="N904" s="135"/>
      <c r="O904" s="136"/>
      <c r="P904" s="136"/>
      <c r="Q904" s="136"/>
      <c r="R904" s="136"/>
      <c r="S904" s="136"/>
      <c r="T904" s="136"/>
      <c r="U904" s="136"/>
      <c r="V904" s="136"/>
    </row>
    <row r="905" spans="14:22" x14ac:dyDescent="0.35">
      <c r="N905" s="135"/>
      <c r="O905" s="136"/>
      <c r="P905" s="136"/>
      <c r="Q905" s="136"/>
      <c r="R905" s="136"/>
      <c r="S905" s="136"/>
      <c r="T905" s="136"/>
      <c r="U905" s="136"/>
      <c r="V905" s="136"/>
    </row>
    <row r="906" spans="14:22" x14ac:dyDescent="0.35">
      <c r="N906" s="135"/>
      <c r="O906" s="136"/>
      <c r="P906" s="136"/>
      <c r="Q906" s="136"/>
      <c r="R906" s="136"/>
      <c r="S906" s="136"/>
      <c r="T906" s="136"/>
      <c r="U906" s="136"/>
      <c r="V906" s="136"/>
    </row>
    <row r="907" spans="14:22" x14ac:dyDescent="0.35">
      <c r="N907" s="135"/>
      <c r="O907" s="136"/>
      <c r="P907" s="136"/>
      <c r="Q907" s="136"/>
      <c r="R907" s="136"/>
      <c r="S907" s="136"/>
      <c r="T907" s="136"/>
      <c r="U907" s="136"/>
      <c r="V907" s="136"/>
    </row>
    <row r="908" spans="14:22" x14ac:dyDescent="0.35">
      <c r="N908" s="135"/>
      <c r="O908" s="136"/>
      <c r="P908" s="136"/>
      <c r="Q908" s="136"/>
      <c r="R908" s="136"/>
      <c r="S908" s="136"/>
      <c r="T908" s="136"/>
      <c r="U908" s="136"/>
      <c r="V908" s="136"/>
    </row>
    <row r="909" spans="14:22" x14ac:dyDescent="0.35">
      <c r="N909" s="135"/>
      <c r="O909" s="136"/>
      <c r="P909" s="136"/>
      <c r="Q909" s="136"/>
      <c r="R909" s="136"/>
      <c r="S909" s="136"/>
      <c r="T909" s="136"/>
      <c r="U909" s="136"/>
      <c r="V909" s="136"/>
    </row>
    <row r="910" spans="14:22" x14ac:dyDescent="0.35">
      <c r="N910" s="135"/>
      <c r="O910" s="136"/>
      <c r="P910" s="136"/>
      <c r="Q910" s="136"/>
      <c r="R910" s="136"/>
      <c r="S910" s="136"/>
      <c r="T910" s="136"/>
      <c r="U910" s="136"/>
      <c r="V910" s="136"/>
    </row>
    <row r="911" spans="14:22" x14ac:dyDescent="0.35">
      <c r="N911" s="135"/>
      <c r="O911" s="136"/>
      <c r="P911" s="136"/>
      <c r="Q911" s="136"/>
      <c r="R911" s="136"/>
      <c r="S911" s="136"/>
      <c r="T911" s="136"/>
      <c r="U911" s="136"/>
      <c r="V911" s="136"/>
    </row>
    <row r="912" spans="14:22" x14ac:dyDescent="0.35">
      <c r="N912" s="135"/>
      <c r="O912" s="136"/>
      <c r="P912" s="136"/>
      <c r="Q912" s="136"/>
      <c r="R912" s="136"/>
      <c r="S912" s="136"/>
      <c r="T912" s="136"/>
      <c r="U912" s="136"/>
      <c r="V912" s="136"/>
    </row>
    <row r="913" spans="14:22" x14ac:dyDescent="0.35">
      <c r="N913" s="135"/>
      <c r="O913" s="136"/>
      <c r="P913" s="136"/>
      <c r="Q913" s="136"/>
      <c r="R913" s="136"/>
      <c r="S913" s="136"/>
      <c r="T913" s="136"/>
      <c r="U913" s="136"/>
      <c r="V913" s="136"/>
    </row>
    <row r="914" spans="14:22" x14ac:dyDescent="0.35">
      <c r="N914" s="135"/>
      <c r="O914" s="136"/>
      <c r="P914" s="136"/>
      <c r="Q914" s="136"/>
      <c r="R914" s="136"/>
      <c r="S914" s="136"/>
      <c r="T914" s="136"/>
      <c r="U914" s="136"/>
      <c r="V914" s="136"/>
    </row>
    <row r="915" spans="14:22" x14ac:dyDescent="0.35">
      <c r="N915" s="135"/>
      <c r="O915" s="136"/>
      <c r="P915" s="136"/>
      <c r="Q915" s="136"/>
      <c r="R915" s="136"/>
      <c r="S915" s="136"/>
      <c r="T915" s="136"/>
      <c r="U915" s="136"/>
      <c r="V915" s="136"/>
    </row>
    <row r="916" spans="14:22" x14ac:dyDescent="0.35">
      <c r="N916" s="135"/>
      <c r="O916" s="136"/>
      <c r="P916" s="136"/>
      <c r="Q916" s="136"/>
      <c r="R916" s="136"/>
      <c r="S916" s="136"/>
      <c r="T916" s="136"/>
      <c r="U916" s="136"/>
      <c r="V916" s="136"/>
    </row>
    <row r="917" spans="14:22" x14ac:dyDescent="0.35">
      <c r="N917" s="135"/>
      <c r="O917" s="136"/>
      <c r="P917" s="136"/>
      <c r="Q917" s="136"/>
      <c r="R917" s="136"/>
      <c r="S917" s="136"/>
      <c r="T917" s="136"/>
      <c r="U917" s="136"/>
      <c r="V917" s="136"/>
    </row>
    <row r="918" spans="14:22" x14ac:dyDescent="0.35">
      <c r="N918" s="135"/>
      <c r="O918" s="136"/>
      <c r="P918" s="136"/>
      <c r="Q918" s="136"/>
      <c r="R918" s="136"/>
      <c r="S918" s="136"/>
      <c r="T918" s="136"/>
      <c r="U918" s="136"/>
      <c r="V918" s="136"/>
    </row>
    <row r="919" spans="14:22" x14ac:dyDescent="0.35">
      <c r="N919" s="135"/>
      <c r="O919" s="136"/>
      <c r="P919" s="136"/>
      <c r="Q919" s="136"/>
      <c r="R919" s="136"/>
      <c r="S919" s="136"/>
      <c r="T919" s="136"/>
      <c r="U919" s="136"/>
      <c r="V919" s="136"/>
    </row>
    <row r="920" spans="14:22" x14ac:dyDescent="0.35">
      <c r="N920" s="135"/>
      <c r="O920" s="136"/>
      <c r="P920" s="136"/>
      <c r="Q920" s="136"/>
      <c r="R920" s="136"/>
      <c r="S920" s="136"/>
      <c r="T920" s="136"/>
      <c r="U920" s="136"/>
      <c r="V920" s="136"/>
    </row>
    <row r="921" spans="14:22" x14ac:dyDescent="0.35">
      <c r="N921" s="135"/>
      <c r="O921" s="136"/>
      <c r="P921" s="136"/>
      <c r="Q921" s="136"/>
      <c r="R921" s="136"/>
      <c r="S921" s="136"/>
      <c r="T921" s="136"/>
      <c r="U921" s="136"/>
      <c r="V921" s="136"/>
    </row>
    <row r="922" spans="14:22" x14ac:dyDescent="0.35">
      <c r="N922" s="135"/>
      <c r="O922" s="136"/>
      <c r="P922" s="136"/>
      <c r="Q922" s="136"/>
      <c r="R922" s="136"/>
      <c r="S922" s="136"/>
      <c r="T922" s="136"/>
      <c r="U922" s="136"/>
      <c r="V922" s="136"/>
    </row>
    <row r="923" spans="14:22" x14ac:dyDescent="0.35">
      <c r="N923" s="135"/>
      <c r="O923" s="136"/>
      <c r="P923" s="136"/>
      <c r="Q923" s="136"/>
      <c r="R923" s="136"/>
      <c r="S923" s="136"/>
      <c r="T923" s="136"/>
      <c r="U923" s="136"/>
      <c r="V923" s="136"/>
    </row>
    <row r="924" spans="14:22" x14ac:dyDescent="0.35">
      <c r="N924" s="135"/>
      <c r="O924" s="136"/>
      <c r="P924" s="136"/>
      <c r="Q924" s="136"/>
      <c r="R924" s="136"/>
      <c r="S924" s="136"/>
      <c r="T924" s="136"/>
      <c r="U924" s="136"/>
      <c r="V924" s="136"/>
    </row>
    <row r="925" spans="14:22" x14ac:dyDescent="0.35">
      <c r="N925" s="135"/>
      <c r="O925" s="136"/>
      <c r="P925" s="136"/>
      <c r="Q925" s="136"/>
      <c r="R925" s="136"/>
      <c r="S925" s="136"/>
      <c r="T925" s="136"/>
      <c r="U925" s="136"/>
      <c r="V925" s="136"/>
    </row>
    <row r="926" spans="14:22" x14ac:dyDescent="0.35">
      <c r="N926" s="135"/>
      <c r="O926" s="136"/>
      <c r="P926" s="136"/>
      <c r="Q926" s="136"/>
      <c r="R926" s="136"/>
      <c r="S926" s="136"/>
      <c r="T926" s="136"/>
      <c r="U926" s="136"/>
      <c r="V926" s="136"/>
    </row>
    <row r="927" spans="14:22" x14ac:dyDescent="0.35">
      <c r="N927" s="135"/>
      <c r="O927" s="136"/>
      <c r="P927" s="136"/>
      <c r="Q927" s="136"/>
      <c r="R927" s="136"/>
      <c r="S927" s="136"/>
      <c r="T927" s="136"/>
      <c r="U927" s="136"/>
      <c r="V927" s="136"/>
    </row>
    <row r="928" spans="14:22" x14ac:dyDescent="0.35">
      <c r="N928" s="135"/>
      <c r="O928" s="136"/>
      <c r="P928" s="136"/>
      <c r="Q928" s="136"/>
      <c r="R928" s="136"/>
      <c r="S928" s="136"/>
      <c r="T928" s="136"/>
      <c r="U928" s="136"/>
      <c r="V928" s="136"/>
    </row>
    <row r="929" spans="14:22" x14ac:dyDescent="0.35">
      <c r="N929" s="135"/>
      <c r="O929" s="136"/>
      <c r="P929" s="136"/>
      <c r="Q929" s="136"/>
      <c r="R929" s="136"/>
      <c r="S929" s="136"/>
      <c r="T929" s="136"/>
      <c r="U929" s="136"/>
      <c r="V929" s="136"/>
    </row>
    <row r="930" spans="14:22" x14ac:dyDescent="0.35">
      <c r="N930" s="135"/>
      <c r="O930" s="136"/>
      <c r="P930" s="136"/>
      <c r="Q930" s="136"/>
      <c r="R930" s="136"/>
      <c r="S930" s="136"/>
      <c r="T930" s="136"/>
      <c r="U930" s="136"/>
      <c r="V930" s="136"/>
    </row>
    <row r="931" spans="14:22" x14ac:dyDescent="0.35">
      <c r="N931" s="135"/>
      <c r="O931" s="136"/>
      <c r="P931" s="136"/>
      <c r="Q931" s="136"/>
      <c r="R931" s="136"/>
      <c r="S931" s="136"/>
      <c r="T931" s="136"/>
      <c r="U931" s="136"/>
      <c r="V931" s="136"/>
    </row>
    <row r="932" spans="14:22" x14ac:dyDescent="0.35">
      <c r="N932" s="135"/>
      <c r="O932" s="136"/>
      <c r="P932" s="136"/>
      <c r="Q932" s="136"/>
      <c r="R932" s="136"/>
      <c r="S932" s="136"/>
      <c r="T932" s="136"/>
      <c r="U932" s="136"/>
      <c r="V932" s="136"/>
    </row>
    <row r="933" spans="14:22" x14ac:dyDescent="0.35">
      <c r="N933" s="135"/>
      <c r="O933" s="136"/>
      <c r="P933" s="136"/>
      <c r="Q933" s="136"/>
      <c r="R933" s="136"/>
      <c r="S933" s="136"/>
      <c r="T933" s="136"/>
      <c r="U933" s="136"/>
      <c r="V933" s="136"/>
    </row>
    <row r="934" spans="14:22" x14ac:dyDescent="0.35">
      <c r="N934" s="135"/>
      <c r="O934" s="136"/>
      <c r="P934" s="136"/>
      <c r="Q934" s="136"/>
      <c r="R934" s="136"/>
      <c r="S934" s="136"/>
      <c r="T934" s="136"/>
      <c r="U934" s="136"/>
      <c r="V934" s="136"/>
    </row>
    <row r="935" spans="14:22" x14ac:dyDescent="0.35">
      <c r="N935" s="135"/>
      <c r="O935" s="136"/>
      <c r="P935" s="136"/>
      <c r="Q935" s="136"/>
      <c r="R935" s="136"/>
      <c r="S935" s="136"/>
      <c r="T935" s="136"/>
      <c r="U935" s="136"/>
      <c r="V935" s="136"/>
    </row>
    <row r="936" spans="14:22" x14ac:dyDescent="0.35">
      <c r="N936" s="135"/>
      <c r="O936" s="136"/>
      <c r="P936" s="136"/>
      <c r="Q936" s="136"/>
      <c r="R936" s="136"/>
      <c r="S936" s="136"/>
      <c r="T936" s="136"/>
      <c r="U936" s="136"/>
      <c r="V936" s="136"/>
    </row>
    <row r="937" spans="14:22" x14ac:dyDescent="0.35">
      <c r="N937" s="135"/>
      <c r="O937" s="136"/>
      <c r="P937" s="136"/>
      <c r="Q937" s="136"/>
      <c r="R937" s="136"/>
      <c r="S937" s="136"/>
      <c r="T937" s="136"/>
      <c r="U937" s="136"/>
      <c r="V937" s="136"/>
    </row>
    <row r="938" spans="14:22" x14ac:dyDescent="0.35">
      <c r="N938" s="135"/>
      <c r="O938" s="136"/>
      <c r="P938" s="136"/>
      <c r="Q938" s="136"/>
      <c r="R938" s="136"/>
      <c r="S938" s="136"/>
      <c r="T938" s="136"/>
      <c r="U938" s="136"/>
      <c r="V938" s="136"/>
    </row>
    <row r="939" spans="14:22" x14ac:dyDescent="0.35">
      <c r="N939" s="135"/>
      <c r="O939" s="136"/>
      <c r="P939" s="136"/>
      <c r="Q939" s="136"/>
      <c r="R939" s="136"/>
      <c r="S939" s="136"/>
      <c r="T939" s="136"/>
      <c r="U939" s="136"/>
      <c r="V939" s="136"/>
    </row>
    <row r="940" spans="14:22" x14ac:dyDescent="0.35">
      <c r="N940" s="135"/>
      <c r="O940" s="136"/>
      <c r="P940" s="136"/>
      <c r="Q940" s="136"/>
      <c r="R940" s="136"/>
      <c r="S940" s="136"/>
      <c r="T940" s="136"/>
      <c r="U940" s="136"/>
      <c r="V940" s="136"/>
    </row>
    <row r="941" spans="14:22" x14ac:dyDescent="0.35">
      <c r="N941" s="135"/>
      <c r="O941" s="136"/>
      <c r="P941" s="136"/>
      <c r="Q941" s="136"/>
      <c r="R941" s="136"/>
      <c r="S941" s="136"/>
      <c r="T941" s="136"/>
      <c r="U941" s="136"/>
      <c r="V941" s="136"/>
    </row>
    <row r="942" spans="14:22" x14ac:dyDescent="0.35">
      <c r="N942" s="135"/>
      <c r="O942" s="136"/>
      <c r="P942" s="136"/>
      <c r="Q942" s="136"/>
      <c r="R942" s="136"/>
      <c r="S942" s="136"/>
      <c r="T942" s="136"/>
      <c r="U942" s="136"/>
      <c r="V942" s="136"/>
    </row>
    <row r="943" spans="14:22" x14ac:dyDescent="0.35">
      <c r="N943" s="135"/>
      <c r="O943" s="136"/>
      <c r="P943" s="136"/>
      <c r="Q943" s="136"/>
      <c r="R943" s="136"/>
      <c r="S943" s="136"/>
      <c r="T943" s="136"/>
      <c r="U943" s="136"/>
      <c r="V943" s="136"/>
    </row>
    <row r="944" spans="14:22" x14ac:dyDescent="0.35">
      <c r="N944" s="135"/>
      <c r="O944" s="136"/>
      <c r="P944" s="136"/>
      <c r="Q944" s="136"/>
      <c r="R944" s="136"/>
      <c r="S944" s="136"/>
      <c r="T944" s="136"/>
      <c r="U944" s="136"/>
      <c r="V944" s="136"/>
    </row>
    <row r="945" spans="14:22" x14ac:dyDescent="0.35">
      <c r="N945" s="135"/>
      <c r="O945" s="136"/>
      <c r="P945" s="136"/>
      <c r="Q945" s="136"/>
      <c r="R945" s="136"/>
      <c r="S945" s="136"/>
      <c r="T945" s="136"/>
      <c r="U945" s="136"/>
      <c r="V945" s="136"/>
    </row>
    <row r="946" spans="14:22" x14ac:dyDescent="0.35">
      <c r="N946" s="135"/>
      <c r="O946" s="136"/>
      <c r="P946" s="136"/>
      <c r="Q946" s="136"/>
      <c r="R946" s="136"/>
      <c r="S946" s="136"/>
      <c r="T946" s="136"/>
      <c r="U946" s="136"/>
      <c r="V946" s="136"/>
    </row>
    <row r="947" spans="14:22" x14ac:dyDescent="0.35">
      <c r="N947" s="135"/>
      <c r="O947" s="136"/>
      <c r="P947" s="136"/>
      <c r="Q947" s="136"/>
      <c r="R947" s="136"/>
      <c r="S947" s="136"/>
      <c r="T947" s="136"/>
      <c r="U947" s="136"/>
      <c r="V947" s="136"/>
    </row>
    <row r="948" spans="14:22" x14ac:dyDescent="0.35">
      <c r="N948" s="135"/>
      <c r="O948" s="136"/>
      <c r="P948" s="136"/>
      <c r="Q948" s="136"/>
      <c r="R948" s="136"/>
      <c r="S948" s="136"/>
      <c r="T948" s="136"/>
      <c r="U948" s="136"/>
      <c r="V948" s="136"/>
    </row>
    <row r="949" spans="14:22" x14ac:dyDescent="0.35">
      <c r="N949" s="135"/>
      <c r="O949" s="136"/>
      <c r="P949" s="136"/>
      <c r="Q949" s="136"/>
      <c r="R949" s="136"/>
      <c r="S949" s="136"/>
      <c r="T949" s="136"/>
      <c r="U949" s="136"/>
      <c r="V949" s="136"/>
    </row>
    <row r="950" spans="14:22" x14ac:dyDescent="0.35">
      <c r="N950" s="135"/>
      <c r="O950" s="136"/>
      <c r="P950" s="136"/>
      <c r="Q950" s="136"/>
      <c r="R950" s="136"/>
      <c r="S950" s="136"/>
      <c r="T950" s="136"/>
      <c r="U950" s="136"/>
      <c r="V950" s="136"/>
    </row>
    <row r="951" spans="14:22" x14ac:dyDescent="0.35">
      <c r="N951" s="135"/>
      <c r="O951" s="136"/>
      <c r="P951" s="136"/>
      <c r="Q951" s="136"/>
      <c r="R951" s="136"/>
      <c r="S951" s="136"/>
      <c r="T951" s="136"/>
      <c r="U951" s="136"/>
      <c r="V951" s="136"/>
    </row>
    <row r="952" spans="14:22" x14ac:dyDescent="0.35">
      <c r="N952" s="135"/>
      <c r="O952" s="136"/>
      <c r="P952" s="136"/>
      <c r="Q952" s="136"/>
      <c r="R952" s="136"/>
      <c r="S952" s="136"/>
      <c r="T952" s="136"/>
      <c r="U952" s="136"/>
      <c r="V952" s="136"/>
    </row>
    <row r="953" spans="14:22" x14ac:dyDescent="0.35">
      <c r="N953" s="135"/>
      <c r="O953" s="136"/>
      <c r="P953" s="136"/>
      <c r="Q953" s="136"/>
      <c r="R953" s="136"/>
      <c r="S953" s="136"/>
      <c r="T953" s="136"/>
      <c r="U953" s="136"/>
      <c r="V953" s="136"/>
    </row>
    <row r="954" spans="14:22" x14ac:dyDescent="0.35">
      <c r="N954" s="135"/>
      <c r="O954" s="136"/>
      <c r="P954" s="136"/>
      <c r="Q954" s="136"/>
      <c r="R954" s="136"/>
      <c r="S954" s="136"/>
      <c r="T954" s="136"/>
      <c r="U954" s="136"/>
      <c r="V954" s="136"/>
    </row>
    <row r="955" spans="14:22" x14ac:dyDescent="0.35">
      <c r="N955" s="135"/>
      <c r="O955" s="136"/>
      <c r="P955" s="136"/>
      <c r="Q955" s="136"/>
      <c r="R955" s="136"/>
      <c r="S955" s="136"/>
      <c r="T955" s="136"/>
      <c r="U955" s="136"/>
      <c r="V955" s="136"/>
    </row>
    <row r="956" spans="14:22" x14ac:dyDescent="0.35">
      <c r="N956" s="135"/>
      <c r="O956" s="136"/>
      <c r="P956" s="136"/>
      <c r="Q956" s="136"/>
      <c r="R956" s="136"/>
      <c r="S956" s="136"/>
      <c r="T956" s="136"/>
      <c r="U956" s="136"/>
      <c r="V956" s="136"/>
    </row>
    <row r="957" spans="14:22" x14ac:dyDescent="0.35">
      <c r="N957" s="135"/>
      <c r="O957" s="136"/>
      <c r="P957" s="136"/>
      <c r="Q957" s="136"/>
      <c r="R957" s="136"/>
      <c r="S957" s="136"/>
      <c r="T957" s="136"/>
      <c r="U957" s="136"/>
      <c r="V957" s="136"/>
    </row>
    <row r="958" spans="14:22" x14ac:dyDescent="0.35">
      <c r="N958" s="135"/>
      <c r="O958" s="136"/>
      <c r="P958" s="136"/>
      <c r="Q958" s="136"/>
      <c r="R958" s="136"/>
      <c r="S958" s="136"/>
      <c r="T958" s="136"/>
      <c r="U958" s="136"/>
      <c r="V958" s="136"/>
    </row>
    <row r="959" spans="14:22" x14ac:dyDescent="0.35">
      <c r="N959" s="135"/>
      <c r="O959" s="136"/>
      <c r="P959" s="136"/>
      <c r="Q959" s="136"/>
      <c r="R959" s="136"/>
      <c r="S959" s="136"/>
      <c r="T959" s="136"/>
      <c r="U959" s="136"/>
      <c r="V959" s="136"/>
    </row>
    <row r="960" spans="14:22" x14ac:dyDescent="0.35">
      <c r="N960" s="135"/>
      <c r="O960" s="136"/>
      <c r="P960" s="136"/>
      <c r="Q960" s="136"/>
      <c r="R960" s="136"/>
      <c r="S960" s="136"/>
      <c r="T960" s="136"/>
      <c r="U960" s="136"/>
      <c r="V960" s="136"/>
    </row>
    <row r="961" spans="14:22" x14ac:dyDescent="0.35">
      <c r="N961" s="135"/>
      <c r="O961" s="136"/>
      <c r="P961" s="136"/>
      <c r="Q961" s="136"/>
      <c r="R961" s="136"/>
      <c r="S961" s="136"/>
      <c r="T961" s="136"/>
      <c r="U961" s="136"/>
      <c r="V961" s="136"/>
    </row>
    <row r="962" spans="14:22" x14ac:dyDescent="0.35">
      <c r="N962" s="135"/>
      <c r="O962" s="136"/>
      <c r="P962" s="136"/>
      <c r="Q962" s="136"/>
      <c r="R962" s="136"/>
      <c r="S962" s="136"/>
      <c r="T962" s="136"/>
      <c r="U962" s="136"/>
      <c r="V962" s="136"/>
    </row>
    <row r="963" spans="14:22" x14ac:dyDescent="0.35">
      <c r="N963" s="135"/>
      <c r="O963" s="136"/>
      <c r="P963" s="136"/>
      <c r="Q963" s="136"/>
      <c r="R963" s="136"/>
      <c r="S963" s="136"/>
      <c r="T963" s="136"/>
      <c r="U963" s="136"/>
      <c r="V963" s="136"/>
    </row>
    <row r="964" spans="14:22" x14ac:dyDescent="0.35">
      <c r="N964" s="135"/>
      <c r="O964" s="136"/>
      <c r="P964" s="136"/>
      <c r="Q964" s="136"/>
      <c r="R964" s="136"/>
      <c r="S964" s="136"/>
      <c r="T964" s="136"/>
      <c r="U964" s="136"/>
      <c r="V964" s="136"/>
    </row>
    <row r="965" spans="14:22" x14ac:dyDescent="0.35">
      <c r="N965" s="135"/>
      <c r="O965" s="136"/>
      <c r="P965" s="136"/>
      <c r="Q965" s="136"/>
      <c r="R965" s="136"/>
      <c r="S965" s="136"/>
      <c r="T965" s="136"/>
      <c r="U965" s="136"/>
      <c r="V965" s="136"/>
    </row>
    <row r="966" spans="14:22" x14ac:dyDescent="0.35">
      <c r="N966" s="135"/>
      <c r="O966" s="136"/>
      <c r="P966" s="136"/>
      <c r="Q966" s="136"/>
      <c r="R966" s="136"/>
      <c r="S966" s="136"/>
      <c r="T966" s="136"/>
      <c r="U966" s="136"/>
      <c r="V966" s="136"/>
    </row>
    <row r="967" spans="14:22" x14ac:dyDescent="0.35">
      <c r="N967" s="135"/>
      <c r="O967" s="136"/>
      <c r="P967" s="136"/>
      <c r="Q967" s="136"/>
      <c r="R967" s="136"/>
      <c r="S967" s="136"/>
      <c r="T967" s="136"/>
      <c r="U967" s="136"/>
      <c r="V967" s="136"/>
    </row>
    <row r="968" spans="14:22" x14ac:dyDescent="0.35">
      <c r="N968" s="135"/>
      <c r="O968" s="136"/>
      <c r="P968" s="136"/>
      <c r="Q968" s="136"/>
      <c r="R968" s="136"/>
      <c r="S968" s="136"/>
      <c r="T968" s="136"/>
      <c r="U968" s="136"/>
      <c r="V968" s="136"/>
    </row>
    <row r="969" spans="14:22" x14ac:dyDescent="0.35">
      <c r="N969" s="135"/>
      <c r="O969" s="136"/>
      <c r="P969" s="136"/>
      <c r="Q969" s="136"/>
      <c r="R969" s="136"/>
      <c r="S969" s="136"/>
      <c r="T969" s="136"/>
      <c r="U969" s="136"/>
      <c r="V969" s="136"/>
    </row>
    <row r="970" spans="14:22" x14ac:dyDescent="0.35">
      <c r="N970" s="135"/>
      <c r="O970" s="136"/>
      <c r="P970" s="136"/>
      <c r="Q970" s="136"/>
      <c r="R970" s="136"/>
      <c r="S970" s="136"/>
      <c r="T970" s="136"/>
      <c r="U970" s="136"/>
      <c r="V970" s="136"/>
    </row>
    <row r="971" spans="14:22" x14ac:dyDescent="0.35">
      <c r="N971" s="135"/>
      <c r="O971" s="136"/>
      <c r="P971" s="136"/>
      <c r="Q971" s="136"/>
      <c r="R971" s="136"/>
      <c r="S971" s="136"/>
      <c r="T971" s="136"/>
      <c r="U971" s="136"/>
      <c r="V971" s="136"/>
    </row>
    <row r="972" spans="14:22" x14ac:dyDescent="0.35">
      <c r="N972" s="135"/>
      <c r="O972" s="136"/>
      <c r="P972" s="136"/>
      <c r="Q972" s="136"/>
      <c r="R972" s="136"/>
      <c r="S972" s="136"/>
      <c r="T972" s="136"/>
      <c r="U972" s="136"/>
      <c r="V972" s="136"/>
    </row>
    <row r="973" spans="14:22" x14ac:dyDescent="0.35">
      <c r="N973" s="135"/>
      <c r="O973" s="136"/>
      <c r="P973" s="136"/>
      <c r="Q973" s="136"/>
      <c r="R973" s="136"/>
      <c r="S973" s="136"/>
      <c r="T973" s="136"/>
      <c r="U973" s="136"/>
      <c r="V973" s="136"/>
    </row>
    <row r="974" spans="14:22" x14ac:dyDescent="0.35">
      <c r="N974" s="135"/>
      <c r="O974" s="136"/>
      <c r="P974" s="136"/>
      <c r="Q974" s="136"/>
      <c r="R974" s="136"/>
      <c r="S974" s="136"/>
      <c r="T974" s="136"/>
      <c r="U974" s="136"/>
      <c r="V974" s="136"/>
    </row>
    <row r="975" spans="14:22" x14ac:dyDescent="0.35">
      <c r="N975" s="135"/>
      <c r="O975" s="136"/>
      <c r="P975" s="136"/>
      <c r="Q975" s="136"/>
      <c r="R975" s="136"/>
      <c r="S975" s="136"/>
      <c r="T975" s="136"/>
      <c r="U975" s="136"/>
      <c r="V975" s="136"/>
    </row>
    <row r="976" spans="14:22" x14ac:dyDescent="0.35">
      <c r="N976" s="135"/>
      <c r="O976" s="136"/>
      <c r="P976" s="136"/>
      <c r="Q976" s="136"/>
      <c r="R976" s="136"/>
      <c r="S976" s="136"/>
      <c r="T976" s="136"/>
      <c r="U976" s="136"/>
      <c r="V976" s="136"/>
    </row>
    <row r="977" spans="14:22" x14ac:dyDescent="0.35">
      <c r="N977" s="135"/>
      <c r="O977" s="136"/>
      <c r="P977" s="136"/>
      <c r="Q977" s="136"/>
      <c r="R977" s="136"/>
      <c r="S977" s="136"/>
      <c r="T977" s="136"/>
      <c r="U977" s="136"/>
      <c r="V977" s="136"/>
    </row>
    <row r="978" spans="14:22" x14ac:dyDescent="0.35">
      <c r="N978" s="135"/>
      <c r="O978" s="136"/>
      <c r="P978" s="136"/>
      <c r="Q978" s="136"/>
      <c r="R978" s="136"/>
      <c r="S978" s="136"/>
      <c r="T978" s="136"/>
      <c r="U978" s="136"/>
      <c r="V978" s="136"/>
    </row>
    <row r="979" spans="14:22" x14ac:dyDescent="0.35">
      <c r="N979" s="135"/>
      <c r="O979" s="136"/>
      <c r="P979" s="136"/>
      <c r="Q979" s="136"/>
      <c r="R979" s="136"/>
      <c r="S979" s="136"/>
      <c r="T979" s="136"/>
      <c r="U979" s="136"/>
      <c r="V979" s="136"/>
    </row>
    <row r="980" spans="14:22" x14ac:dyDescent="0.35">
      <c r="N980" s="135"/>
      <c r="O980" s="136"/>
      <c r="P980" s="136"/>
      <c r="Q980" s="136"/>
      <c r="R980" s="136"/>
      <c r="S980" s="136"/>
      <c r="T980" s="136"/>
      <c r="U980" s="136"/>
      <c r="V980" s="136"/>
    </row>
    <row r="981" spans="14:22" x14ac:dyDescent="0.35">
      <c r="N981" s="135"/>
      <c r="O981" s="136"/>
      <c r="P981" s="136"/>
      <c r="Q981" s="136"/>
      <c r="R981" s="136"/>
      <c r="S981" s="136"/>
      <c r="T981" s="136"/>
      <c r="U981" s="136"/>
      <c r="V981" s="136"/>
    </row>
    <row r="982" spans="14:22" x14ac:dyDescent="0.35">
      <c r="N982" s="135"/>
      <c r="O982" s="136"/>
      <c r="P982" s="136"/>
      <c r="Q982" s="136"/>
      <c r="R982" s="136"/>
      <c r="S982" s="136"/>
      <c r="T982" s="136"/>
      <c r="U982" s="136"/>
      <c r="V982" s="136"/>
    </row>
    <row r="983" spans="14:22" x14ac:dyDescent="0.35">
      <c r="N983" s="135"/>
      <c r="O983" s="136"/>
      <c r="P983" s="136"/>
      <c r="Q983" s="136"/>
      <c r="R983" s="136"/>
      <c r="S983" s="136"/>
      <c r="T983" s="136"/>
      <c r="U983" s="136"/>
      <c r="V983" s="136"/>
    </row>
    <row r="984" spans="14:22" x14ac:dyDescent="0.35">
      <c r="N984" s="135"/>
      <c r="O984" s="136"/>
      <c r="P984" s="136"/>
      <c r="Q984" s="136"/>
      <c r="R984" s="136"/>
      <c r="S984" s="136"/>
      <c r="T984" s="136"/>
      <c r="U984" s="136"/>
      <c r="V984" s="136"/>
    </row>
    <row r="985" spans="14:22" x14ac:dyDescent="0.35">
      <c r="N985" s="135"/>
      <c r="O985" s="136"/>
      <c r="P985" s="136"/>
      <c r="Q985" s="136"/>
      <c r="R985" s="136"/>
      <c r="S985" s="136"/>
      <c r="T985" s="136"/>
      <c r="U985" s="136"/>
      <c r="V985" s="136"/>
    </row>
    <row r="986" spans="14:22" x14ac:dyDescent="0.35">
      <c r="N986" s="135"/>
      <c r="O986" s="136"/>
      <c r="P986" s="136"/>
      <c r="Q986" s="136"/>
      <c r="R986" s="136"/>
      <c r="S986" s="136"/>
      <c r="T986" s="136"/>
      <c r="U986" s="136"/>
      <c r="V986" s="136"/>
    </row>
    <row r="987" spans="14:22" x14ac:dyDescent="0.35">
      <c r="N987" s="135"/>
      <c r="O987" s="136"/>
      <c r="P987" s="136"/>
      <c r="Q987" s="136"/>
      <c r="R987" s="136"/>
      <c r="S987" s="136"/>
      <c r="T987" s="136"/>
      <c r="U987" s="136"/>
      <c r="V987" s="136"/>
    </row>
    <row r="988" spans="14:22" x14ac:dyDescent="0.35">
      <c r="N988" s="135"/>
      <c r="O988" s="136"/>
      <c r="P988" s="136"/>
      <c r="Q988" s="136"/>
      <c r="R988" s="136"/>
      <c r="S988" s="136"/>
      <c r="T988" s="136"/>
      <c r="U988" s="136"/>
      <c r="V988" s="136"/>
    </row>
    <row r="989" spans="14:22" x14ac:dyDescent="0.35">
      <c r="N989" s="135"/>
      <c r="O989" s="136"/>
      <c r="P989" s="136"/>
      <c r="Q989" s="136"/>
      <c r="R989" s="136"/>
      <c r="S989" s="136"/>
      <c r="T989" s="136"/>
      <c r="U989" s="136"/>
      <c r="V989" s="136"/>
    </row>
    <row r="990" spans="14:22" x14ac:dyDescent="0.35">
      <c r="N990" s="135"/>
      <c r="O990" s="136"/>
      <c r="P990" s="136"/>
      <c r="Q990" s="136"/>
      <c r="R990" s="136"/>
      <c r="S990" s="136"/>
      <c r="T990" s="136"/>
      <c r="U990" s="136"/>
      <c r="V990" s="136"/>
    </row>
    <row r="991" spans="14:22" x14ac:dyDescent="0.35">
      <c r="N991" s="135"/>
      <c r="O991" s="136"/>
      <c r="P991" s="136"/>
      <c r="Q991" s="136"/>
      <c r="R991" s="136"/>
      <c r="S991" s="136"/>
      <c r="T991" s="136"/>
      <c r="U991" s="136"/>
      <c r="V991" s="136"/>
    </row>
    <row r="992" spans="14:22" x14ac:dyDescent="0.35">
      <c r="N992" s="135"/>
      <c r="O992" s="136"/>
      <c r="P992" s="136"/>
      <c r="Q992" s="136"/>
      <c r="R992" s="136"/>
      <c r="S992" s="136"/>
      <c r="T992" s="136"/>
      <c r="U992" s="136"/>
      <c r="V992" s="136"/>
    </row>
    <row r="993" spans="14:22" x14ac:dyDescent="0.35">
      <c r="N993" s="135"/>
      <c r="O993" s="136"/>
      <c r="P993" s="136"/>
      <c r="Q993" s="136"/>
      <c r="R993" s="136"/>
      <c r="S993" s="136"/>
      <c r="T993" s="136"/>
      <c r="U993" s="136"/>
      <c r="V993" s="136"/>
    </row>
    <row r="994" spans="14:22" x14ac:dyDescent="0.35">
      <c r="N994" s="135"/>
      <c r="O994" s="136"/>
      <c r="P994" s="136"/>
      <c r="Q994" s="136"/>
      <c r="R994" s="136"/>
      <c r="S994" s="136"/>
      <c r="T994" s="136"/>
      <c r="U994" s="136"/>
      <c r="V994" s="136"/>
    </row>
    <row r="995" spans="14:22" x14ac:dyDescent="0.35">
      <c r="N995" s="135"/>
      <c r="O995" s="136"/>
      <c r="P995" s="136"/>
      <c r="Q995" s="136"/>
      <c r="R995" s="136"/>
      <c r="S995" s="136"/>
      <c r="T995" s="136"/>
      <c r="U995" s="136"/>
      <c r="V995" s="136"/>
    </row>
    <row r="996" spans="14:22" x14ac:dyDescent="0.35">
      <c r="N996" s="135"/>
      <c r="O996" s="136"/>
      <c r="P996" s="136"/>
      <c r="Q996" s="136"/>
      <c r="R996" s="136"/>
      <c r="S996" s="136"/>
      <c r="T996" s="136"/>
      <c r="U996" s="136"/>
      <c r="V996" s="136"/>
    </row>
    <row r="997" spans="14:22" x14ac:dyDescent="0.35">
      <c r="N997" s="135"/>
      <c r="O997" s="136"/>
      <c r="P997" s="136"/>
      <c r="Q997" s="136"/>
      <c r="R997" s="136"/>
      <c r="S997" s="136"/>
      <c r="T997" s="136"/>
      <c r="U997" s="136"/>
      <c r="V997" s="136"/>
    </row>
    <row r="998" spans="14:22" x14ac:dyDescent="0.35">
      <c r="N998" s="135"/>
      <c r="O998" s="136"/>
      <c r="P998" s="136"/>
      <c r="Q998" s="136"/>
      <c r="R998" s="136"/>
      <c r="S998" s="136"/>
      <c r="T998" s="136"/>
      <c r="U998" s="136"/>
      <c r="V998" s="136"/>
    </row>
    <row r="999" spans="14:22" x14ac:dyDescent="0.35">
      <c r="N999" s="135"/>
      <c r="O999" s="136"/>
      <c r="P999" s="136"/>
      <c r="Q999" s="136"/>
      <c r="R999" s="136"/>
      <c r="S999" s="136"/>
      <c r="T999" s="136"/>
      <c r="U999" s="136"/>
      <c r="V999" s="136"/>
    </row>
    <row r="1000" spans="14:22" x14ac:dyDescent="0.35">
      <c r="N1000" s="135"/>
      <c r="O1000" s="136"/>
      <c r="P1000" s="136"/>
      <c r="Q1000" s="136"/>
      <c r="R1000" s="136"/>
      <c r="S1000" s="136"/>
      <c r="T1000" s="136"/>
      <c r="U1000" s="136"/>
      <c r="V1000" s="136"/>
    </row>
    <row r="1001" spans="14:22" x14ac:dyDescent="0.35">
      <c r="N1001" s="135"/>
      <c r="O1001" s="136"/>
      <c r="P1001" s="136"/>
      <c r="Q1001" s="136"/>
      <c r="R1001" s="136"/>
      <c r="S1001" s="136"/>
      <c r="T1001" s="136"/>
      <c r="U1001" s="136"/>
      <c r="V1001" s="136"/>
    </row>
    <row r="1002" spans="14:22" x14ac:dyDescent="0.35">
      <c r="N1002" s="135"/>
      <c r="O1002" s="136"/>
      <c r="P1002" s="136"/>
      <c r="Q1002" s="136"/>
      <c r="R1002" s="136"/>
      <c r="S1002" s="136"/>
      <c r="T1002" s="136"/>
      <c r="U1002" s="136"/>
      <c r="V1002" s="136"/>
    </row>
    <row r="1003" spans="14:22" x14ac:dyDescent="0.35">
      <c r="N1003" s="135"/>
      <c r="O1003" s="136"/>
      <c r="P1003" s="136"/>
      <c r="Q1003" s="136"/>
      <c r="R1003" s="136"/>
      <c r="S1003" s="136"/>
      <c r="T1003" s="136"/>
      <c r="U1003" s="136"/>
      <c r="V1003" s="136"/>
    </row>
    <row r="1004" spans="14:22" x14ac:dyDescent="0.35">
      <c r="N1004" s="135"/>
      <c r="O1004" s="136"/>
      <c r="P1004" s="136"/>
      <c r="Q1004" s="136"/>
      <c r="R1004" s="136"/>
      <c r="S1004" s="136"/>
      <c r="T1004" s="136"/>
      <c r="U1004" s="136"/>
      <c r="V1004" s="136"/>
    </row>
    <row r="1005" spans="14:22" x14ac:dyDescent="0.35">
      <c r="N1005" s="135"/>
      <c r="O1005" s="136"/>
      <c r="P1005" s="136"/>
      <c r="Q1005" s="136"/>
      <c r="R1005" s="136"/>
      <c r="S1005" s="136"/>
      <c r="T1005" s="136"/>
      <c r="U1005" s="136"/>
      <c r="V1005" s="136"/>
    </row>
    <row r="1006" spans="14:22" x14ac:dyDescent="0.35">
      <c r="N1006" s="135"/>
      <c r="O1006" s="136"/>
      <c r="P1006" s="136"/>
      <c r="Q1006" s="136"/>
      <c r="R1006" s="136"/>
      <c r="S1006" s="136"/>
      <c r="T1006" s="136"/>
      <c r="U1006" s="136"/>
      <c r="V1006" s="136"/>
    </row>
    <row r="1007" spans="14:22" x14ac:dyDescent="0.35">
      <c r="N1007" s="135"/>
      <c r="O1007" s="136"/>
      <c r="P1007" s="136"/>
      <c r="Q1007" s="136"/>
      <c r="R1007" s="136"/>
      <c r="S1007" s="136"/>
      <c r="T1007" s="136"/>
      <c r="U1007" s="136"/>
      <c r="V1007" s="136"/>
    </row>
    <row r="1008" spans="14:22" x14ac:dyDescent="0.35">
      <c r="N1008" s="135"/>
      <c r="O1008" s="136"/>
      <c r="P1008" s="136"/>
      <c r="Q1008" s="136"/>
      <c r="R1008" s="136"/>
      <c r="S1008" s="136"/>
      <c r="T1008" s="136"/>
      <c r="U1008" s="136"/>
      <c r="V1008" s="136"/>
    </row>
    <row r="1009" spans="14:22" x14ac:dyDescent="0.35">
      <c r="N1009" s="135"/>
      <c r="O1009" s="136"/>
      <c r="P1009" s="136"/>
      <c r="Q1009" s="136"/>
      <c r="R1009" s="136"/>
      <c r="S1009" s="136"/>
      <c r="T1009" s="136"/>
      <c r="U1009" s="136"/>
      <c r="V1009" s="136"/>
    </row>
    <row r="1010" spans="14:22" x14ac:dyDescent="0.35">
      <c r="N1010" s="135"/>
      <c r="O1010" s="136"/>
      <c r="P1010" s="136"/>
      <c r="Q1010" s="136"/>
      <c r="R1010" s="136"/>
      <c r="S1010" s="136"/>
      <c r="T1010" s="136"/>
      <c r="U1010" s="136"/>
      <c r="V1010" s="136"/>
    </row>
    <row r="1011" spans="14:22" x14ac:dyDescent="0.35">
      <c r="N1011" s="135"/>
      <c r="O1011" s="136"/>
      <c r="P1011" s="136"/>
      <c r="Q1011" s="136"/>
      <c r="R1011" s="136"/>
      <c r="S1011" s="136"/>
      <c r="T1011" s="136"/>
      <c r="U1011" s="136"/>
      <c r="V1011" s="136"/>
    </row>
    <row r="1012" spans="14:22" x14ac:dyDescent="0.35">
      <c r="N1012" s="135"/>
      <c r="O1012" s="136"/>
      <c r="P1012" s="136"/>
      <c r="Q1012" s="136"/>
      <c r="R1012" s="136"/>
      <c r="S1012" s="136"/>
      <c r="T1012" s="136"/>
      <c r="U1012" s="136"/>
      <c r="V1012" s="136"/>
    </row>
    <row r="1013" spans="14:22" x14ac:dyDescent="0.35">
      <c r="N1013" s="135"/>
      <c r="O1013" s="136"/>
      <c r="P1013" s="136"/>
      <c r="Q1013" s="136"/>
      <c r="R1013" s="136"/>
      <c r="S1013" s="136"/>
      <c r="T1013" s="136"/>
      <c r="U1013" s="136"/>
      <c r="V1013" s="136"/>
    </row>
    <row r="1014" spans="14:22" x14ac:dyDescent="0.35">
      <c r="N1014" s="135"/>
      <c r="O1014" s="136"/>
      <c r="P1014" s="136"/>
      <c r="Q1014" s="136"/>
      <c r="R1014" s="136"/>
      <c r="S1014" s="136"/>
      <c r="T1014" s="136"/>
      <c r="U1014" s="136"/>
      <c r="V1014" s="136"/>
    </row>
    <row r="1015" spans="14:22" x14ac:dyDescent="0.35">
      <c r="N1015" s="135"/>
      <c r="O1015" s="136"/>
      <c r="P1015" s="136"/>
      <c r="Q1015" s="136"/>
      <c r="R1015" s="136"/>
      <c r="S1015" s="136"/>
      <c r="T1015" s="136"/>
      <c r="U1015" s="136"/>
      <c r="V1015" s="136"/>
    </row>
    <row r="1016" spans="14:22" x14ac:dyDescent="0.35">
      <c r="N1016" s="135"/>
      <c r="O1016" s="136"/>
      <c r="P1016" s="136"/>
      <c r="Q1016" s="136"/>
      <c r="R1016" s="136"/>
      <c r="S1016" s="136"/>
      <c r="T1016" s="136"/>
      <c r="U1016" s="136"/>
      <c r="V1016" s="136"/>
    </row>
    <row r="1017" spans="14:22" x14ac:dyDescent="0.35">
      <c r="N1017" s="135"/>
      <c r="O1017" s="136"/>
      <c r="P1017" s="136"/>
      <c r="Q1017" s="136"/>
      <c r="R1017" s="136"/>
      <c r="S1017" s="136"/>
      <c r="T1017" s="136"/>
      <c r="U1017" s="136"/>
      <c r="V1017" s="136"/>
    </row>
    <row r="1018" spans="14:22" x14ac:dyDescent="0.35">
      <c r="N1018" s="135"/>
      <c r="O1018" s="136"/>
      <c r="P1018" s="136"/>
      <c r="Q1018" s="136"/>
      <c r="R1018" s="136"/>
      <c r="S1018" s="136"/>
      <c r="T1018" s="136"/>
      <c r="U1018" s="136"/>
      <c r="V1018" s="136"/>
    </row>
    <row r="1019" spans="14:22" x14ac:dyDescent="0.35">
      <c r="N1019" s="135"/>
      <c r="O1019" s="136"/>
      <c r="P1019" s="136"/>
      <c r="Q1019" s="136"/>
      <c r="R1019" s="136"/>
      <c r="S1019" s="136"/>
      <c r="T1019" s="136"/>
      <c r="U1019" s="136"/>
      <c r="V1019" s="136"/>
    </row>
    <row r="1020" spans="14:22" x14ac:dyDescent="0.35">
      <c r="N1020" s="135"/>
      <c r="O1020" s="136"/>
      <c r="P1020" s="136"/>
      <c r="Q1020" s="136"/>
      <c r="R1020" s="136"/>
      <c r="S1020" s="136"/>
      <c r="T1020" s="136"/>
      <c r="U1020" s="136"/>
      <c r="V1020" s="136"/>
    </row>
    <row r="1021" spans="14:22" x14ac:dyDescent="0.35">
      <c r="N1021" s="135"/>
      <c r="O1021" s="136"/>
      <c r="P1021" s="136"/>
      <c r="Q1021" s="136"/>
      <c r="R1021" s="136"/>
      <c r="S1021" s="136"/>
      <c r="T1021" s="136"/>
      <c r="U1021" s="136"/>
      <c r="V1021" s="136"/>
    </row>
    <row r="1022" spans="14:22" x14ac:dyDescent="0.35">
      <c r="N1022" s="135"/>
      <c r="O1022" s="136"/>
      <c r="P1022" s="136"/>
      <c r="Q1022" s="136"/>
      <c r="R1022" s="136"/>
      <c r="S1022" s="136"/>
      <c r="T1022" s="136"/>
      <c r="U1022" s="136"/>
      <c r="V1022" s="136"/>
    </row>
    <row r="1023" spans="14:22" x14ac:dyDescent="0.35">
      <c r="N1023" s="135"/>
      <c r="O1023" s="136"/>
      <c r="P1023" s="136"/>
      <c r="Q1023" s="136"/>
      <c r="R1023" s="136"/>
      <c r="S1023" s="136"/>
      <c r="T1023" s="136"/>
      <c r="U1023" s="136"/>
      <c r="V1023" s="136"/>
    </row>
    <row r="1024" spans="14:22" x14ac:dyDescent="0.35">
      <c r="N1024" s="135"/>
      <c r="O1024" s="136"/>
      <c r="P1024" s="136"/>
      <c r="Q1024" s="136"/>
      <c r="R1024" s="136"/>
      <c r="S1024" s="136"/>
      <c r="T1024" s="136"/>
      <c r="U1024" s="136"/>
      <c r="V1024" s="136"/>
    </row>
    <row r="1025" spans="14:22" x14ac:dyDescent="0.35">
      <c r="N1025" s="135"/>
      <c r="O1025" s="136"/>
      <c r="P1025" s="136"/>
      <c r="Q1025" s="136"/>
      <c r="R1025" s="136"/>
      <c r="S1025" s="136"/>
      <c r="T1025" s="136"/>
      <c r="U1025" s="136"/>
      <c r="V1025" s="136"/>
    </row>
    <row r="1026" spans="14:22" x14ac:dyDescent="0.35">
      <c r="N1026" s="135"/>
      <c r="O1026" s="136"/>
      <c r="P1026" s="136"/>
      <c r="Q1026" s="136"/>
      <c r="R1026" s="136"/>
      <c r="S1026" s="136"/>
      <c r="T1026" s="136"/>
      <c r="U1026" s="136"/>
      <c r="V1026" s="136"/>
    </row>
    <row r="1027" spans="14:22" x14ac:dyDescent="0.35">
      <c r="N1027" s="135"/>
      <c r="O1027" s="136"/>
      <c r="P1027" s="136"/>
      <c r="Q1027" s="136"/>
      <c r="R1027" s="136"/>
      <c r="S1027" s="136"/>
      <c r="T1027" s="136"/>
      <c r="U1027" s="136"/>
      <c r="V1027" s="136"/>
    </row>
    <row r="1028" spans="14:22" x14ac:dyDescent="0.35">
      <c r="N1028" s="135"/>
      <c r="O1028" s="136"/>
      <c r="P1028" s="136"/>
      <c r="Q1028" s="136"/>
      <c r="R1028" s="136"/>
      <c r="S1028" s="136"/>
      <c r="T1028" s="136"/>
      <c r="U1028" s="136"/>
      <c r="V1028" s="136"/>
    </row>
    <row r="1029" spans="14:22" x14ac:dyDescent="0.35">
      <c r="N1029" s="135"/>
      <c r="O1029" s="136"/>
      <c r="P1029" s="136"/>
      <c r="Q1029" s="136"/>
      <c r="R1029" s="136"/>
      <c r="S1029" s="136"/>
      <c r="T1029" s="136"/>
      <c r="U1029" s="136"/>
      <c r="V1029" s="136"/>
    </row>
    <row r="1030" spans="14:22" x14ac:dyDescent="0.35">
      <c r="N1030" s="135"/>
      <c r="O1030" s="136"/>
      <c r="P1030" s="136"/>
      <c r="Q1030" s="136"/>
      <c r="R1030" s="136"/>
      <c r="S1030" s="136"/>
      <c r="T1030" s="136"/>
      <c r="U1030" s="136"/>
      <c r="V1030" s="136"/>
    </row>
    <row r="1031" spans="14:22" x14ac:dyDescent="0.35">
      <c r="N1031" s="135"/>
      <c r="O1031" s="136"/>
      <c r="P1031" s="136"/>
      <c r="Q1031" s="136"/>
      <c r="R1031" s="136"/>
      <c r="S1031" s="136"/>
      <c r="T1031" s="136"/>
      <c r="U1031" s="136"/>
      <c r="V1031" s="136"/>
    </row>
    <row r="1032" spans="14:22" x14ac:dyDescent="0.35">
      <c r="N1032" s="135"/>
      <c r="O1032" s="136"/>
      <c r="P1032" s="136"/>
      <c r="Q1032" s="136"/>
      <c r="R1032" s="136"/>
      <c r="S1032" s="136"/>
      <c r="T1032" s="136"/>
      <c r="U1032" s="136"/>
      <c r="V1032" s="136"/>
    </row>
    <row r="1033" spans="14:22" x14ac:dyDescent="0.35">
      <c r="N1033" s="135"/>
      <c r="O1033" s="136"/>
      <c r="P1033" s="136"/>
      <c r="Q1033" s="136"/>
      <c r="R1033" s="136"/>
      <c r="S1033" s="136"/>
      <c r="T1033" s="136"/>
      <c r="U1033" s="136"/>
      <c r="V1033" s="136"/>
    </row>
    <row r="1034" spans="14:22" x14ac:dyDescent="0.35">
      <c r="N1034" s="135"/>
      <c r="O1034" s="136"/>
      <c r="P1034" s="136"/>
      <c r="Q1034" s="136"/>
      <c r="R1034" s="136"/>
      <c r="S1034" s="136"/>
      <c r="T1034" s="136"/>
      <c r="U1034" s="136"/>
      <c r="V1034" s="136"/>
    </row>
    <row r="1035" spans="14:22" x14ac:dyDescent="0.35">
      <c r="N1035" s="135"/>
      <c r="O1035" s="136"/>
      <c r="P1035" s="136"/>
      <c r="Q1035" s="136"/>
      <c r="R1035" s="136"/>
      <c r="S1035" s="136"/>
      <c r="T1035" s="136"/>
      <c r="U1035" s="136"/>
      <c r="V1035" s="136"/>
    </row>
    <row r="1036" spans="14:22" x14ac:dyDescent="0.35">
      <c r="N1036" s="135"/>
      <c r="O1036" s="136"/>
      <c r="P1036" s="136"/>
      <c r="Q1036" s="136"/>
      <c r="R1036" s="136"/>
      <c r="S1036" s="136"/>
      <c r="T1036" s="136"/>
      <c r="U1036" s="136"/>
      <c r="V1036" s="136"/>
    </row>
    <row r="1037" spans="14:22" x14ac:dyDescent="0.35">
      <c r="N1037" s="135"/>
      <c r="O1037" s="136"/>
      <c r="P1037" s="136"/>
      <c r="Q1037" s="136"/>
      <c r="R1037" s="136"/>
      <c r="S1037" s="136"/>
      <c r="T1037" s="136"/>
      <c r="U1037" s="136"/>
      <c r="V1037" s="136"/>
    </row>
    <row r="1038" spans="14:22" x14ac:dyDescent="0.35">
      <c r="N1038" s="135"/>
      <c r="O1038" s="136"/>
      <c r="P1038" s="136"/>
      <c r="Q1038" s="136"/>
      <c r="R1038" s="136"/>
      <c r="S1038" s="136"/>
      <c r="T1038" s="136"/>
      <c r="U1038" s="136"/>
      <c r="V1038" s="136"/>
    </row>
    <row r="1039" spans="14:22" x14ac:dyDescent="0.35">
      <c r="N1039" s="135"/>
      <c r="O1039" s="136"/>
      <c r="P1039" s="136"/>
      <c r="Q1039" s="136"/>
      <c r="R1039" s="136"/>
      <c r="S1039" s="136"/>
      <c r="T1039" s="136"/>
      <c r="U1039" s="136"/>
      <c r="V1039" s="136"/>
    </row>
    <row r="1040" spans="14:22" x14ac:dyDescent="0.35">
      <c r="N1040" s="135"/>
      <c r="O1040" s="136"/>
      <c r="P1040" s="136"/>
      <c r="Q1040" s="136"/>
      <c r="R1040" s="136"/>
      <c r="S1040" s="136"/>
      <c r="T1040" s="136"/>
      <c r="U1040" s="136"/>
      <c r="V1040" s="136"/>
    </row>
    <row r="1041" spans="14:22" x14ac:dyDescent="0.35">
      <c r="N1041" s="135"/>
      <c r="O1041" s="136"/>
      <c r="P1041" s="136"/>
      <c r="Q1041" s="136"/>
      <c r="R1041" s="136"/>
      <c r="S1041" s="136"/>
      <c r="T1041" s="136"/>
      <c r="U1041" s="136"/>
      <c r="V1041" s="136"/>
    </row>
    <row r="1042" spans="14:22" x14ac:dyDescent="0.35">
      <c r="N1042" s="135"/>
      <c r="O1042" s="136"/>
      <c r="P1042" s="136"/>
      <c r="Q1042" s="136"/>
      <c r="R1042" s="136"/>
      <c r="S1042" s="136"/>
      <c r="T1042" s="136"/>
      <c r="U1042" s="136"/>
      <c r="V1042" s="136"/>
    </row>
    <row r="1043" spans="14:22" x14ac:dyDescent="0.35">
      <c r="N1043" s="135"/>
      <c r="O1043" s="136"/>
      <c r="P1043" s="136"/>
      <c r="Q1043" s="136"/>
      <c r="R1043" s="136"/>
      <c r="S1043" s="136"/>
      <c r="T1043" s="136"/>
      <c r="U1043" s="136"/>
      <c r="V1043" s="136"/>
    </row>
    <row r="1044" spans="14:22" x14ac:dyDescent="0.35">
      <c r="N1044" s="135"/>
      <c r="O1044" s="136"/>
      <c r="P1044" s="136"/>
      <c r="Q1044" s="136"/>
      <c r="R1044" s="136"/>
      <c r="S1044" s="136"/>
      <c r="T1044" s="136"/>
      <c r="U1044" s="136"/>
      <c r="V1044" s="136"/>
    </row>
    <row r="1045" spans="14:22" x14ac:dyDescent="0.35">
      <c r="N1045" s="135"/>
      <c r="O1045" s="136"/>
      <c r="P1045" s="136"/>
      <c r="Q1045" s="136"/>
      <c r="R1045" s="136"/>
      <c r="S1045" s="136"/>
      <c r="T1045" s="136"/>
      <c r="U1045" s="136"/>
      <c r="V1045" s="136"/>
    </row>
    <row r="1046" spans="14:22" x14ac:dyDescent="0.35">
      <c r="N1046" s="135"/>
      <c r="O1046" s="136"/>
      <c r="P1046" s="136"/>
      <c r="Q1046" s="136"/>
      <c r="R1046" s="136"/>
      <c r="S1046" s="136"/>
      <c r="T1046" s="136"/>
      <c r="U1046" s="136"/>
      <c r="V1046" s="136"/>
    </row>
    <row r="1047" spans="14:22" x14ac:dyDescent="0.35">
      <c r="N1047" s="135"/>
      <c r="O1047" s="136"/>
      <c r="P1047" s="136"/>
      <c r="Q1047" s="136"/>
      <c r="R1047" s="136"/>
      <c r="S1047" s="136"/>
      <c r="T1047" s="136"/>
      <c r="U1047" s="136"/>
      <c r="V1047" s="136"/>
    </row>
    <row r="1048" spans="14:22" x14ac:dyDescent="0.35">
      <c r="N1048" s="135"/>
      <c r="O1048" s="136"/>
      <c r="P1048" s="136"/>
      <c r="Q1048" s="136"/>
      <c r="R1048" s="136"/>
      <c r="S1048" s="136"/>
      <c r="T1048" s="136"/>
      <c r="U1048" s="136"/>
      <c r="V1048" s="136"/>
    </row>
    <row r="1049" spans="14:22" x14ac:dyDescent="0.35">
      <c r="N1049" s="135"/>
      <c r="O1049" s="136"/>
      <c r="P1049" s="136"/>
      <c r="Q1049" s="136"/>
      <c r="R1049" s="136"/>
      <c r="S1049" s="136"/>
      <c r="T1049" s="136"/>
      <c r="U1049" s="136"/>
      <c r="V1049" s="136"/>
    </row>
    <row r="1050" spans="14:22" x14ac:dyDescent="0.35">
      <c r="N1050" s="135"/>
      <c r="O1050" s="136"/>
      <c r="P1050" s="136"/>
      <c r="Q1050" s="136"/>
      <c r="R1050" s="136"/>
      <c r="S1050" s="136"/>
      <c r="T1050" s="136"/>
      <c r="U1050" s="136"/>
      <c r="V1050" s="136"/>
    </row>
    <row r="1051" spans="14:22" x14ac:dyDescent="0.35">
      <c r="N1051" s="135"/>
      <c r="O1051" s="136"/>
      <c r="P1051" s="136"/>
      <c r="Q1051" s="136"/>
      <c r="R1051" s="136"/>
      <c r="S1051" s="136"/>
      <c r="T1051" s="136"/>
      <c r="U1051" s="136"/>
      <c r="V1051" s="136"/>
    </row>
    <row r="1052" spans="14:22" x14ac:dyDescent="0.35">
      <c r="N1052" s="135"/>
      <c r="O1052" s="136"/>
      <c r="P1052" s="136"/>
      <c r="Q1052" s="136"/>
      <c r="R1052" s="136"/>
      <c r="S1052" s="136"/>
      <c r="T1052" s="136"/>
      <c r="U1052" s="136"/>
      <c r="V1052" s="136"/>
    </row>
    <row r="1053" spans="14:22" x14ac:dyDescent="0.35">
      <c r="N1053" s="135"/>
      <c r="O1053" s="136"/>
      <c r="P1053" s="136"/>
      <c r="Q1053" s="136"/>
      <c r="R1053" s="136"/>
      <c r="S1053" s="136"/>
      <c r="T1053" s="136"/>
      <c r="U1053" s="136"/>
      <c r="V1053" s="136"/>
    </row>
    <row r="1054" spans="14:22" x14ac:dyDescent="0.35">
      <c r="T1054" s="136"/>
      <c r="U1054" s="136"/>
    </row>
  </sheetData>
  <mergeCells count="130">
    <mergeCell ref="Z103:Z114"/>
    <mergeCell ref="Z139:Z170"/>
    <mergeCell ref="W152:W153"/>
    <mergeCell ref="Z31:Z44"/>
    <mergeCell ref="AB25:AC25"/>
    <mergeCell ref="AB26:AC26"/>
    <mergeCell ref="AD26:AF26"/>
    <mergeCell ref="Y28:Y30"/>
    <mergeCell ref="AA28:AA29"/>
    <mergeCell ref="AB28:AB29"/>
    <mergeCell ref="AE28:AF28"/>
    <mergeCell ref="AC29:AC30"/>
    <mergeCell ref="AD29:AD30"/>
    <mergeCell ref="AE29:AE30"/>
    <mergeCell ref="AF29:AF30"/>
    <mergeCell ref="Z47:Z75"/>
    <mergeCell ref="Z78:Z101"/>
    <mergeCell ref="AB20:AC20"/>
    <mergeCell ref="AB21:AC21"/>
    <mergeCell ref="AB22:AC22"/>
    <mergeCell ref="AB23:AC23"/>
    <mergeCell ref="AB24:AC24"/>
    <mergeCell ref="AB15:AC15"/>
    <mergeCell ref="AB16:AC16"/>
    <mergeCell ref="AB17:AC17"/>
    <mergeCell ref="AB18:AC18"/>
    <mergeCell ref="AB19:AC19"/>
    <mergeCell ref="AB10:AC10"/>
    <mergeCell ref="AB11:AC11"/>
    <mergeCell ref="AB12:AC12"/>
    <mergeCell ref="AB13:AC13"/>
    <mergeCell ref="AB14:AC14"/>
    <mergeCell ref="E11:F11"/>
    <mergeCell ref="B6:D6"/>
    <mergeCell ref="E6:J6"/>
    <mergeCell ref="B7:D7"/>
    <mergeCell ref="Y7:AA7"/>
    <mergeCell ref="AB7:AG7"/>
    <mergeCell ref="AB9:AC9"/>
    <mergeCell ref="Y1:AG1"/>
    <mergeCell ref="Y2:AB2"/>
    <mergeCell ref="Y3:Z3"/>
    <mergeCell ref="AA3:AB3"/>
    <mergeCell ref="Y4:Z4"/>
    <mergeCell ref="AA4:AB4"/>
    <mergeCell ref="AC4:AE4"/>
    <mergeCell ref="Y6:AA6"/>
    <mergeCell ref="AB6:AG6"/>
    <mergeCell ref="B1:J1"/>
    <mergeCell ref="B2:E2"/>
    <mergeCell ref="B3:C3"/>
    <mergeCell ref="D3:E3"/>
    <mergeCell ref="E10:F10"/>
    <mergeCell ref="G26:I26"/>
    <mergeCell ref="E7:J7"/>
    <mergeCell ref="B4:C4"/>
    <mergeCell ref="D4:E4"/>
    <mergeCell ref="F4:H4"/>
    <mergeCell ref="E9:F9"/>
    <mergeCell ref="E26:F26"/>
    <mergeCell ref="E20:F20"/>
    <mergeCell ref="E15:F15"/>
    <mergeCell ref="E16:F16"/>
    <mergeCell ref="E12:F12"/>
    <mergeCell ref="E13:F13"/>
    <mergeCell ref="E14:F14"/>
    <mergeCell ref="E18:F18"/>
    <mergeCell ref="E19:F19"/>
    <mergeCell ref="E17:F17"/>
    <mergeCell ref="E21:F21"/>
    <mergeCell ref="E22:F22"/>
    <mergeCell ref="E23:F23"/>
    <mergeCell ref="B28:B30"/>
    <mergeCell ref="D28:D29"/>
    <mergeCell ref="E28:E29"/>
    <mergeCell ref="H28:I28"/>
    <mergeCell ref="C139:C146"/>
    <mergeCell ref="C31:C44"/>
    <mergeCell ref="C47:C75"/>
    <mergeCell ref="C81:C101"/>
    <mergeCell ref="F29:F30"/>
    <mergeCell ref="E24:F24"/>
    <mergeCell ref="E25:F25"/>
    <mergeCell ref="C103:C114"/>
    <mergeCell ref="O47:O75"/>
    <mergeCell ref="O81:O101"/>
    <mergeCell ref="O103:O114"/>
    <mergeCell ref="O139:O159"/>
    <mergeCell ref="N185:S185"/>
    <mergeCell ref="T28:U28"/>
    <mergeCell ref="T29:T30"/>
    <mergeCell ref="U29:U30"/>
    <mergeCell ref="R29:R30"/>
    <mergeCell ref="S29:S30"/>
    <mergeCell ref="O31:O44"/>
    <mergeCell ref="G29:G30"/>
    <mergeCell ref="H29:H30"/>
    <mergeCell ref="I29:I30"/>
    <mergeCell ref="Q26:R26"/>
    <mergeCell ref="N28:N30"/>
    <mergeCell ref="P28:P29"/>
    <mergeCell ref="Q28:Q29"/>
    <mergeCell ref="N1:V1"/>
    <mergeCell ref="N2:Q2"/>
    <mergeCell ref="N3:O3"/>
    <mergeCell ref="P3:Q3"/>
    <mergeCell ref="N4:O4"/>
    <mergeCell ref="P4:Q4"/>
    <mergeCell ref="R4:S4"/>
    <mergeCell ref="Q16:R16"/>
    <mergeCell ref="N6:P6"/>
    <mergeCell ref="Q6:V6"/>
    <mergeCell ref="N7:P7"/>
    <mergeCell ref="Q7:V7"/>
    <mergeCell ref="Q9:R9"/>
    <mergeCell ref="Q10:R10"/>
    <mergeCell ref="Q11:R11"/>
    <mergeCell ref="Q12:R12"/>
    <mergeCell ref="Q13:R13"/>
    <mergeCell ref="Q14:R14"/>
    <mergeCell ref="Q15:R15"/>
    <mergeCell ref="Q23:R23"/>
    <mergeCell ref="Q24:R24"/>
    <mergeCell ref="Q25:R25"/>
    <mergeCell ref="Q17:R17"/>
    <mergeCell ref="Q18:R18"/>
    <mergeCell ref="Q19:R19"/>
    <mergeCell ref="Q20:R20"/>
    <mergeCell ref="Q21:R21"/>
    <mergeCell ref="Q22:R22"/>
  </mergeCells>
  <phoneticPr fontId="29" type="noConversion"/>
  <conditionalFormatting sqref="J432">
    <cfRule type="cellIs" dxfId="3" priority="3" operator="lessThan">
      <formula>0</formula>
    </cfRule>
  </conditionalFormatting>
  <conditionalFormatting sqref="V423:V1053">
    <cfRule type="cellIs" dxfId="2" priority="2" operator="lessThan">
      <formula>0</formula>
    </cfRule>
  </conditionalFormatting>
  <conditionalFormatting sqref="AG405">
    <cfRule type="cellIs" dxfId="1" priority="1" operator="lessThan">
      <formula>0</formula>
    </cfRule>
  </conditionalFormatting>
  <dataValidations disablePrompts="1" count="1">
    <dataValidation allowBlank="1" showInputMessage="1" showErrorMessage="1" promptTitle="INFORMAR A RAZÃO SOCIAL " prompt="DE FATURAMENTO" sqref="E6 AB6" xr:uid="{CA83EE2F-926A-47A0-B00C-0E5C2D344A18}"/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C866-A9BB-4C23-8D9A-C994FBE40582}">
  <dimension ref="C1:O200"/>
  <sheetViews>
    <sheetView showGridLines="0" tabSelected="1" topLeftCell="A13" zoomScale="65" zoomScaleNormal="65" workbookViewId="0">
      <selection activeCell="K10" sqref="K10"/>
    </sheetView>
  </sheetViews>
  <sheetFormatPr defaultRowHeight="14.5" x14ac:dyDescent="0.35"/>
  <cols>
    <col min="3" max="3" width="9.1796875" style="15" customWidth="1"/>
    <col min="4" max="4" width="9.1796875" style="1" customWidth="1"/>
    <col min="5" max="5" width="7.1796875" style="1" customWidth="1"/>
    <col min="6" max="6" width="82.81640625" style="357" customWidth="1"/>
    <col min="7" max="8" width="7.453125" style="1" customWidth="1"/>
    <col min="9" max="9" width="12.1796875" style="1" customWidth="1"/>
    <col min="10" max="10" width="13.1796875" style="1" customWidth="1"/>
    <col min="11" max="11" width="29.26953125" style="1" customWidth="1"/>
    <col min="12" max="12" width="30.81640625" style="109" customWidth="1"/>
  </cols>
  <sheetData>
    <row r="1" spans="3:11" ht="21" x14ac:dyDescent="0.35">
      <c r="C1" s="382"/>
      <c r="D1" s="383"/>
      <c r="E1" s="383"/>
      <c r="F1" s="383"/>
      <c r="G1" s="383"/>
      <c r="H1" s="383"/>
      <c r="I1" s="383"/>
      <c r="J1" s="383"/>
      <c r="K1" s="383"/>
    </row>
    <row r="2" spans="3:11" ht="32" x14ac:dyDescent="0.35">
      <c r="C2" s="384" t="s">
        <v>0</v>
      </c>
      <c r="D2" s="384"/>
      <c r="E2" s="384"/>
      <c r="F2" s="384"/>
      <c r="G2" s="2" t="s">
        <v>1</v>
      </c>
      <c r="H2" s="2" t="s">
        <v>2</v>
      </c>
      <c r="I2" s="2" t="s">
        <v>3</v>
      </c>
      <c r="J2" s="3" t="s">
        <v>4</v>
      </c>
      <c r="K2" s="3" t="s">
        <v>5</v>
      </c>
    </row>
    <row r="3" spans="3:11" ht="18.5" x14ac:dyDescent="0.35">
      <c r="C3" s="385" t="s">
        <v>224</v>
      </c>
      <c r="D3" s="386"/>
      <c r="E3" s="387" t="s">
        <v>225</v>
      </c>
      <c r="F3" s="387"/>
      <c r="G3" s="4" t="s">
        <v>6</v>
      </c>
      <c r="H3" s="4"/>
      <c r="I3" s="5"/>
      <c r="J3" s="6">
        <v>46048</v>
      </c>
      <c r="K3" s="7">
        <v>46228</v>
      </c>
    </row>
    <row r="4" spans="3:11" ht="16" x14ac:dyDescent="0.35">
      <c r="C4" s="388" t="s">
        <v>7</v>
      </c>
      <c r="D4" s="389"/>
      <c r="E4" s="390"/>
      <c r="F4" s="391"/>
      <c r="G4" s="392" t="s">
        <v>8</v>
      </c>
      <c r="H4" s="393"/>
      <c r="I4" s="394"/>
      <c r="J4" s="8">
        <f>K3-J3</f>
        <v>180</v>
      </c>
      <c r="K4" s="9" t="s">
        <v>9</v>
      </c>
    </row>
    <row r="5" spans="3:11" x14ac:dyDescent="0.35">
      <c r="C5" s="10"/>
      <c r="D5" s="11"/>
      <c r="E5" s="12"/>
      <c r="F5" s="365"/>
      <c r="G5" s="11"/>
      <c r="H5" s="11"/>
      <c r="I5" s="11"/>
      <c r="J5" s="11"/>
      <c r="K5" s="11"/>
    </row>
    <row r="6" spans="3:11" ht="18.5" x14ac:dyDescent="0.35">
      <c r="C6" s="392" t="s">
        <v>10</v>
      </c>
      <c r="D6" s="393"/>
      <c r="E6" s="394"/>
      <c r="F6" s="395" t="s">
        <v>297</v>
      </c>
      <c r="G6" s="396"/>
      <c r="H6" s="396"/>
      <c r="I6" s="396"/>
      <c r="J6" s="396"/>
      <c r="K6" s="396"/>
    </row>
    <row r="7" spans="3:11" ht="18.5" x14ac:dyDescent="0.35">
      <c r="C7" s="388" t="s">
        <v>11</v>
      </c>
      <c r="D7" s="397"/>
      <c r="E7" s="389"/>
      <c r="F7" s="395"/>
      <c r="G7" s="396"/>
      <c r="H7" s="396"/>
      <c r="I7" s="396"/>
      <c r="J7" s="396"/>
      <c r="K7" s="396"/>
    </row>
    <row r="8" spans="3:11" x14ac:dyDescent="0.35">
      <c r="C8" s="13"/>
      <c r="D8" s="14"/>
      <c r="E8" s="14"/>
      <c r="F8" s="364"/>
      <c r="G8" s="14"/>
      <c r="H8" s="14"/>
      <c r="I8" s="14"/>
      <c r="J8" s="14"/>
      <c r="K8" s="14"/>
    </row>
    <row r="9" spans="3:11" x14ac:dyDescent="0.35">
      <c r="E9" s="16"/>
      <c r="F9" s="398" t="s">
        <v>12</v>
      </c>
      <c r="G9" s="399"/>
      <c r="H9" s="17" t="s">
        <v>13</v>
      </c>
      <c r="I9" s="17" t="s">
        <v>14</v>
      </c>
      <c r="J9" s="17" t="s">
        <v>15</v>
      </c>
      <c r="K9" s="17" t="s">
        <v>16</v>
      </c>
    </row>
    <row r="10" spans="3:11" ht="16" x14ac:dyDescent="0.35">
      <c r="C10" s="18"/>
      <c r="D10" s="19"/>
      <c r="E10" s="19"/>
      <c r="F10" s="380" t="s">
        <v>17</v>
      </c>
      <c r="G10" s="381"/>
      <c r="H10" s="20">
        <v>810030</v>
      </c>
      <c r="I10" s="20">
        <v>10</v>
      </c>
      <c r="J10" s="20">
        <v>7317011</v>
      </c>
      <c r="K10" s="352" t="e">
        <f>SUMIF(#REF!,H10,#REF!)</f>
        <v>#REF!</v>
      </c>
    </row>
    <row r="11" spans="3:11" ht="16" x14ac:dyDescent="0.35">
      <c r="C11" s="18"/>
      <c r="D11" s="19"/>
      <c r="E11" s="19"/>
      <c r="F11" s="380" t="s">
        <v>18</v>
      </c>
      <c r="G11" s="381"/>
      <c r="H11" s="20">
        <v>810031</v>
      </c>
      <c r="I11" s="20">
        <v>20</v>
      </c>
      <c r="J11" s="20">
        <v>7316000</v>
      </c>
      <c r="K11" s="352" t="e">
        <f>SUMIF(#REF!,H11,#REF!)</f>
        <v>#REF!</v>
      </c>
    </row>
    <row r="12" spans="3:11" ht="16" x14ac:dyDescent="0.35">
      <c r="C12" s="18"/>
      <c r="D12" s="19"/>
      <c r="E12" s="19"/>
      <c r="F12" s="380" t="s">
        <v>19</v>
      </c>
      <c r="G12" s="381"/>
      <c r="H12" s="20">
        <v>810040</v>
      </c>
      <c r="I12" s="20">
        <v>30</v>
      </c>
      <c r="J12" s="20">
        <v>7317000</v>
      </c>
      <c r="K12" s="352" t="e">
        <f>SUMIF(#REF!,H12,#REF!)</f>
        <v>#REF!</v>
      </c>
    </row>
    <row r="13" spans="3:11" ht="16" x14ac:dyDescent="0.35">
      <c r="C13" s="18"/>
      <c r="D13" s="19"/>
      <c r="E13" s="19"/>
      <c r="F13" s="380" t="s">
        <v>20</v>
      </c>
      <c r="G13" s="381"/>
      <c r="H13" s="20">
        <v>810041</v>
      </c>
      <c r="I13" s="20">
        <v>40</v>
      </c>
      <c r="J13" s="20">
        <v>7317120</v>
      </c>
      <c r="K13" s="352" t="e">
        <f>SUMIF(#REF!,H13,#REF!)</f>
        <v>#REF!</v>
      </c>
    </row>
    <row r="14" spans="3:11" ht="16" x14ac:dyDescent="0.35">
      <c r="C14" s="18"/>
      <c r="D14" s="19"/>
      <c r="E14" s="19"/>
      <c r="F14" s="380" t="s">
        <v>21</v>
      </c>
      <c r="G14" s="381"/>
      <c r="H14" s="20">
        <v>810051</v>
      </c>
      <c r="I14" s="20">
        <v>50</v>
      </c>
      <c r="J14" s="20">
        <v>7317002</v>
      </c>
      <c r="K14" s="352" t="e">
        <f>SUMIF(#REF!,H14,#REF!)</f>
        <v>#REF!</v>
      </c>
    </row>
    <row r="15" spans="3:11" ht="16" x14ac:dyDescent="0.35">
      <c r="C15" s="18"/>
      <c r="D15" s="19"/>
      <c r="E15" s="19"/>
      <c r="F15" s="380" t="s">
        <v>22</v>
      </c>
      <c r="G15" s="381"/>
      <c r="H15" s="20">
        <v>810080</v>
      </c>
      <c r="I15" s="20">
        <v>60</v>
      </c>
      <c r="J15" s="20">
        <v>7361002</v>
      </c>
      <c r="K15" s="352" t="e">
        <f>SUMIF(#REF!,H15,#REF!)</f>
        <v>#REF!</v>
      </c>
    </row>
    <row r="16" spans="3:11" ht="16" x14ac:dyDescent="0.35">
      <c r="C16" s="18"/>
      <c r="D16" s="19"/>
      <c r="E16" s="19"/>
      <c r="F16" s="380" t="s">
        <v>23</v>
      </c>
      <c r="G16" s="381"/>
      <c r="H16" s="20">
        <v>810082</v>
      </c>
      <c r="I16" s="20">
        <v>70</v>
      </c>
      <c r="J16" s="20">
        <v>7318000</v>
      </c>
      <c r="K16" s="352" t="e">
        <f>SUMIF(#REF!,H16,#REF!)</f>
        <v>#REF!</v>
      </c>
    </row>
    <row r="17" spans="3:12" ht="16" x14ac:dyDescent="0.35">
      <c r="C17" s="18"/>
      <c r="D17" s="19"/>
      <c r="E17" s="19"/>
      <c r="F17" s="380" t="s">
        <v>24</v>
      </c>
      <c r="G17" s="381"/>
      <c r="H17" s="20">
        <v>810100</v>
      </c>
      <c r="I17" s="20">
        <v>80</v>
      </c>
      <c r="J17" s="20">
        <v>7317012</v>
      </c>
      <c r="K17" s="352" t="e">
        <f>SUMIF(#REF!,H17,#REF!)</f>
        <v>#REF!</v>
      </c>
    </row>
    <row r="18" spans="3:12" ht="16" x14ac:dyDescent="0.35">
      <c r="C18" s="18"/>
      <c r="D18" s="19"/>
      <c r="E18" s="19"/>
      <c r="F18" s="380" t="s">
        <v>25</v>
      </c>
      <c r="G18" s="381"/>
      <c r="H18" s="20">
        <v>810162</v>
      </c>
      <c r="I18" s="20">
        <v>90</v>
      </c>
      <c r="J18" s="20">
        <v>7333060</v>
      </c>
      <c r="K18" s="352" t="e">
        <f>SUMIF(#REF!,H18,#REF!)</f>
        <v>#REF!</v>
      </c>
    </row>
    <row r="19" spans="3:12" ht="16" x14ac:dyDescent="0.35">
      <c r="C19" s="18"/>
      <c r="D19" s="19"/>
      <c r="E19" s="19"/>
      <c r="F19" s="380" t="s">
        <v>26</v>
      </c>
      <c r="G19" s="381"/>
      <c r="H19" s="20">
        <v>810230</v>
      </c>
      <c r="I19" s="20">
        <v>100</v>
      </c>
      <c r="J19" s="20">
        <v>7317003</v>
      </c>
      <c r="K19" s="352" t="e">
        <f>SUMIF(#REF!,H19,#REF!)</f>
        <v>#REF!</v>
      </c>
    </row>
    <row r="20" spans="3:12" ht="16" x14ac:dyDescent="0.35">
      <c r="C20" s="18"/>
      <c r="D20" s="19"/>
      <c r="E20" s="19"/>
      <c r="F20" s="380" t="s">
        <v>27</v>
      </c>
      <c r="G20" s="381"/>
      <c r="H20" s="20">
        <v>810250</v>
      </c>
      <c r="I20" s="20">
        <v>110</v>
      </c>
      <c r="J20" s="20">
        <v>7317010</v>
      </c>
      <c r="K20" s="352" t="e">
        <f>SUMIF(#REF!,H20,#REF!)</f>
        <v>#REF!</v>
      </c>
    </row>
    <row r="21" spans="3:12" ht="16" x14ac:dyDescent="0.35">
      <c r="C21" s="18"/>
      <c r="D21" s="19"/>
      <c r="E21" s="19"/>
      <c r="F21" s="380" t="s">
        <v>28</v>
      </c>
      <c r="G21" s="381"/>
      <c r="H21" s="20">
        <v>810260</v>
      </c>
      <c r="I21" s="20">
        <v>120</v>
      </c>
      <c r="J21" s="20">
        <v>7316012</v>
      </c>
      <c r="K21" s="352" t="e">
        <f>SUMIF(#REF!,H21,#REF!)</f>
        <v>#REF!</v>
      </c>
    </row>
    <row r="22" spans="3:12" ht="16" x14ac:dyDescent="0.35">
      <c r="C22" s="18"/>
      <c r="D22" s="19"/>
      <c r="E22" s="19"/>
      <c r="F22" s="380" t="s">
        <v>29</v>
      </c>
      <c r="G22" s="381"/>
      <c r="H22" s="20">
        <v>810321</v>
      </c>
      <c r="I22" s="20">
        <v>130</v>
      </c>
      <c r="J22" s="20">
        <v>7312130</v>
      </c>
      <c r="K22" s="352" t="e">
        <f>SUMIF(#REF!,H22,#REF!)</f>
        <v>#REF!</v>
      </c>
    </row>
    <row r="23" spans="3:12" ht="16" x14ac:dyDescent="0.35">
      <c r="C23" s="18"/>
      <c r="D23" s="19"/>
      <c r="E23" s="19"/>
      <c r="F23" s="380" t="s">
        <v>30</v>
      </c>
      <c r="G23" s="381"/>
      <c r="H23" s="20">
        <v>810210</v>
      </c>
      <c r="I23" s="20">
        <v>140</v>
      </c>
      <c r="J23" s="20">
        <v>7332021</v>
      </c>
      <c r="K23" s="352" t="e">
        <f>SUMIF(#REF!,H23,#REF!)</f>
        <v>#REF!</v>
      </c>
    </row>
    <row r="24" spans="3:12" ht="16" x14ac:dyDescent="0.35">
      <c r="C24" s="18"/>
      <c r="D24" s="19"/>
      <c r="E24" s="19"/>
      <c r="F24" s="380" t="s">
        <v>31</v>
      </c>
      <c r="G24" s="381"/>
      <c r="H24" s="20">
        <v>810213</v>
      </c>
      <c r="I24" s="20">
        <v>150</v>
      </c>
      <c r="J24" s="20">
        <v>7332023</v>
      </c>
      <c r="K24" s="352" t="e">
        <f>SUMIF(#REF!,H24,#REF!)</f>
        <v>#REF!</v>
      </c>
    </row>
    <row r="25" spans="3:12" ht="16" x14ac:dyDescent="0.35">
      <c r="C25" s="18"/>
      <c r="D25" s="19"/>
      <c r="E25" s="19"/>
      <c r="F25" s="424"/>
      <c r="G25" s="425"/>
      <c r="H25" s="20" t="s">
        <v>32</v>
      </c>
      <c r="I25" s="20">
        <v>160</v>
      </c>
      <c r="J25" s="20"/>
      <c r="K25" s="21" t="e">
        <f>SUMIF(#REF!,H25,#REF!)</f>
        <v>#REF!</v>
      </c>
      <c r="L25" s="121"/>
    </row>
    <row r="26" spans="3:12" ht="18.5" x14ac:dyDescent="0.35">
      <c r="C26" s="18"/>
      <c r="D26" s="19"/>
      <c r="E26" s="19"/>
      <c r="F26" s="419" t="s">
        <v>33</v>
      </c>
      <c r="G26" s="419"/>
      <c r="H26" s="419"/>
      <c r="I26" s="419"/>
      <c r="J26" s="420"/>
      <c r="K26" s="22"/>
    </row>
    <row r="27" spans="3:12" x14ac:dyDescent="0.35">
      <c r="C27" s="23"/>
      <c r="D27" s="24"/>
      <c r="E27" s="24"/>
      <c r="F27" s="25"/>
      <c r="G27" s="24"/>
      <c r="H27" s="26"/>
      <c r="I27" s="26"/>
      <c r="J27" s="27"/>
      <c r="K27" s="27"/>
    </row>
    <row r="28" spans="3:12" x14ac:dyDescent="0.35">
      <c r="C28" s="400" t="s">
        <v>13</v>
      </c>
      <c r="D28" s="28"/>
      <c r="E28" s="403" t="s">
        <v>14</v>
      </c>
      <c r="F28" s="405" t="s">
        <v>12</v>
      </c>
      <c r="G28" s="29"/>
      <c r="H28" s="30"/>
      <c r="I28" s="414" t="s">
        <v>34</v>
      </c>
      <c r="J28" s="414"/>
      <c r="K28" s="30"/>
    </row>
    <row r="29" spans="3:12" x14ac:dyDescent="0.35">
      <c r="C29" s="401"/>
      <c r="D29" s="31"/>
      <c r="E29" s="404"/>
      <c r="F29" s="406"/>
      <c r="G29" s="407" t="s">
        <v>35</v>
      </c>
      <c r="H29" s="412" t="s">
        <v>36</v>
      </c>
      <c r="I29" s="415" t="s">
        <v>37</v>
      </c>
      <c r="J29" s="415" t="s">
        <v>38</v>
      </c>
      <c r="K29" s="32" t="s">
        <v>33</v>
      </c>
    </row>
    <row r="30" spans="3:12" x14ac:dyDescent="0.35">
      <c r="C30" s="402"/>
      <c r="D30" s="33"/>
      <c r="E30" s="34" t="s">
        <v>39</v>
      </c>
      <c r="F30" s="35" t="s">
        <v>40</v>
      </c>
      <c r="G30" s="408"/>
      <c r="H30" s="413"/>
      <c r="I30" s="416"/>
      <c r="J30" s="416"/>
      <c r="K30" s="36">
        <f>SUM(K31:K44)</f>
        <v>603841.06000000006</v>
      </c>
    </row>
    <row r="31" spans="3:12" x14ac:dyDescent="0.35">
      <c r="C31" s="37">
        <v>810080</v>
      </c>
      <c r="D31" s="409" t="s">
        <v>40</v>
      </c>
      <c r="E31" s="64" t="s">
        <v>41</v>
      </c>
      <c r="F31" s="39" t="s">
        <v>42</v>
      </c>
      <c r="G31" s="38" t="s">
        <v>43</v>
      </c>
      <c r="H31" s="110">
        <v>11</v>
      </c>
      <c r="I31" s="115">
        <v>800</v>
      </c>
      <c r="J31" s="42"/>
      <c r="K31" s="66">
        <f t="shared" ref="K31:K44" si="0">H31*I31+J31*H31</f>
        <v>8800</v>
      </c>
    </row>
    <row r="32" spans="3:12" ht="26" x14ac:dyDescent="0.35">
      <c r="C32" s="37">
        <v>810080</v>
      </c>
      <c r="D32" s="410"/>
      <c r="E32" s="64" t="s">
        <v>44</v>
      </c>
      <c r="F32" s="39" t="s">
        <v>45</v>
      </c>
      <c r="G32" s="38" t="s">
        <v>46</v>
      </c>
      <c r="H32" s="40">
        <v>1</v>
      </c>
      <c r="I32" s="374">
        <v>0</v>
      </c>
      <c r="J32" s="373">
        <v>0</v>
      </c>
      <c r="K32" s="66">
        <f t="shared" si="0"/>
        <v>0</v>
      </c>
    </row>
    <row r="33" spans="3:12" x14ac:dyDescent="0.35">
      <c r="C33" s="37">
        <v>810080</v>
      </c>
      <c r="D33" s="410"/>
      <c r="E33" s="64" t="s">
        <v>47</v>
      </c>
      <c r="F33" s="39" t="s">
        <v>48</v>
      </c>
      <c r="G33" s="38" t="s">
        <v>46</v>
      </c>
      <c r="H33" s="40">
        <v>1</v>
      </c>
      <c r="I33" s="378">
        <v>50000</v>
      </c>
      <c r="J33" s="328"/>
      <c r="K33" s="354">
        <f t="shared" si="0"/>
        <v>50000</v>
      </c>
    </row>
    <row r="34" spans="3:12" x14ac:dyDescent="0.35">
      <c r="C34" s="37">
        <v>810080</v>
      </c>
      <c r="D34" s="410"/>
      <c r="E34" s="64" t="s">
        <v>49</v>
      </c>
      <c r="F34" s="39" t="s">
        <v>50</v>
      </c>
      <c r="G34" s="38" t="s">
        <v>46</v>
      </c>
      <c r="H34" s="40">
        <v>1</v>
      </c>
      <c r="I34" s="379">
        <v>23000</v>
      </c>
      <c r="J34" s="363"/>
      <c r="K34" s="354">
        <f t="shared" si="0"/>
        <v>23000</v>
      </c>
    </row>
    <row r="35" spans="3:12" x14ac:dyDescent="0.35">
      <c r="C35" s="37">
        <v>810080</v>
      </c>
      <c r="D35" s="410"/>
      <c r="E35" s="64" t="s">
        <v>51</v>
      </c>
      <c r="F35" s="39" t="s">
        <v>52</v>
      </c>
      <c r="G35" s="38" t="s">
        <v>46</v>
      </c>
      <c r="H35" s="40">
        <v>1</v>
      </c>
      <c r="I35" s="115">
        <v>8500</v>
      </c>
      <c r="J35" s="362"/>
      <c r="K35" s="66">
        <f t="shared" si="0"/>
        <v>8500</v>
      </c>
    </row>
    <row r="36" spans="3:12" x14ac:dyDescent="0.35">
      <c r="C36" s="37">
        <v>810080</v>
      </c>
      <c r="D36" s="410"/>
      <c r="E36" s="64" t="s">
        <v>53</v>
      </c>
      <c r="F36" s="39" t="s">
        <v>54</v>
      </c>
      <c r="G36" s="38" t="s">
        <v>215</v>
      </c>
      <c r="H36" s="40">
        <v>6</v>
      </c>
      <c r="I36" s="115">
        <v>1000</v>
      </c>
      <c r="J36" s="362">
        <v>8500</v>
      </c>
      <c r="K36" s="354">
        <f t="shared" si="0"/>
        <v>57000</v>
      </c>
      <c r="L36" s="258"/>
    </row>
    <row r="37" spans="3:12" x14ac:dyDescent="0.35">
      <c r="C37" s="37">
        <v>810080</v>
      </c>
      <c r="D37" s="410"/>
      <c r="E37" s="64" t="s">
        <v>56</v>
      </c>
      <c r="F37" s="63" t="s">
        <v>57</v>
      </c>
      <c r="G37" s="38" t="s">
        <v>55</v>
      </c>
      <c r="H37" s="284">
        <v>10</v>
      </c>
      <c r="I37" s="115">
        <v>150</v>
      </c>
      <c r="J37" s="372">
        <v>5000</v>
      </c>
      <c r="K37" s="354">
        <f t="shared" si="0"/>
        <v>51500</v>
      </c>
      <c r="L37" s="109" t="s">
        <v>263</v>
      </c>
    </row>
    <row r="38" spans="3:12" ht="39" x14ac:dyDescent="0.35">
      <c r="C38" s="37">
        <v>810080</v>
      </c>
      <c r="D38" s="410"/>
      <c r="E38" s="64" t="s">
        <v>58</v>
      </c>
      <c r="F38" s="39" t="s">
        <v>59</v>
      </c>
      <c r="G38" s="64" t="s">
        <v>46</v>
      </c>
      <c r="H38" s="44">
        <v>1</v>
      </c>
      <c r="I38" s="244">
        <f>130425+45000</f>
        <v>175425</v>
      </c>
      <c r="J38" s="371"/>
      <c r="K38" s="354">
        <f t="shared" si="0"/>
        <v>175425</v>
      </c>
      <c r="L38" s="112"/>
    </row>
    <row r="39" spans="3:12" ht="26" x14ac:dyDescent="0.35">
      <c r="C39" s="37">
        <v>810080</v>
      </c>
      <c r="D39" s="410"/>
      <c r="E39" s="64" t="s">
        <v>60</v>
      </c>
      <c r="F39" s="39" t="s">
        <v>61</v>
      </c>
      <c r="G39" s="38" t="s">
        <v>46</v>
      </c>
      <c r="H39" s="40">
        <v>1</v>
      </c>
      <c r="I39" s="369">
        <v>19000</v>
      </c>
      <c r="J39" s="42"/>
      <c r="K39" s="354">
        <f t="shared" si="0"/>
        <v>19000</v>
      </c>
      <c r="L39" s="109" t="s">
        <v>438</v>
      </c>
    </row>
    <row r="40" spans="3:12" ht="39" x14ac:dyDescent="0.35">
      <c r="C40" s="37">
        <v>810080</v>
      </c>
      <c r="D40" s="410"/>
      <c r="E40" s="64" t="s">
        <v>62</v>
      </c>
      <c r="F40" s="39" t="s">
        <v>63</v>
      </c>
      <c r="G40" s="38" t="s">
        <v>46</v>
      </c>
      <c r="H40" s="40">
        <v>1</v>
      </c>
      <c r="I40" s="115">
        <v>1500</v>
      </c>
      <c r="J40" s="42"/>
      <c r="K40" s="66">
        <f t="shared" si="0"/>
        <v>1500</v>
      </c>
    </row>
    <row r="41" spans="3:12" x14ac:dyDescent="0.35">
      <c r="C41" s="37">
        <v>810080</v>
      </c>
      <c r="D41" s="410"/>
      <c r="E41" s="64" t="s">
        <v>64</v>
      </c>
      <c r="F41" s="39" t="s">
        <v>65</v>
      </c>
      <c r="G41" s="38" t="s">
        <v>46</v>
      </c>
      <c r="H41" s="40">
        <v>1</v>
      </c>
      <c r="I41" s="250">
        <v>11500</v>
      </c>
      <c r="J41" s="249"/>
      <c r="K41" s="66">
        <f t="shared" si="0"/>
        <v>11500</v>
      </c>
    </row>
    <row r="42" spans="3:12" ht="43.5" x14ac:dyDescent="0.35">
      <c r="C42" s="37">
        <v>810080</v>
      </c>
      <c r="D42" s="410"/>
      <c r="E42" s="64" t="s">
        <v>66</v>
      </c>
      <c r="F42" s="63" t="s">
        <v>67</v>
      </c>
      <c r="G42" s="38" t="s">
        <v>206</v>
      </c>
      <c r="H42" s="44">
        <f>(65.97*3)+(26*3.1*2)</f>
        <v>359.11</v>
      </c>
      <c r="I42" s="115">
        <f>(75+65+20)*1.35</f>
        <v>216</v>
      </c>
      <c r="J42" s="328">
        <v>30</v>
      </c>
      <c r="K42" s="354">
        <f t="shared" si="0"/>
        <v>88341.060000000012</v>
      </c>
      <c r="L42" s="248" t="s">
        <v>453</v>
      </c>
    </row>
    <row r="43" spans="3:12" x14ac:dyDescent="0.35">
      <c r="C43" s="37">
        <v>810080</v>
      </c>
      <c r="D43" s="410"/>
      <c r="E43" s="64" t="s">
        <v>69</v>
      </c>
      <c r="F43" s="39" t="s">
        <v>70</v>
      </c>
      <c r="G43" s="38" t="s">
        <v>71</v>
      </c>
      <c r="H43" s="44">
        <v>6</v>
      </c>
      <c r="I43" s="115"/>
      <c r="J43" s="328">
        <v>17000</v>
      </c>
      <c r="K43" s="354">
        <f t="shared" si="0"/>
        <v>102000</v>
      </c>
    </row>
    <row r="44" spans="3:12" x14ac:dyDescent="0.35">
      <c r="C44" s="37">
        <v>810080</v>
      </c>
      <c r="D44" s="411"/>
      <c r="E44" s="64" t="s">
        <v>72</v>
      </c>
      <c r="F44" s="39" t="s">
        <v>73</v>
      </c>
      <c r="G44" s="38" t="s">
        <v>71</v>
      </c>
      <c r="H44" s="44">
        <v>1.5</v>
      </c>
      <c r="I44" s="115">
        <v>300</v>
      </c>
      <c r="J44" s="328">
        <f>3500*1.3</f>
        <v>4550</v>
      </c>
      <c r="K44" s="66">
        <f t="shared" si="0"/>
        <v>7275</v>
      </c>
    </row>
    <row r="45" spans="3:12" x14ac:dyDescent="0.35">
      <c r="C45" s="47"/>
      <c r="D45" s="47"/>
      <c r="E45" s="47" t="s">
        <v>74</v>
      </c>
      <c r="F45" s="48" t="s">
        <v>75</v>
      </c>
      <c r="G45" s="47"/>
      <c r="H45" s="49"/>
      <c r="I45" s="50"/>
      <c r="J45" s="51"/>
      <c r="K45" s="52">
        <f>SUM(K47:K76)</f>
        <v>1553189.89</v>
      </c>
    </row>
    <row r="46" spans="3:12" x14ac:dyDescent="0.35">
      <c r="C46" s="53"/>
      <c r="D46" s="54"/>
      <c r="E46" s="53"/>
      <c r="F46" s="55" t="s">
        <v>76</v>
      </c>
      <c r="G46" s="56"/>
      <c r="H46" s="57"/>
      <c r="I46" s="58"/>
      <c r="J46" s="59"/>
      <c r="K46" s="60"/>
    </row>
    <row r="47" spans="3:12" ht="43.5" x14ac:dyDescent="0.35">
      <c r="C47" s="61">
        <v>810080</v>
      </c>
      <c r="D47" s="410" t="s">
        <v>75</v>
      </c>
      <c r="E47" s="38" t="s">
        <v>77</v>
      </c>
      <c r="F47" s="63" t="s">
        <v>78</v>
      </c>
      <c r="G47" s="62" t="s">
        <v>79</v>
      </c>
      <c r="H47" s="44">
        <v>1507.34</v>
      </c>
      <c r="I47" s="369">
        <v>4</v>
      </c>
      <c r="J47" s="328">
        <v>18</v>
      </c>
      <c r="K47" s="354">
        <f t="shared" ref="K47:K52" si="1">H47*I47+J47*H47</f>
        <v>33161.479999999996</v>
      </c>
      <c r="L47" s="248" t="s">
        <v>385</v>
      </c>
    </row>
    <row r="48" spans="3:12" x14ac:dyDescent="0.35">
      <c r="C48" s="61">
        <v>810030</v>
      </c>
      <c r="D48" s="410"/>
      <c r="E48" s="38" t="s">
        <v>80</v>
      </c>
      <c r="F48" s="63" t="s">
        <v>81</v>
      </c>
      <c r="G48" s="62" t="s">
        <v>79</v>
      </c>
      <c r="H48" s="44">
        <v>1707.15</v>
      </c>
      <c r="I48" s="115">
        <v>10</v>
      </c>
      <c r="J48" s="328">
        <v>49</v>
      </c>
      <c r="K48" s="354">
        <f t="shared" si="1"/>
        <v>100721.85</v>
      </c>
      <c r="L48" s="117" t="s">
        <v>373</v>
      </c>
    </row>
    <row r="49" spans="3:15" ht="26" x14ac:dyDescent="0.35">
      <c r="C49" s="61">
        <v>810041</v>
      </c>
      <c r="D49" s="410"/>
      <c r="E49" s="38" t="s">
        <v>82</v>
      </c>
      <c r="F49" s="63" t="s">
        <v>83</v>
      </c>
      <c r="G49" s="62" t="s">
        <v>79</v>
      </c>
      <c r="H49" s="44">
        <v>151.91</v>
      </c>
      <c r="I49" s="115">
        <v>20</v>
      </c>
      <c r="J49" s="328">
        <v>34.5</v>
      </c>
      <c r="K49" s="66">
        <f t="shared" si="1"/>
        <v>8279.0949999999993</v>
      </c>
      <c r="L49" s="258"/>
    </row>
    <row r="50" spans="3:15" x14ac:dyDescent="0.35">
      <c r="C50" s="61">
        <v>810041</v>
      </c>
      <c r="D50" s="410"/>
      <c r="E50" s="38" t="s">
        <v>84</v>
      </c>
      <c r="F50" s="349" t="s">
        <v>458</v>
      </c>
      <c r="G50" s="62" t="str">
        <f>G49</f>
        <v>m²</v>
      </c>
      <c r="H50" s="44">
        <v>2260.96</v>
      </c>
      <c r="I50" s="115">
        <v>19</v>
      </c>
      <c r="J50" s="328">
        <v>34.5</v>
      </c>
      <c r="K50" s="354">
        <f t="shared" si="1"/>
        <v>120961.35999999999</v>
      </c>
    </row>
    <row r="51" spans="3:15" x14ac:dyDescent="0.35">
      <c r="C51" s="61">
        <v>810041</v>
      </c>
      <c r="D51" s="410"/>
      <c r="E51" s="38" t="s">
        <v>86</v>
      </c>
      <c r="F51" s="349" t="s">
        <v>87</v>
      </c>
      <c r="G51" s="62" t="str">
        <f>G50</f>
        <v>m²</v>
      </c>
      <c r="H51" s="44">
        <v>101.33</v>
      </c>
      <c r="I51" s="115">
        <v>19</v>
      </c>
      <c r="J51" s="328">
        <v>34.5</v>
      </c>
      <c r="K51" s="66">
        <f t="shared" si="1"/>
        <v>5421.1549999999997</v>
      </c>
    </row>
    <row r="52" spans="3:15" ht="26" x14ac:dyDescent="0.35">
      <c r="C52" s="61">
        <v>810031</v>
      </c>
      <c r="D52" s="410"/>
      <c r="E52" s="64" t="s">
        <v>88</v>
      </c>
      <c r="F52" s="63" t="s">
        <v>89</v>
      </c>
      <c r="G52" s="62" t="s">
        <v>90</v>
      </c>
      <c r="H52" s="44">
        <v>48</v>
      </c>
      <c r="I52" s="115">
        <v>580</v>
      </c>
      <c r="J52" s="328"/>
      <c r="K52" s="66">
        <f t="shared" si="1"/>
        <v>27840</v>
      </c>
      <c r="L52" s="109" t="s">
        <v>278</v>
      </c>
    </row>
    <row r="53" spans="3:15" x14ac:dyDescent="0.35">
      <c r="C53" s="61"/>
      <c r="D53" s="410"/>
      <c r="E53" s="53"/>
      <c r="F53" s="55" t="s">
        <v>91</v>
      </c>
      <c r="G53" s="56"/>
      <c r="H53" s="57"/>
      <c r="I53" s="58"/>
      <c r="J53" s="59"/>
      <c r="K53" s="60"/>
    </row>
    <row r="54" spans="3:15" x14ac:dyDescent="0.35">
      <c r="C54" s="61">
        <v>810041</v>
      </c>
      <c r="D54" s="410"/>
      <c r="E54" s="38" t="s">
        <v>92</v>
      </c>
      <c r="F54" s="63" t="s">
        <v>93</v>
      </c>
      <c r="G54" s="62" t="s">
        <v>79</v>
      </c>
      <c r="H54" s="44">
        <f>1556+1962</f>
        <v>3518</v>
      </c>
      <c r="I54" s="115">
        <v>0</v>
      </c>
      <c r="J54" s="328">
        <v>25</v>
      </c>
      <c r="K54" s="66">
        <f t="shared" ref="K54:K63" si="2">H54*I54+J54*H54</f>
        <v>87950</v>
      </c>
      <c r="L54" s="248" t="s">
        <v>452</v>
      </c>
    </row>
    <row r="55" spans="3:15" ht="29" x14ac:dyDescent="0.35">
      <c r="C55" s="61">
        <v>810041</v>
      </c>
      <c r="D55" s="410"/>
      <c r="E55" s="38" t="s">
        <v>94</v>
      </c>
      <c r="F55" s="63" t="s">
        <v>95</v>
      </c>
      <c r="G55" s="62" t="s">
        <v>79</v>
      </c>
      <c r="H55" s="44">
        <f>2163.15-83.8+1000</f>
        <v>3079.35</v>
      </c>
      <c r="I55" s="115"/>
      <c r="J55" s="328">
        <v>55</v>
      </c>
      <c r="K55" s="66">
        <f t="shared" si="2"/>
        <v>169364.25</v>
      </c>
      <c r="L55" s="117" t="s">
        <v>284</v>
      </c>
    </row>
    <row r="56" spans="3:15" x14ac:dyDescent="0.35">
      <c r="C56" s="61"/>
      <c r="D56" s="410"/>
      <c r="E56" s="38" t="s">
        <v>96</v>
      </c>
      <c r="F56" s="63" t="s">
        <v>344</v>
      </c>
      <c r="G56" s="62" t="s">
        <v>79</v>
      </c>
      <c r="H56" s="44">
        <v>62.92</v>
      </c>
      <c r="I56" s="115">
        <v>450</v>
      </c>
      <c r="J56" s="328">
        <v>50</v>
      </c>
      <c r="K56" s="66">
        <f t="shared" si="2"/>
        <v>31460</v>
      </c>
      <c r="L56" s="109" t="s">
        <v>438</v>
      </c>
    </row>
    <row r="57" spans="3:15" x14ac:dyDescent="0.35">
      <c r="C57" s="61">
        <v>810041</v>
      </c>
      <c r="D57" s="410"/>
      <c r="E57" s="38" t="s">
        <v>97</v>
      </c>
      <c r="F57" s="63" t="s">
        <v>98</v>
      </c>
      <c r="G57" s="62" t="s">
        <v>79</v>
      </c>
      <c r="H57" s="284">
        <v>1000</v>
      </c>
      <c r="I57" s="115">
        <v>16</v>
      </c>
      <c r="J57" s="328">
        <v>34.5</v>
      </c>
      <c r="K57" s="66">
        <f t="shared" si="2"/>
        <v>50500</v>
      </c>
      <c r="L57" s="248" t="s">
        <v>456</v>
      </c>
    </row>
    <row r="58" spans="3:15" ht="26" x14ac:dyDescent="0.35">
      <c r="C58" s="61">
        <v>810041</v>
      </c>
      <c r="D58" s="410"/>
      <c r="E58" s="38" t="s">
        <v>99</v>
      </c>
      <c r="F58" s="293" t="s">
        <v>401</v>
      </c>
      <c r="G58" s="353" t="s">
        <v>79</v>
      </c>
      <c r="H58" s="284">
        <v>911</v>
      </c>
      <c r="I58" s="115">
        <v>16</v>
      </c>
      <c r="J58" s="328">
        <v>35</v>
      </c>
      <c r="K58" s="66">
        <f t="shared" si="2"/>
        <v>46461</v>
      </c>
    </row>
    <row r="59" spans="3:15" ht="26" x14ac:dyDescent="0.35">
      <c r="C59" s="61">
        <v>810230</v>
      </c>
      <c r="D59" s="410"/>
      <c r="E59" s="38" t="s">
        <v>101</v>
      </c>
      <c r="F59" s="63" t="s">
        <v>102</v>
      </c>
      <c r="G59" s="62" t="s">
        <v>103</v>
      </c>
      <c r="H59" s="44">
        <f>425</f>
        <v>425</v>
      </c>
      <c r="I59" s="115">
        <v>5</v>
      </c>
      <c r="J59" s="328">
        <v>15</v>
      </c>
      <c r="K59" s="66">
        <f t="shared" si="2"/>
        <v>8500</v>
      </c>
    </row>
    <row r="60" spans="3:15" ht="29" x14ac:dyDescent="0.35">
      <c r="C60" s="61">
        <v>810041</v>
      </c>
      <c r="D60" s="410"/>
      <c r="E60" s="38" t="s">
        <v>104</v>
      </c>
      <c r="F60" s="63" t="s">
        <v>105</v>
      </c>
      <c r="G60" s="62" t="s">
        <v>103</v>
      </c>
      <c r="H60" s="44">
        <v>0</v>
      </c>
      <c r="I60" s="115"/>
      <c r="J60" s="328"/>
      <c r="K60" s="66">
        <f t="shared" si="2"/>
        <v>0</v>
      </c>
      <c r="L60" s="248" t="s">
        <v>382</v>
      </c>
      <c r="M60" s="108"/>
      <c r="N60" s="108"/>
      <c r="O60" s="108"/>
    </row>
    <row r="61" spans="3:15" x14ac:dyDescent="0.35">
      <c r="C61" s="61">
        <v>810210</v>
      </c>
      <c r="D61" s="410"/>
      <c r="E61" s="38" t="s">
        <v>106</v>
      </c>
      <c r="F61" s="63" t="s">
        <v>107</v>
      </c>
      <c r="G61" s="353" t="s">
        <v>228</v>
      </c>
      <c r="H61" s="44">
        <f>32.91+50.89</f>
        <v>83.8</v>
      </c>
      <c r="I61" s="115">
        <v>200</v>
      </c>
      <c r="J61" s="328">
        <v>30</v>
      </c>
      <c r="K61" s="354">
        <f t="shared" si="2"/>
        <v>19274</v>
      </c>
    </row>
    <row r="62" spans="3:15" x14ac:dyDescent="0.35">
      <c r="C62" s="61">
        <v>810210</v>
      </c>
      <c r="D62" s="410"/>
      <c r="E62" s="38" t="s">
        <v>108</v>
      </c>
      <c r="F62" s="63" t="s">
        <v>109</v>
      </c>
      <c r="G62" s="62" t="s">
        <v>228</v>
      </c>
      <c r="H62" s="44">
        <f>H61</f>
        <v>83.8</v>
      </c>
      <c r="I62" s="115">
        <v>120</v>
      </c>
      <c r="J62" s="328">
        <v>30</v>
      </c>
      <c r="K62" s="354">
        <f t="shared" si="2"/>
        <v>12570</v>
      </c>
    </row>
    <row r="63" spans="3:15" ht="26" x14ac:dyDescent="0.35">
      <c r="C63" s="61">
        <v>810041</v>
      </c>
      <c r="D63" s="410"/>
      <c r="E63" s="38" t="s">
        <v>110</v>
      </c>
      <c r="F63" s="63" t="s">
        <v>111</v>
      </c>
      <c r="G63" s="65" t="s">
        <v>79</v>
      </c>
      <c r="H63" s="284">
        <v>1716</v>
      </c>
      <c r="I63" s="115">
        <v>19</v>
      </c>
      <c r="J63" s="328">
        <v>34.5</v>
      </c>
      <c r="K63" s="354">
        <f t="shared" si="2"/>
        <v>91806</v>
      </c>
      <c r="L63" s="248" t="s">
        <v>456</v>
      </c>
    </row>
    <row r="64" spans="3:15" x14ac:dyDescent="0.35">
      <c r="C64" s="61">
        <v>810051</v>
      </c>
      <c r="D64" s="410"/>
      <c r="E64" s="53"/>
      <c r="F64" s="55" t="s">
        <v>112</v>
      </c>
      <c r="G64" s="56"/>
      <c r="H64" s="57"/>
      <c r="I64" s="58"/>
      <c r="J64" s="59"/>
      <c r="K64" s="60"/>
    </row>
    <row r="65" spans="3:15" x14ac:dyDescent="0.35">
      <c r="C65" s="61">
        <v>810051</v>
      </c>
      <c r="D65" s="410"/>
      <c r="E65" s="38" t="s">
        <v>113</v>
      </c>
      <c r="F65" s="63" t="s">
        <v>114</v>
      </c>
      <c r="G65" s="62" t="s">
        <v>79</v>
      </c>
      <c r="H65" s="284">
        <v>3200</v>
      </c>
      <c r="I65" s="115">
        <v>0</v>
      </c>
      <c r="J65" s="328">
        <v>29</v>
      </c>
      <c r="K65" s="354">
        <f t="shared" ref="K65:K71" si="3">H65*I65+J65*H65</f>
        <v>92800</v>
      </c>
      <c r="L65" s="248" t="s">
        <v>456</v>
      </c>
    </row>
    <row r="66" spans="3:15" x14ac:dyDescent="0.35">
      <c r="C66" s="61">
        <v>810051</v>
      </c>
      <c r="D66" s="410"/>
      <c r="E66" s="38" t="s">
        <v>115</v>
      </c>
      <c r="F66" s="63" t="s">
        <v>272</v>
      </c>
      <c r="G66" s="62" t="s">
        <v>79</v>
      </c>
      <c r="H66" s="44">
        <f>H65</f>
        <v>3200</v>
      </c>
      <c r="I66" s="376">
        <v>45</v>
      </c>
      <c r="J66" s="328">
        <v>40</v>
      </c>
      <c r="K66" s="354">
        <f t="shared" si="3"/>
        <v>272000</v>
      </c>
    </row>
    <row r="67" spans="3:15" ht="26" x14ac:dyDescent="0.35">
      <c r="C67" s="61">
        <v>810051</v>
      </c>
      <c r="D67" s="410"/>
      <c r="E67" s="64" t="s">
        <v>116</v>
      </c>
      <c r="F67" s="63" t="s">
        <v>117</v>
      </c>
      <c r="G67" s="62" t="s">
        <v>79</v>
      </c>
      <c r="H67" s="44">
        <v>3171.75</v>
      </c>
      <c r="I67" s="115">
        <v>5</v>
      </c>
      <c r="J67" s="328">
        <v>90</v>
      </c>
      <c r="K67" s="354">
        <f t="shared" si="3"/>
        <v>301316.25</v>
      </c>
    </row>
    <row r="68" spans="3:15" ht="26" x14ac:dyDescent="0.35">
      <c r="C68" s="61">
        <v>810051</v>
      </c>
      <c r="D68" s="410"/>
      <c r="E68" s="64" t="s">
        <v>118</v>
      </c>
      <c r="F68" s="63" t="s">
        <v>345</v>
      </c>
      <c r="G68" s="62" t="s">
        <v>79</v>
      </c>
      <c r="H68" s="44">
        <v>272.5</v>
      </c>
      <c r="I68" s="115">
        <v>5</v>
      </c>
      <c r="J68" s="328">
        <v>50</v>
      </c>
      <c r="K68" s="66">
        <f t="shared" si="3"/>
        <v>14987.5</v>
      </c>
      <c r="L68" s="248"/>
    </row>
    <row r="69" spans="3:15" x14ac:dyDescent="0.35">
      <c r="C69" s="61">
        <v>810051</v>
      </c>
      <c r="D69" s="410"/>
      <c r="E69" s="38" t="s">
        <v>120</v>
      </c>
      <c r="F69" s="63" t="s">
        <v>356</v>
      </c>
      <c r="G69" s="62" t="s">
        <v>68</v>
      </c>
      <c r="H69" s="284">
        <v>293</v>
      </c>
      <c r="I69" s="115">
        <v>30</v>
      </c>
      <c r="J69" s="328">
        <v>10</v>
      </c>
      <c r="K69" s="354">
        <f t="shared" si="3"/>
        <v>11720</v>
      </c>
      <c r="L69" s="248" t="s">
        <v>456</v>
      </c>
    </row>
    <row r="70" spans="3:15" x14ac:dyDescent="0.35">
      <c r="C70" s="61"/>
      <c r="D70" s="410"/>
      <c r="E70" s="38" t="s">
        <v>122</v>
      </c>
      <c r="F70" s="63" t="s">
        <v>346</v>
      </c>
      <c r="G70" s="62" t="s">
        <v>68</v>
      </c>
      <c r="H70" s="284">
        <v>296.3</v>
      </c>
      <c r="I70" s="115">
        <v>10</v>
      </c>
      <c r="J70" s="328">
        <v>10</v>
      </c>
      <c r="K70" s="66">
        <f t="shared" si="3"/>
        <v>5926</v>
      </c>
      <c r="L70" s="248" t="s">
        <v>456</v>
      </c>
      <c r="M70" t="s">
        <v>457</v>
      </c>
    </row>
    <row r="71" spans="3:15" ht="39" x14ac:dyDescent="0.35">
      <c r="C71" s="61">
        <v>810051</v>
      </c>
      <c r="D71" s="410"/>
      <c r="E71" s="38" t="s">
        <v>125</v>
      </c>
      <c r="F71" s="63" t="s">
        <v>123</v>
      </c>
      <c r="G71" s="62" t="s">
        <v>79</v>
      </c>
      <c r="H71" s="44">
        <v>163.22999999999999</v>
      </c>
      <c r="I71" s="115">
        <v>35</v>
      </c>
      <c r="J71" s="328">
        <v>30</v>
      </c>
      <c r="K71" s="66">
        <f t="shared" si="3"/>
        <v>10609.949999999999</v>
      </c>
    </row>
    <row r="72" spans="3:15" x14ac:dyDescent="0.35">
      <c r="C72" s="61">
        <v>810210</v>
      </c>
      <c r="D72" s="410"/>
      <c r="E72" s="53"/>
      <c r="F72" s="55" t="s">
        <v>124</v>
      </c>
      <c r="G72" s="56"/>
      <c r="H72" s="57"/>
      <c r="I72" s="58"/>
      <c r="J72" s="59"/>
      <c r="K72" s="60"/>
    </row>
    <row r="73" spans="3:15" x14ac:dyDescent="0.35">
      <c r="C73" s="346">
        <v>810210</v>
      </c>
      <c r="D73" s="410"/>
      <c r="E73" s="348" t="s">
        <v>125</v>
      </c>
      <c r="F73" s="63" t="s">
        <v>126</v>
      </c>
      <c r="G73" s="348" t="s">
        <v>79</v>
      </c>
      <c r="H73" s="367">
        <f>48*4</f>
        <v>192</v>
      </c>
      <c r="I73" s="360">
        <v>120</v>
      </c>
      <c r="J73" s="359">
        <v>10</v>
      </c>
      <c r="K73" s="350">
        <f>H73*I73+J73*H73</f>
        <v>24960</v>
      </c>
      <c r="L73" s="351" t="s">
        <v>439</v>
      </c>
    </row>
    <row r="74" spans="3:15" x14ac:dyDescent="0.35">
      <c r="C74" s="61">
        <v>810210</v>
      </c>
      <c r="D74" s="410"/>
      <c r="E74" s="38" t="s">
        <v>127</v>
      </c>
      <c r="F74" s="63" t="s">
        <v>128</v>
      </c>
      <c r="G74" s="38" t="s">
        <v>103</v>
      </c>
      <c r="H74" s="44"/>
      <c r="I74" s="115"/>
      <c r="J74" s="328"/>
      <c r="K74" s="66">
        <f>H74*I74+J74*H74</f>
        <v>0</v>
      </c>
    </row>
    <row r="75" spans="3:15" x14ac:dyDescent="0.35">
      <c r="C75" s="61">
        <v>810210</v>
      </c>
      <c r="D75" s="410"/>
      <c r="E75" s="38" t="s">
        <v>129</v>
      </c>
      <c r="F75" s="63" t="s">
        <v>130</v>
      </c>
      <c r="G75" s="38" t="s">
        <v>103</v>
      </c>
      <c r="H75" s="44">
        <v>2</v>
      </c>
      <c r="I75" s="115">
        <v>500</v>
      </c>
      <c r="J75" s="328"/>
      <c r="K75" s="66">
        <f>H75*I75+J75*H75</f>
        <v>1000</v>
      </c>
    </row>
    <row r="76" spans="3:15" x14ac:dyDescent="0.35">
      <c r="C76" s="61">
        <v>810210</v>
      </c>
      <c r="D76" s="67"/>
      <c r="E76" s="38" t="s">
        <v>131</v>
      </c>
      <c r="F76" s="63" t="s">
        <v>132</v>
      </c>
      <c r="G76" s="38" t="s">
        <v>103</v>
      </c>
      <c r="H76" s="44">
        <v>6</v>
      </c>
      <c r="I76" s="115">
        <v>600</v>
      </c>
      <c r="J76" s="328"/>
      <c r="K76" s="66">
        <f>H76*I76+J76*H76</f>
        <v>3600</v>
      </c>
    </row>
    <row r="77" spans="3:15" x14ac:dyDescent="0.35">
      <c r="C77" s="68"/>
      <c r="D77" s="68"/>
      <c r="E77" s="47" t="s">
        <v>133</v>
      </c>
      <c r="F77" s="48" t="s">
        <v>134</v>
      </c>
      <c r="G77" s="47"/>
      <c r="H77" s="49"/>
      <c r="I77" s="50"/>
      <c r="J77" s="51"/>
      <c r="K77" s="52">
        <f>SUM(K78:K101)</f>
        <v>300217.77500000002</v>
      </c>
    </row>
    <row r="78" spans="3:15" x14ac:dyDescent="0.35">
      <c r="C78" s="61">
        <v>810213</v>
      </c>
      <c r="D78" s="294"/>
      <c r="E78" s="38" t="s">
        <v>135</v>
      </c>
      <c r="F78" s="299" t="s">
        <v>402</v>
      </c>
      <c r="G78" s="300" t="s">
        <v>228</v>
      </c>
      <c r="H78" s="44">
        <f>(31.25+90)+131.6</f>
        <v>252.85</v>
      </c>
      <c r="I78" s="355">
        <v>5</v>
      </c>
      <c r="J78" s="356">
        <v>30</v>
      </c>
      <c r="K78" s="66">
        <f t="shared" ref="K78:K101" si="4">H78*I78+J78*H78</f>
        <v>8849.75</v>
      </c>
    </row>
    <row r="79" spans="3:15" x14ac:dyDescent="0.35">
      <c r="C79" s="61">
        <v>810213</v>
      </c>
      <c r="D79" s="294"/>
      <c r="E79" s="38" t="s">
        <v>137</v>
      </c>
      <c r="F79" s="63" t="s">
        <v>93</v>
      </c>
      <c r="G79" s="300" t="s">
        <v>228</v>
      </c>
      <c r="H79" s="44"/>
      <c r="I79" s="361"/>
      <c r="J79" s="356"/>
      <c r="K79" s="66">
        <f t="shared" si="4"/>
        <v>0</v>
      </c>
      <c r="L79" s="109" t="s">
        <v>440</v>
      </c>
      <c r="M79" s="108"/>
      <c r="N79" s="108"/>
      <c r="O79" s="108"/>
    </row>
    <row r="80" spans="3:15" x14ac:dyDescent="0.35">
      <c r="C80" s="61">
        <v>810213</v>
      </c>
      <c r="D80" s="294"/>
      <c r="E80" s="38" t="s">
        <v>139</v>
      </c>
      <c r="F80" s="63" t="s">
        <v>403</v>
      </c>
      <c r="G80" s="300" t="s">
        <v>228</v>
      </c>
      <c r="H80" s="44"/>
      <c r="I80" s="361"/>
      <c r="J80" s="356"/>
      <c r="K80" s="66">
        <f t="shared" si="4"/>
        <v>0</v>
      </c>
      <c r="L80" s="109" t="s">
        <v>440</v>
      </c>
      <c r="M80" s="108"/>
      <c r="N80" s="108"/>
      <c r="O80" s="108"/>
    </row>
    <row r="81" spans="3:12" ht="39" x14ac:dyDescent="0.35">
      <c r="C81" s="61">
        <v>810213</v>
      </c>
      <c r="D81" s="409" t="s">
        <v>134</v>
      </c>
      <c r="E81" s="38" t="s">
        <v>141</v>
      </c>
      <c r="F81" s="39" t="s">
        <v>136</v>
      </c>
      <c r="G81" s="62" t="s">
        <v>79</v>
      </c>
      <c r="H81" s="40">
        <v>272.51</v>
      </c>
      <c r="I81" s="69">
        <v>10</v>
      </c>
      <c r="J81" s="70">
        <f>J55</f>
        <v>55</v>
      </c>
      <c r="K81" s="354">
        <f t="shared" si="4"/>
        <v>17713.149999999998</v>
      </c>
      <c r="L81" s="117" t="s">
        <v>375</v>
      </c>
    </row>
    <row r="82" spans="3:12" x14ac:dyDescent="0.35">
      <c r="C82" s="61">
        <v>810213</v>
      </c>
      <c r="D82" s="410"/>
      <c r="E82" s="38" t="s">
        <v>143</v>
      </c>
      <c r="F82" s="63" t="s">
        <v>138</v>
      </c>
      <c r="G82" s="62" t="s">
        <v>79</v>
      </c>
      <c r="H82" s="44">
        <v>0</v>
      </c>
      <c r="I82" s="115">
        <v>80</v>
      </c>
      <c r="J82" s="328">
        <f>(35*1.35)+20</f>
        <v>67.25</v>
      </c>
      <c r="K82" s="66">
        <f t="shared" si="4"/>
        <v>0</v>
      </c>
      <c r="L82" s="370" t="s">
        <v>451</v>
      </c>
    </row>
    <row r="83" spans="3:12" ht="26" x14ac:dyDescent="0.35">
      <c r="C83" s="61">
        <v>810213</v>
      </c>
      <c r="D83" s="410"/>
      <c r="E83" s="38" t="s">
        <v>145</v>
      </c>
      <c r="F83" s="63" t="s">
        <v>140</v>
      </c>
      <c r="G83" s="62" t="s">
        <v>79</v>
      </c>
      <c r="H83" s="44">
        <f>30.5+10.4</f>
        <v>40.9</v>
      </c>
      <c r="I83" s="115">
        <v>10</v>
      </c>
      <c r="J83" s="328">
        <f>35*1.35</f>
        <v>47.25</v>
      </c>
      <c r="K83" s="66">
        <f t="shared" si="4"/>
        <v>2341.5249999999996</v>
      </c>
      <c r="L83" s="117" t="s">
        <v>375</v>
      </c>
    </row>
    <row r="84" spans="3:12" x14ac:dyDescent="0.35">
      <c r="C84" s="61">
        <v>810213</v>
      </c>
      <c r="D84" s="410"/>
      <c r="E84" s="38" t="s">
        <v>146</v>
      </c>
      <c r="F84" s="63" t="s">
        <v>142</v>
      </c>
      <c r="G84" s="38" t="s">
        <v>103</v>
      </c>
      <c r="H84" s="40">
        <f>124-61</f>
        <v>63</v>
      </c>
      <c r="I84" s="69">
        <v>180</v>
      </c>
      <c r="J84" s="70"/>
      <c r="K84" s="66">
        <f t="shared" si="4"/>
        <v>11340</v>
      </c>
      <c r="L84" s="109" t="s">
        <v>285</v>
      </c>
    </row>
    <row r="85" spans="3:12" ht="39" x14ac:dyDescent="0.35">
      <c r="C85" s="61">
        <v>810213</v>
      </c>
      <c r="D85" s="410"/>
      <c r="E85" s="38" t="s">
        <v>148</v>
      </c>
      <c r="F85" s="63" t="s">
        <v>144</v>
      </c>
      <c r="G85" s="62" t="s">
        <v>79</v>
      </c>
      <c r="H85" s="40">
        <f>272.51</f>
        <v>272.51</v>
      </c>
      <c r="I85" s="69">
        <v>30</v>
      </c>
      <c r="J85" s="70">
        <v>55</v>
      </c>
      <c r="K85" s="354">
        <f t="shared" si="4"/>
        <v>23163.35</v>
      </c>
    </row>
    <row r="86" spans="3:12" x14ac:dyDescent="0.35">
      <c r="C86" s="61">
        <v>810213</v>
      </c>
      <c r="D86" s="410"/>
      <c r="E86" s="38" t="s">
        <v>150</v>
      </c>
      <c r="F86" s="39" t="s">
        <v>121</v>
      </c>
      <c r="G86" s="62" t="s">
        <v>68</v>
      </c>
      <c r="H86" s="284">
        <v>210</v>
      </c>
      <c r="I86" s="324">
        <v>65</v>
      </c>
      <c r="J86" s="325">
        <v>30</v>
      </c>
      <c r="K86" s="354">
        <f t="shared" si="4"/>
        <v>19950</v>
      </c>
      <c r="L86" s="248" t="s">
        <v>456</v>
      </c>
    </row>
    <row r="87" spans="3:12" ht="26" x14ac:dyDescent="0.35">
      <c r="C87" s="61">
        <v>810213</v>
      </c>
      <c r="D87" s="410"/>
      <c r="E87" s="38" t="s">
        <v>152</v>
      </c>
      <c r="F87" s="63" t="s">
        <v>147</v>
      </c>
      <c r="G87" s="62" t="s">
        <v>103</v>
      </c>
      <c r="H87" s="44">
        <v>63</v>
      </c>
      <c r="I87" s="252">
        <v>250</v>
      </c>
      <c r="J87" s="377">
        <v>15</v>
      </c>
      <c r="K87" s="66">
        <f t="shared" si="4"/>
        <v>16695</v>
      </c>
    </row>
    <row r="88" spans="3:12" ht="26" x14ac:dyDescent="0.35">
      <c r="C88" s="61">
        <v>810213</v>
      </c>
      <c r="D88" s="410"/>
      <c r="E88" s="38" t="s">
        <v>154</v>
      </c>
      <c r="F88" s="63" t="s">
        <v>149</v>
      </c>
      <c r="G88" s="62" t="s">
        <v>103</v>
      </c>
      <c r="H88" s="44">
        <v>63</v>
      </c>
      <c r="I88" s="324">
        <v>800</v>
      </c>
      <c r="J88" s="325">
        <v>25</v>
      </c>
      <c r="K88" s="354">
        <f t="shared" si="4"/>
        <v>51975</v>
      </c>
      <c r="L88" s="109" t="s">
        <v>294</v>
      </c>
    </row>
    <row r="89" spans="3:12" x14ac:dyDescent="0.35">
      <c r="C89" s="61">
        <v>810213</v>
      </c>
      <c r="D89" s="410"/>
      <c r="E89" s="38" t="s">
        <v>156</v>
      </c>
      <c r="F89" s="63" t="s">
        <v>151</v>
      </c>
      <c r="G89" s="62" t="s">
        <v>103</v>
      </c>
      <c r="H89" s="44">
        <v>63</v>
      </c>
      <c r="I89" s="324">
        <v>140</v>
      </c>
      <c r="J89" s="325">
        <v>30</v>
      </c>
      <c r="K89" s="66">
        <f t="shared" si="4"/>
        <v>10710</v>
      </c>
    </row>
    <row r="90" spans="3:12" ht="26" x14ac:dyDescent="0.35">
      <c r="C90" s="61">
        <v>810213</v>
      </c>
      <c r="D90" s="410"/>
      <c r="E90" s="38" t="s">
        <v>158</v>
      </c>
      <c r="F90" s="63" t="s">
        <v>153</v>
      </c>
      <c r="G90" s="62" t="s">
        <v>79</v>
      </c>
      <c r="H90" s="44">
        <f>6*1.3*2.5</f>
        <v>19.5</v>
      </c>
      <c r="I90" s="324">
        <v>550</v>
      </c>
      <c r="J90" s="325">
        <v>100</v>
      </c>
      <c r="K90" s="354">
        <f t="shared" si="4"/>
        <v>12675</v>
      </c>
      <c r="L90" s="257"/>
    </row>
    <row r="91" spans="3:12" ht="26" x14ac:dyDescent="0.35">
      <c r="C91" s="61">
        <v>810213</v>
      </c>
      <c r="D91" s="410"/>
      <c r="E91" s="38" t="s">
        <v>160</v>
      </c>
      <c r="F91" s="63" t="s">
        <v>155</v>
      </c>
      <c r="G91" s="38" t="s">
        <v>103</v>
      </c>
      <c r="H91" s="44">
        <v>4</v>
      </c>
      <c r="I91" s="324">
        <v>2400</v>
      </c>
      <c r="J91" s="325">
        <v>300</v>
      </c>
      <c r="K91" s="66">
        <f t="shared" si="4"/>
        <v>10800</v>
      </c>
    </row>
    <row r="92" spans="3:12" x14ac:dyDescent="0.35">
      <c r="C92" s="61">
        <v>810213</v>
      </c>
      <c r="D92" s="410"/>
      <c r="E92" s="38" t="s">
        <v>162</v>
      </c>
      <c r="F92" s="63" t="s">
        <v>157</v>
      </c>
      <c r="G92" s="38" t="s">
        <v>46</v>
      </c>
      <c r="H92" s="44">
        <v>2</v>
      </c>
      <c r="I92" s="324">
        <v>9000</v>
      </c>
      <c r="J92" s="325"/>
      <c r="K92" s="66">
        <f t="shared" si="4"/>
        <v>18000</v>
      </c>
    </row>
    <row r="93" spans="3:12" x14ac:dyDescent="0.35">
      <c r="C93" s="61">
        <v>810213</v>
      </c>
      <c r="D93" s="410"/>
      <c r="E93" s="38" t="s">
        <v>164</v>
      </c>
      <c r="F93" s="63" t="s">
        <v>159</v>
      </c>
      <c r="G93" s="38" t="s">
        <v>103</v>
      </c>
      <c r="H93" s="44">
        <v>63</v>
      </c>
      <c r="I93" s="324">
        <v>600</v>
      </c>
      <c r="J93" s="325">
        <v>200</v>
      </c>
      <c r="K93" s="354">
        <f t="shared" si="4"/>
        <v>50400</v>
      </c>
    </row>
    <row r="94" spans="3:12" x14ac:dyDescent="0.35">
      <c r="C94" s="61">
        <v>810213</v>
      </c>
      <c r="D94" s="410"/>
      <c r="E94" s="38" t="s">
        <v>165</v>
      </c>
      <c r="F94" s="63" t="s">
        <v>161</v>
      </c>
      <c r="G94" s="38" t="s">
        <v>46</v>
      </c>
      <c r="H94" s="44">
        <v>63</v>
      </c>
      <c r="I94" s="252">
        <v>100</v>
      </c>
      <c r="J94" s="253">
        <v>100</v>
      </c>
      <c r="K94" s="66">
        <f t="shared" si="4"/>
        <v>12600</v>
      </c>
    </row>
    <row r="95" spans="3:12" x14ac:dyDescent="0.35">
      <c r="C95" s="61">
        <v>810213</v>
      </c>
      <c r="D95" s="410"/>
      <c r="E95" s="38" t="s">
        <v>167</v>
      </c>
      <c r="F95" s="39" t="s">
        <v>163</v>
      </c>
      <c r="G95" s="38" t="s">
        <v>103</v>
      </c>
      <c r="H95" s="44"/>
      <c r="I95" s="324"/>
      <c r="J95" s="325"/>
      <c r="K95" s="66">
        <f t="shared" si="4"/>
        <v>0</v>
      </c>
      <c r="L95" s="109" t="s">
        <v>379</v>
      </c>
    </row>
    <row r="96" spans="3:12" x14ac:dyDescent="0.35">
      <c r="C96" s="61">
        <v>810213</v>
      </c>
      <c r="D96" s="410"/>
      <c r="E96" s="38" t="s">
        <v>169</v>
      </c>
      <c r="F96" s="39" t="s">
        <v>126</v>
      </c>
      <c r="G96" s="38" t="s">
        <v>103</v>
      </c>
      <c r="H96" s="44"/>
      <c r="I96" s="324"/>
      <c r="J96" s="325"/>
      <c r="K96" s="66">
        <f t="shared" si="4"/>
        <v>0</v>
      </c>
      <c r="L96" s="109" t="s">
        <v>379</v>
      </c>
    </row>
    <row r="97" spans="3:12" x14ac:dyDescent="0.35">
      <c r="C97" s="61">
        <v>810213</v>
      </c>
      <c r="D97" s="410"/>
      <c r="E97" s="38" t="s">
        <v>171</v>
      </c>
      <c r="F97" s="39" t="s">
        <v>166</v>
      </c>
      <c r="G97" s="38" t="s">
        <v>103</v>
      </c>
      <c r="H97" s="44"/>
      <c r="I97" s="324"/>
      <c r="J97" s="325"/>
      <c r="K97" s="66">
        <f t="shared" si="4"/>
        <v>0</v>
      </c>
      <c r="L97" s="109" t="s">
        <v>378</v>
      </c>
    </row>
    <row r="98" spans="3:12" x14ac:dyDescent="0.35">
      <c r="C98" s="61">
        <v>810213</v>
      </c>
      <c r="D98" s="410"/>
      <c r="E98" s="38" t="s">
        <v>173</v>
      </c>
      <c r="F98" s="39" t="s">
        <v>168</v>
      </c>
      <c r="G98" s="38" t="s">
        <v>103</v>
      </c>
      <c r="H98" s="44">
        <v>4</v>
      </c>
      <c r="I98" s="324">
        <v>550</v>
      </c>
      <c r="J98" s="325">
        <v>50</v>
      </c>
      <c r="K98" s="66">
        <f t="shared" si="4"/>
        <v>2400</v>
      </c>
    </row>
    <row r="99" spans="3:12" x14ac:dyDescent="0.35">
      <c r="C99" s="61">
        <v>810213</v>
      </c>
      <c r="D99" s="410"/>
      <c r="E99" s="38" t="s">
        <v>404</v>
      </c>
      <c r="F99" s="39" t="s">
        <v>170</v>
      </c>
      <c r="G99" s="38" t="s">
        <v>103</v>
      </c>
      <c r="H99" s="44">
        <v>2</v>
      </c>
      <c r="I99" s="324">
        <v>450</v>
      </c>
      <c r="J99" s="325">
        <v>50</v>
      </c>
      <c r="K99" s="66">
        <f t="shared" si="4"/>
        <v>1000</v>
      </c>
    </row>
    <row r="100" spans="3:12" x14ac:dyDescent="0.35">
      <c r="C100" s="61">
        <v>810213</v>
      </c>
      <c r="D100" s="410"/>
      <c r="E100" s="38" t="s">
        <v>405</v>
      </c>
      <c r="F100" s="39" t="s">
        <v>172</v>
      </c>
      <c r="G100" s="38" t="s">
        <v>79</v>
      </c>
      <c r="H100" s="44">
        <f>35.2+10.8</f>
        <v>46</v>
      </c>
      <c r="I100" s="324">
        <v>100</v>
      </c>
      <c r="J100" s="325">
        <v>30</v>
      </c>
      <c r="K100" s="66">
        <f t="shared" si="4"/>
        <v>5980</v>
      </c>
    </row>
    <row r="101" spans="3:12" ht="26" x14ac:dyDescent="0.35">
      <c r="C101" s="61">
        <v>810213</v>
      </c>
      <c r="D101" s="411"/>
      <c r="E101" s="38" t="s">
        <v>406</v>
      </c>
      <c r="F101" s="39" t="s">
        <v>400</v>
      </c>
      <c r="G101" s="38" t="s">
        <v>103</v>
      </c>
      <c r="H101" s="284">
        <v>63</v>
      </c>
      <c r="I101" s="252">
        <v>350</v>
      </c>
      <c r="J101" s="253">
        <v>25</v>
      </c>
      <c r="K101" s="354">
        <f t="shared" si="4"/>
        <v>23625</v>
      </c>
    </row>
    <row r="102" spans="3:12" x14ac:dyDescent="0.35">
      <c r="C102" s="72"/>
      <c r="D102" s="72"/>
      <c r="E102" s="47" t="s">
        <v>175</v>
      </c>
      <c r="F102" s="48" t="s">
        <v>176</v>
      </c>
      <c r="G102" s="47"/>
      <c r="H102" s="49"/>
      <c r="I102" s="50"/>
      <c r="J102" s="51"/>
      <c r="K102" s="52">
        <f>SUM(K103:K114)</f>
        <v>234860.97500000001</v>
      </c>
    </row>
    <row r="103" spans="3:12" x14ac:dyDescent="0.35">
      <c r="C103" s="61">
        <v>810260</v>
      </c>
      <c r="D103" s="421" t="s">
        <v>176</v>
      </c>
      <c r="E103" s="38" t="s">
        <v>177</v>
      </c>
      <c r="F103" s="39" t="s">
        <v>178</v>
      </c>
      <c r="G103" s="64" t="s">
        <v>79</v>
      </c>
      <c r="H103" s="44">
        <v>118.5</v>
      </c>
      <c r="I103" s="115">
        <v>10</v>
      </c>
      <c r="J103" s="328">
        <v>70</v>
      </c>
      <c r="K103" s="43">
        <f t="shared" ref="K103:K114" si="5">H103*I103+J103*H103</f>
        <v>9480</v>
      </c>
    </row>
    <row r="104" spans="3:12" ht="26" x14ac:dyDescent="0.35">
      <c r="C104" s="61">
        <v>810260</v>
      </c>
      <c r="D104" s="422"/>
      <c r="E104" s="38" t="s">
        <v>179</v>
      </c>
      <c r="F104" s="63" t="s">
        <v>180</v>
      </c>
      <c r="G104" s="64" t="s">
        <v>79</v>
      </c>
      <c r="H104" s="44">
        <v>28.164999999999999</v>
      </c>
      <c r="I104" s="115">
        <v>10</v>
      </c>
      <c r="J104" s="328">
        <v>45</v>
      </c>
      <c r="K104" s="43">
        <f t="shared" si="5"/>
        <v>1549.0749999999998</v>
      </c>
      <c r="L104" s="117" t="s">
        <v>375</v>
      </c>
    </row>
    <row r="105" spans="3:12" ht="26" x14ac:dyDescent="0.35">
      <c r="C105" s="61">
        <v>810260</v>
      </c>
      <c r="D105" s="422"/>
      <c r="E105" s="38" t="s">
        <v>181</v>
      </c>
      <c r="F105" s="63" t="s">
        <v>182</v>
      </c>
      <c r="G105" s="64" t="s">
        <v>79</v>
      </c>
      <c r="H105" s="44">
        <f>H104*2</f>
        <v>56.33</v>
      </c>
      <c r="I105" s="115">
        <v>10</v>
      </c>
      <c r="J105" s="328">
        <v>67</v>
      </c>
      <c r="K105" s="43">
        <f t="shared" si="5"/>
        <v>4337.41</v>
      </c>
      <c r="L105" s="117" t="s">
        <v>375</v>
      </c>
    </row>
    <row r="106" spans="3:12" x14ac:dyDescent="0.35">
      <c r="C106" s="61">
        <v>810260</v>
      </c>
      <c r="D106" s="422"/>
      <c r="E106" s="38" t="s">
        <v>183</v>
      </c>
      <c r="F106" s="63" t="s">
        <v>184</v>
      </c>
      <c r="G106" s="64" t="s">
        <v>68</v>
      </c>
      <c r="H106" s="44">
        <f>24.49+48.28+48.28</f>
        <v>121.05</v>
      </c>
      <c r="I106" s="115">
        <v>85</v>
      </c>
      <c r="J106" s="328">
        <v>10</v>
      </c>
      <c r="K106" s="43">
        <f t="shared" si="5"/>
        <v>11499.75</v>
      </c>
    </row>
    <row r="107" spans="3:12" x14ac:dyDescent="0.35">
      <c r="C107" s="61">
        <v>810260</v>
      </c>
      <c r="D107" s="422"/>
      <c r="E107" s="38" t="s">
        <v>185</v>
      </c>
      <c r="F107" s="63" t="s">
        <v>186</v>
      </c>
      <c r="G107" s="64" t="s">
        <v>228</v>
      </c>
      <c r="H107" s="44">
        <v>62.16</v>
      </c>
      <c r="I107" s="369">
        <v>360</v>
      </c>
      <c r="J107" s="328"/>
      <c r="K107" s="368">
        <f t="shared" si="5"/>
        <v>22377.599999999999</v>
      </c>
    </row>
    <row r="108" spans="3:12" x14ac:dyDescent="0.35">
      <c r="C108" s="61">
        <v>810260</v>
      </c>
      <c r="D108" s="422"/>
      <c r="E108" s="64" t="s">
        <v>187</v>
      </c>
      <c r="F108" s="63" t="s">
        <v>121</v>
      </c>
      <c r="G108" s="64" t="s">
        <v>68</v>
      </c>
      <c r="H108" s="44">
        <v>36.76</v>
      </c>
      <c r="I108" s="115">
        <v>35</v>
      </c>
      <c r="J108" s="328"/>
      <c r="K108" s="43">
        <f t="shared" si="5"/>
        <v>1286.5999999999999</v>
      </c>
      <c r="L108" s="109" t="s">
        <v>254</v>
      </c>
    </row>
    <row r="109" spans="3:12" x14ac:dyDescent="0.35">
      <c r="C109" s="61">
        <v>810260</v>
      </c>
      <c r="D109" s="422"/>
      <c r="E109" s="38" t="s">
        <v>188</v>
      </c>
      <c r="F109" s="375" t="s">
        <v>454</v>
      </c>
      <c r="G109" s="64" t="s">
        <v>79</v>
      </c>
      <c r="H109" s="44">
        <v>67.73</v>
      </c>
      <c r="I109" s="238">
        <v>1750</v>
      </c>
      <c r="J109" s="246">
        <v>118</v>
      </c>
      <c r="K109" s="368">
        <f t="shared" si="5"/>
        <v>126519.64</v>
      </c>
    </row>
    <row r="110" spans="3:12" x14ac:dyDescent="0.35">
      <c r="C110" s="61">
        <v>810260</v>
      </c>
      <c r="D110" s="422"/>
      <c r="E110" s="38" t="s">
        <v>190</v>
      </c>
      <c r="F110" s="63" t="s">
        <v>191</v>
      </c>
      <c r="G110" s="64" t="s">
        <v>79</v>
      </c>
      <c r="H110" s="44">
        <f>26.23-11.85</f>
        <v>14.38</v>
      </c>
      <c r="I110" s="115">
        <v>680</v>
      </c>
      <c r="J110" s="328"/>
      <c r="K110" s="43">
        <f t="shared" si="5"/>
        <v>9778.4</v>
      </c>
    </row>
    <row r="111" spans="3:12" x14ac:dyDescent="0.35">
      <c r="C111" s="61">
        <v>810260</v>
      </c>
      <c r="D111" s="422"/>
      <c r="E111" s="38" t="s">
        <v>192</v>
      </c>
      <c r="F111" s="63" t="s">
        <v>193</v>
      </c>
      <c r="G111" s="64" t="s">
        <v>68</v>
      </c>
      <c r="H111" s="44">
        <v>10.14</v>
      </c>
      <c r="I111" s="115">
        <v>250</v>
      </c>
      <c r="J111" s="328"/>
      <c r="K111" s="43">
        <f t="shared" si="5"/>
        <v>2535</v>
      </c>
    </row>
    <row r="112" spans="3:12" x14ac:dyDescent="0.35">
      <c r="C112" s="61">
        <v>810260</v>
      </c>
      <c r="D112" s="422"/>
      <c r="E112" s="38" t="s">
        <v>194</v>
      </c>
      <c r="F112" s="63" t="s">
        <v>195</v>
      </c>
      <c r="G112" s="64" t="s">
        <v>228</v>
      </c>
      <c r="H112" s="44">
        <f>62.16+H104</f>
        <v>90.324999999999989</v>
      </c>
      <c r="I112" s="369">
        <v>300</v>
      </c>
      <c r="J112" s="328"/>
      <c r="K112" s="368">
        <f t="shared" si="5"/>
        <v>27097.499999999996</v>
      </c>
    </row>
    <row r="113" spans="3:12" x14ac:dyDescent="0.35">
      <c r="C113" s="61">
        <v>810260</v>
      </c>
      <c r="D113" s="422"/>
      <c r="E113" s="38" t="s">
        <v>196</v>
      </c>
      <c r="F113" s="63" t="s">
        <v>197</v>
      </c>
      <c r="G113" s="64" t="s">
        <v>103</v>
      </c>
      <c r="H113" s="44">
        <v>1</v>
      </c>
      <c r="I113" s="115">
        <v>3200</v>
      </c>
      <c r="J113" s="328"/>
      <c r="K113" s="43">
        <f t="shared" si="5"/>
        <v>3200</v>
      </c>
    </row>
    <row r="114" spans="3:12" x14ac:dyDescent="0.35">
      <c r="C114" s="61">
        <v>810260</v>
      </c>
      <c r="D114" s="423"/>
      <c r="E114" s="38" t="s">
        <v>198</v>
      </c>
      <c r="F114" s="39" t="s">
        <v>199</v>
      </c>
      <c r="G114" s="64" t="s">
        <v>46</v>
      </c>
      <c r="H114" s="44">
        <v>4</v>
      </c>
      <c r="I114" s="115">
        <v>3800</v>
      </c>
      <c r="J114" s="328"/>
      <c r="K114" s="43">
        <f t="shared" si="5"/>
        <v>15200</v>
      </c>
    </row>
    <row r="115" spans="3:12" x14ac:dyDescent="0.35">
      <c r="C115" s="72"/>
      <c r="D115" s="72"/>
      <c r="E115" s="47" t="s">
        <v>200</v>
      </c>
      <c r="F115" s="48" t="s">
        <v>407</v>
      </c>
      <c r="G115" s="47"/>
      <c r="H115" s="49"/>
      <c r="I115" s="50"/>
      <c r="J115" s="51"/>
      <c r="K115" s="52">
        <f>SUM(K116:K136)</f>
        <v>95641.917000000001</v>
      </c>
    </row>
    <row r="116" spans="3:12" x14ac:dyDescent="0.35">
      <c r="C116" s="346">
        <v>810051</v>
      </c>
      <c r="D116" s="347"/>
      <c r="E116" s="348" t="s">
        <v>305</v>
      </c>
      <c r="F116" s="63" t="s">
        <v>93</v>
      </c>
      <c r="G116" s="348" t="s">
        <v>228</v>
      </c>
      <c r="H116" s="367"/>
      <c r="I116" s="360"/>
      <c r="J116" s="359"/>
      <c r="K116" s="366">
        <f t="shared" ref="K116:K126" si="6">H116*I116+J116*H116</f>
        <v>0</v>
      </c>
      <c r="L116" s="351" t="s">
        <v>441</v>
      </c>
    </row>
    <row r="117" spans="3:12" x14ac:dyDescent="0.35">
      <c r="C117" s="346">
        <v>810051</v>
      </c>
      <c r="D117" s="347"/>
      <c r="E117" s="348" t="s">
        <v>307</v>
      </c>
      <c r="F117" s="39" t="s">
        <v>408</v>
      </c>
      <c r="G117" s="348" t="s">
        <v>103</v>
      </c>
      <c r="H117" s="367"/>
      <c r="I117" s="360"/>
      <c r="J117" s="359"/>
      <c r="K117" s="366">
        <f t="shared" si="6"/>
        <v>0</v>
      </c>
      <c r="L117" s="351" t="s">
        <v>442</v>
      </c>
    </row>
    <row r="118" spans="3:12" x14ac:dyDescent="0.35">
      <c r="C118" s="346">
        <v>810051</v>
      </c>
      <c r="D118" s="347"/>
      <c r="E118" s="348" t="s">
        <v>309</v>
      </c>
      <c r="F118" s="63" t="s">
        <v>78</v>
      </c>
      <c r="G118" s="348" t="s">
        <v>228</v>
      </c>
      <c r="H118" s="367"/>
      <c r="I118" s="360"/>
      <c r="J118" s="359"/>
      <c r="K118" s="366">
        <f t="shared" si="6"/>
        <v>0</v>
      </c>
      <c r="L118" s="351" t="s">
        <v>441</v>
      </c>
    </row>
    <row r="119" spans="3:12" x14ac:dyDescent="0.35">
      <c r="C119" s="346">
        <v>810051</v>
      </c>
      <c r="D119" s="347"/>
      <c r="E119" s="348" t="s">
        <v>311</v>
      </c>
      <c r="F119" s="63" t="s">
        <v>409</v>
      </c>
      <c r="G119" s="348" t="s">
        <v>228</v>
      </c>
      <c r="H119" s="367"/>
      <c r="I119" s="360"/>
      <c r="J119" s="359"/>
      <c r="K119" s="366">
        <f t="shared" si="6"/>
        <v>0</v>
      </c>
      <c r="L119" s="351" t="s">
        <v>441</v>
      </c>
    </row>
    <row r="120" spans="3:12" ht="15" x14ac:dyDescent="0.35">
      <c r="C120" s="346">
        <v>810051</v>
      </c>
      <c r="D120" s="347"/>
      <c r="E120" s="348" t="s">
        <v>312</v>
      </c>
      <c r="F120" s="306" t="s">
        <v>425</v>
      </c>
      <c r="G120" s="348" t="s">
        <v>228</v>
      </c>
      <c r="H120" s="367"/>
      <c r="I120" s="360"/>
      <c r="J120" s="359"/>
      <c r="K120" s="366">
        <f t="shared" si="6"/>
        <v>0</v>
      </c>
      <c r="L120" s="351" t="s">
        <v>441</v>
      </c>
    </row>
    <row r="121" spans="3:12" x14ac:dyDescent="0.35">
      <c r="C121" s="346">
        <v>810051</v>
      </c>
      <c r="D121" s="347"/>
      <c r="E121" s="348" t="s">
        <v>314</v>
      </c>
      <c r="F121" s="63" t="s">
        <v>426</v>
      </c>
      <c r="G121" s="348" t="s">
        <v>275</v>
      </c>
      <c r="H121" s="367"/>
      <c r="I121" s="360"/>
      <c r="J121" s="359"/>
      <c r="K121" s="366">
        <f t="shared" si="6"/>
        <v>0</v>
      </c>
      <c r="L121" s="351" t="s">
        <v>441</v>
      </c>
    </row>
    <row r="122" spans="3:12" x14ac:dyDescent="0.35">
      <c r="C122" s="346">
        <v>810051</v>
      </c>
      <c r="D122" s="347"/>
      <c r="E122" s="348" t="s">
        <v>316</v>
      </c>
      <c r="F122" s="63" t="s">
        <v>346</v>
      </c>
      <c r="G122" s="348" t="s">
        <v>68</v>
      </c>
      <c r="H122" s="367"/>
      <c r="I122" s="360"/>
      <c r="J122" s="359"/>
      <c r="K122" s="366">
        <f t="shared" si="6"/>
        <v>0</v>
      </c>
      <c r="L122" s="351" t="s">
        <v>441</v>
      </c>
    </row>
    <row r="123" spans="3:12" ht="15" x14ac:dyDescent="0.35">
      <c r="C123" s="346">
        <v>810051</v>
      </c>
      <c r="D123" s="347"/>
      <c r="E123" s="348" t="s">
        <v>318</v>
      </c>
      <c r="F123" s="306" t="s">
        <v>410</v>
      </c>
      <c r="G123" s="307" t="s">
        <v>68</v>
      </c>
      <c r="H123" s="44">
        <v>160.25</v>
      </c>
      <c r="I123" s="324">
        <v>30</v>
      </c>
      <c r="J123" s="324">
        <v>25</v>
      </c>
      <c r="K123" s="366">
        <f t="shared" si="6"/>
        <v>8813.75</v>
      </c>
      <c r="L123" s="351"/>
    </row>
    <row r="124" spans="3:12" ht="15" x14ac:dyDescent="0.35">
      <c r="C124" s="346">
        <v>810051</v>
      </c>
      <c r="D124" s="347"/>
      <c r="E124" s="348" t="s">
        <v>320</v>
      </c>
      <c r="F124" s="306" t="s">
        <v>412</v>
      </c>
      <c r="G124" s="307" t="s">
        <v>68</v>
      </c>
      <c r="H124" s="44">
        <v>164.69</v>
      </c>
      <c r="I124" s="324">
        <v>90</v>
      </c>
      <c r="J124" s="324">
        <v>30</v>
      </c>
      <c r="K124" s="366">
        <f t="shared" si="6"/>
        <v>19762.8</v>
      </c>
      <c r="L124" s="351"/>
    </row>
    <row r="125" spans="3:12" ht="15" x14ac:dyDescent="0.35">
      <c r="C125" s="61">
        <v>810051</v>
      </c>
      <c r="D125" s="282"/>
      <c r="E125" s="38" t="s">
        <v>322</v>
      </c>
      <c r="F125" s="308" t="s">
        <v>413</v>
      </c>
      <c r="G125" s="38" t="s">
        <v>206</v>
      </c>
      <c r="H125" s="44">
        <v>1.46</v>
      </c>
      <c r="I125" s="115">
        <v>350</v>
      </c>
      <c r="J125" s="328">
        <v>150</v>
      </c>
      <c r="K125" s="43">
        <f t="shared" si="6"/>
        <v>730</v>
      </c>
    </row>
    <row r="126" spans="3:12" ht="30" x14ac:dyDescent="0.35">
      <c r="C126" s="61">
        <v>810051</v>
      </c>
      <c r="D126" s="282"/>
      <c r="E126" s="38" t="s">
        <v>324</v>
      </c>
      <c r="F126" s="306" t="s">
        <v>414</v>
      </c>
      <c r="G126" s="309" t="s">
        <v>206</v>
      </c>
      <c r="H126" s="44">
        <v>321.10000000000002</v>
      </c>
      <c r="I126" s="115">
        <v>40</v>
      </c>
      <c r="J126" s="328">
        <v>45</v>
      </c>
      <c r="K126" s="43">
        <f t="shared" si="6"/>
        <v>27293.5</v>
      </c>
    </row>
    <row r="127" spans="3:12" ht="15" x14ac:dyDescent="0.35">
      <c r="C127" s="61">
        <v>810051</v>
      </c>
      <c r="D127" s="282"/>
      <c r="E127" s="38"/>
      <c r="F127" s="311" t="s">
        <v>419</v>
      </c>
      <c r="G127" s="113"/>
      <c r="H127" s="313"/>
      <c r="I127" s="314"/>
      <c r="J127" s="315"/>
      <c r="K127" s="316"/>
    </row>
    <row r="128" spans="3:12" ht="15" x14ac:dyDescent="0.35">
      <c r="C128" s="61">
        <v>810051</v>
      </c>
      <c r="D128" s="282"/>
      <c r="E128" s="38" t="s">
        <v>324</v>
      </c>
      <c r="F128" s="306" t="s">
        <v>415</v>
      </c>
      <c r="G128" s="309" t="s">
        <v>79</v>
      </c>
      <c r="H128" s="40">
        <v>103</v>
      </c>
      <c r="I128" s="324">
        <f>65*1.3</f>
        <v>84.5</v>
      </c>
      <c r="J128" s="324">
        <v>45</v>
      </c>
      <c r="K128" s="66">
        <f>H128*I128+J128*H128</f>
        <v>13338.5</v>
      </c>
      <c r="L128" s="109" t="s">
        <v>443</v>
      </c>
    </row>
    <row r="129" spans="3:12" ht="15" x14ac:dyDescent="0.35">
      <c r="C129" s="61">
        <v>810051</v>
      </c>
      <c r="D129" s="282"/>
      <c r="E129" s="38" t="s">
        <v>326</v>
      </c>
      <c r="F129" s="306" t="s">
        <v>416</v>
      </c>
      <c r="G129" s="310" t="s">
        <v>411</v>
      </c>
      <c r="H129" s="40">
        <v>70</v>
      </c>
      <c r="I129" s="115">
        <v>35</v>
      </c>
      <c r="J129" s="328">
        <v>30</v>
      </c>
      <c r="K129" s="66">
        <f>H129*I129+J129*H129</f>
        <v>4550</v>
      </c>
      <c r="L129" s="109" t="s">
        <v>444</v>
      </c>
    </row>
    <row r="130" spans="3:12" ht="15" x14ac:dyDescent="0.35">
      <c r="C130" s="61">
        <v>810051</v>
      </c>
      <c r="D130" s="282"/>
      <c r="E130" s="38" t="s">
        <v>329</v>
      </c>
      <c r="F130" s="306" t="s">
        <v>417</v>
      </c>
      <c r="G130" s="309" t="s">
        <v>411</v>
      </c>
      <c r="H130" s="40">
        <v>88.4</v>
      </c>
      <c r="I130" s="115">
        <v>35</v>
      </c>
      <c r="J130" s="328">
        <v>30</v>
      </c>
      <c r="K130" s="66">
        <f>H130*I130+J130*H130</f>
        <v>5746</v>
      </c>
    </row>
    <row r="131" spans="3:12" ht="15" x14ac:dyDescent="0.35">
      <c r="C131" s="61">
        <v>810051</v>
      </c>
      <c r="D131" s="282"/>
      <c r="E131" s="38" t="s">
        <v>331</v>
      </c>
      <c r="F131" s="306" t="s">
        <v>418</v>
      </c>
      <c r="G131" s="309" t="s">
        <v>411</v>
      </c>
      <c r="H131" s="40">
        <v>1.5</v>
      </c>
      <c r="I131" s="115">
        <v>150</v>
      </c>
      <c r="J131" s="328">
        <v>50</v>
      </c>
      <c r="K131" s="66">
        <f>H131*I131+J131*H131</f>
        <v>300</v>
      </c>
    </row>
    <row r="132" spans="3:12" ht="29" x14ac:dyDescent="0.35">
      <c r="C132" s="61">
        <v>810051</v>
      </c>
      <c r="D132" s="282"/>
      <c r="E132" s="38"/>
      <c r="F132" s="311" t="s">
        <v>424</v>
      </c>
      <c r="G132" s="317"/>
      <c r="H132" s="313"/>
      <c r="I132" s="314"/>
      <c r="J132" s="315"/>
      <c r="K132" s="316"/>
      <c r="L132" s="109" t="s">
        <v>445</v>
      </c>
    </row>
    <row r="133" spans="3:12" ht="15" x14ac:dyDescent="0.35">
      <c r="C133" s="61">
        <v>810051</v>
      </c>
      <c r="D133" s="282"/>
      <c r="E133" s="38" t="s">
        <v>331</v>
      </c>
      <c r="F133" s="306" t="s">
        <v>420</v>
      </c>
      <c r="G133" s="312" t="s">
        <v>79</v>
      </c>
      <c r="H133" s="40">
        <v>2.7</v>
      </c>
      <c r="I133" s="115">
        <v>1400</v>
      </c>
      <c r="J133" s="328">
        <v>684.21</v>
      </c>
      <c r="K133" s="66">
        <f>H133*I133+J133*H133</f>
        <v>5627.3670000000002</v>
      </c>
    </row>
    <row r="134" spans="3:12" ht="15" x14ac:dyDescent="0.35">
      <c r="C134" s="61">
        <v>810051</v>
      </c>
      <c r="D134" s="282"/>
      <c r="E134" s="38" t="s">
        <v>333</v>
      </c>
      <c r="F134" s="306" t="s">
        <v>421</v>
      </c>
      <c r="G134" s="309" t="s">
        <v>79</v>
      </c>
      <c r="H134" s="40">
        <v>3.8</v>
      </c>
      <c r="I134" s="115">
        <v>1400</v>
      </c>
      <c r="J134" s="328">
        <f>2600/3.8</f>
        <v>684.21052631578948</v>
      </c>
      <c r="K134" s="66">
        <f>H134*I134+J134*H134</f>
        <v>7920</v>
      </c>
    </row>
    <row r="135" spans="3:12" ht="15" x14ac:dyDescent="0.35">
      <c r="C135" s="61">
        <v>810051</v>
      </c>
      <c r="D135" s="282"/>
      <c r="E135" s="38" t="s">
        <v>335</v>
      </c>
      <c r="F135" s="306" t="s">
        <v>422</v>
      </c>
      <c r="G135" s="309" t="s">
        <v>90</v>
      </c>
      <c r="H135" s="40"/>
      <c r="I135" s="115"/>
      <c r="J135" s="328"/>
      <c r="K135" s="66">
        <f>H135*I135+J135*H135</f>
        <v>0</v>
      </c>
      <c r="L135" s="109" t="s">
        <v>446</v>
      </c>
    </row>
    <row r="136" spans="3:12" ht="15" x14ac:dyDescent="0.35">
      <c r="C136" s="61">
        <v>810051</v>
      </c>
      <c r="D136" s="282"/>
      <c r="E136" s="38" t="s">
        <v>337</v>
      </c>
      <c r="F136" s="306" t="s">
        <v>423</v>
      </c>
      <c r="G136" s="309" t="s">
        <v>90</v>
      </c>
      <c r="H136" s="40">
        <v>2</v>
      </c>
      <c r="I136" s="115">
        <v>680</v>
      </c>
      <c r="J136" s="328">
        <v>100</v>
      </c>
      <c r="K136" s="66">
        <f>H136*I136+J136*H136</f>
        <v>1560</v>
      </c>
      <c r="L136" s="109" t="s">
        <v>447</v>
      </c>
    </row>
    <row r="137" spans="3:12" x14ac:dyDescent="0.35">
      <c r="C137" s="72"/>
      <c r="D137" s="72"/>
      <c r="E137" s="47" t="s">
        <v>428</v>
      </c>
      <c r="F137" s="48" t="s">
        <v>32</v>
      </c>
      <c r="G137" s="47"/>
      <c r="H137" s="49"/>
      <c r="I137" s="50"/>
      <c r="J137" s="51"/>
      <c r="K137" s="52">
        <f>SUM(K139:K172)</f>
        <v>547248.38049999997</v>
      </c>
    </row>
    <row r="138" spans="3:12" x14ac:dyDescent="0.35">
      <c r="C138" s="335"/>
      <c r="D138" s="335"/>
      <c r="E138" s="53"/>
      <c r="F138" s="162"/>
      <c r="G138" s="190"/>
      <c r="H138" s="163"/>
      <c r="I138" s="296"/>
      <c r="J138" s="297"/>
      <c r="K138" s="298"/>
      <c r="L138" s="257"/>
    </row>
    <row r="139" spans="3:12" x14ac:dyDescent="0.35">
      <c r="C139" s="61">
        <v>810213</v>
      </c>
      <c r="D139" s="409" t="s">
        <v>32</v>
      </c>
      <c r="E139" s="38" t="s">
        <v>201</v>
      </c>
      <c r="F139" s="39" t="s">
        <v>226</v>
      </c>
      <c r="G139" s="62" t="s">
        <v>46</v>
      </c>
      <c r="H139" s="44">
        <v>1</v>
      </c>
      <c r="I139" s="324">
        <f>6500+1885.9</f>
        <v>8385.9</v>
      </c>
      <c r="J139" s="325"/>
      <c r="K139" s="43">
        <f t="shared" ref="K139:K144" si="7">H139*I139+J139*H139</f>
        <v>8385.9</v>
      </c>
    </row>
    <row r="140" spans="3:12" x14ac:dyDescent="0.35">
      <c r="C140" s="61">
        <v>810213</v>
      </c>
      <c r="D140" s="410"/>
      <c r="E140" s="38" t="s">
        <v>202</v>
      </c>
      <c r="F140" s="63" t="s">
        <v>227</v>
      </c>
      <c r="G140" s="65" t="s">
        <v>228</v>
      </c>
      <c r="H140" s="44">
        <v>40</v>
      </c>
      <c r="I140" s="324">
        <v>80</v>
      </c>
      <c r="J140" s="325">
        <v>50</v>
      </c>
      <c r="K140" s="43">
        <f t="shared" si="7"/>
        <v>5200</v>
      </c>
    </row>
    <row r="141" spans="3:12" x14ac:dyDescent="0.35">
      <c r="C141" s="61">
        <v>810041</v>
      </c>
      <c r="D141" s="410"/>
      <c r="E141" s="38" t="s">
        <v>429</v>
      </c>
      <c r="F141" s="63" t="s">
        <v>229</v>
      </c>
      <c r="G141" s="62" t="s">
        <v>228</v>
      </c>
      <c r="H141" s="44">
        <v>162.94999999999999</v>
      </c>
      <c r="I141" s="115">
        <v>90</v>
      </c>
      <c r="J141" s="328">
        <v>50</v>
      </c>
      <c r="K141" s="43">
        <f t="shared" si="7"/>
        <v>22812.999999999996</v>
      </c>
    </row>
    <row r="142" spans="3:12" x14ac:dyDescent="0.35">
      <c r="C142" s="61">
        <v>810080</v>
      </c>
      <c r="D142" s="410"/>
      <c r="E142" s="38" t="s">
        <v>203</v>
      </c>
      <c r="F142" s="39" t="s">
        <v>230</v>
      </c>
      <c r="G142" s="38" t="s">
        <v>228</v>
      </c>
      <c r="H142" s="44">
        <f>H140*4</f>
        <v>160</v>
      </c>
      <c r="I142" s="115">
        <v>30</v>
      </c>
      <c r="J142" s="328">
        <v>20</v>
      </c>
      <c r="K142" s="43">
        <f t="shared" si="7"/>
        <v>8000</v>
      </c>
    </row>
    <row r="143" spans="3:12" x14ac:dyDescent="0.35">
      <c r="C143" s="61" t="s">
        <v>32</v>
      </c>
      <c r="D143" s="410"/>
      <c r="E143" s="38" t="s">
        <v>204</v>
      </c>
      <c r="F143" s="39" t="s">
        <v>231</v>
      </c>
      <c r="G143" s="38" t="s">
        <v>206</v>
      </c>
      <c r="H143" s="44">
        <v>896.875</v>
      </c>
      <c r="I143" s="324">
        <v>19</v>
      </c>
      <c r="J143" s="324">
        <v>3</v>
      </c>
      <c r="K143" s="43">
        <f t="shared" si="7"/>
        <v>19731.25</v>
      </c>
    </row>
    <row r="144" spans="3:12" x14ac:dyDescent="0.35">
      <c r="C144" s="61" t="s">
        <v>32</v>
      </c>
      <c r="D144" s="410"/>
      <c r="E144" s="38" t="s">
        <v>205</v>
      </c>
      <c r="F144" s="39" t="s">
        <v>232</v>
      </c>
      <c r="G144" s="38" t="s">
        <v>233</v>
      </c>
      <c r="H144" s="44">
        <v>2</v>
      </c>
      <c r="I144" s="324">
        <v>1200</v>
      </c>
      <c r="J144" s="324"/>
      <c r="K144" s="43">
        <f t="shared" si="7"/>
        <v>2400</v>
      </c>
    </row>
    <row r="145" spans="3:12" x14ac:dyDescent="0.35">
      <c r="C145" s="61" t="s">
        <v>32</v>
      </c>
      <c r="D145" s="410"/>
      <c r="E145" s="38" t="s">
        <v>207</v>
      </c>
      <c r="F145" s="39" t="s">
        <v>235</v>
      </c>
      <c r="G145" s="38" t="s">
        <v>206</v>
      </c>
      <c r="H145" s="44">
        <v>677.1</v>
      </c>
      <c r="I145" s="252">
        <v>60</v>
      </c>
      <c r="J145" s="324"/>
      <c r="K145" s="43">
        <f>I145*H145+J145*H145</f>
        <v>40626</v>
      </c>
    </row>
    <row r="146" spans="3:12" x14ac:dyDescent="0.35">
      <c r="C146" s="61" t="s">
        <v>32</v>
      </c>
      <c r="D146" s="411"/>
      <c r="E146" s="38" t="s">
        <v>243</v>
      </c>
      <c r="F146" s="39" t="s">
        <v>358</v>
      </c>
      <c r="G146" s="38" t="s">
        <v>68</v>
      </c>
      <c r="H146" s="44">
        <v>191.63</v>
      </c>
      <c r="I146" s="324">
        <v>50</v>
      </c>
      <c r="J146" s="324">
        <v>20</v>
      </c>
      <c r="K146" s="66">
        <f t="shared" ref="K146:K174" si="8">H146*I146+J146*H146</f>
        <v>13414.1</v>
      </c>
    </row>
    <row r="147" spans="3:12" x14ac:dyDescent="0.35">
      <c r="C147" s="61"/>
      <c r="D147" s="106"/>
      <c r="E147" s="38" t="s">
        <v>244</v>
      </c>
      <c r="F147" s="63" t="s">
        <v>240</v>
      </c>
      <c r="G147" s="38" t="s">
        <v>228</v>
      </c>
      <c r="H147" s="44">
        <v>96.22</v>
      </c>
      <c r="I147" s="324">
        <f>145*1.3</f>
        <v>188.5</v>
      </c>
      <c r="J147" s="324">
        <v>45</v>
      </c>
      <c r="K147" s="66">
        <f t="shared" si="8"/>
        <v>22467.370000000003</v>
      </c>
      <c r="L147" s="109" t="s">
        <v>287</v>
      </c>
    </row>
    <row r="148" spans="3:12" x14ac:dyDescent="0.35">
      <c r="C148" s="61"/>
      <c r="D148" s="106"/>
      <c r="E148" s="38" t="s">
        <v>245</v>
      </c>
      <c r="F148" s="39" t="s">
        <v>237</v>
      </c>
      <c r="G148" s="38" t="s">
        <v>228</v>
      </c>
      <c r="H148" s="44">
        <v>6.11</v>
      </c>
      <c r="I148" s="324">
        <f>245*1.35</f>
        <v>330.75</v>
      </c>
      <c r="J148" s="324">
        <v>30</v>
      </c>
      <c r="K148" s="66">
        <f t="shared" si="8"/>
        <v>2204.1825000000003</v>
      </c>
    </row>
    <row r="149" spans="3:12" x14ac:dyDescent="0.35">
      <c r="C149" s="61"/>
      <c r="D149" s="106"/>
      <c r="E149" s="38" t="s">
        <v>246</v>
      </c>
      <c r="F149" s="39" t="s">
        <v>274</v>
      </c>
      <c r="G149" s="38" t="s">
        <v>228</v>
      </c>
      <c r="H149" s="44"/>
      <c r="I149" s="324"/>
      <c r="J149" s="324"/>
      <c r="K149" s="66">
        <f t="shared" si="8"/>
        <v>0</v>
      </c>
    </row>
    <row r="150" spans="3:12" ht="29" x14ac:dyDescent="0.35">
      <c r="C150" s="61"/>
      <c r="D150" s="106"/>
      <c r="E150" s="38" t="s">
        <v>247</v>
      </c>
      <c r="F150" s="39" t="s">
        <v>238</v>
      </c>
      <c r="G150" s="38" t="s">
        <v>228</v>
      </c>
      <c r="H150" s="44">
        <f>825.22*1.2</f>
        <v>990.26400000000001</v>
      </c>
      <c r="I150" s="324"/>
      <c r="J150" s="324">
        <v>35</v>
      </c>
      <c r="K150" s="66">
        <f t="shared" si="8"/>
        <v>34659.24</v>
      </c>
      <c r="L150" s="117" t="s">
        <v>286</v>
      </c>
    </row>
    <row r="151" spans="3:12" x14ac:dyDescent="0.35">
      <c r="C151" s="61"/>
      <c r="D151" s="106"/>
      <c r="E151" s="38"/>
      <c r="F151" s="39" t="s">
        <v>448</v>
      </c>
      <c r="G151" s="38" t="s">
        <v>228</v>
      </c>
      <c r="H151" s="44">
        <v>990.26400000000001</v>
      </c>
      <c r="I151" s="324">
        <v>19</v>
      </c>
      <c r="J151" s="324">
        <v>34.5</v>
      </c>
      <c r="K151" s="66">
        <f t="shared" si="8"/>
        <v>52979.123999999996</v>
      </c>
      <c r="L151" s="117" t="s">
        <v>449</v>
      </c>
    </row>
    <row r="152" spans="3:12" x14ac:dyDescent="0.35">
      <c r="C152" s="61"/>
      <c r="D152" s="106"/>
      <c r="E152" s="38" t="s">
        <v>248</v>
      </c>
      <c r="F152" s="39" t="s">
        <v>273</v>
      </c>
      <c r="G152" s="38" t="s">
        <v>228</v>
      </c>
      <c r="H152" s="44">
        <v>0</v>
      </c>
      <c r="I152" s="324">
        <v>350</v>
      </c>
      <c r="J152" s="324">
        <v>150</v>
      </c>
      <c r="K152" s="66">
        <f t="shared" si="8"/>
        <v>0</v>
      </c>
      <c r="L152" s="248" t="s">
        <v>427</v>
      </c>
    </row>
    <row r="153" spans="3:12" x14ac:dyDescent="0.35">
      <c r="C153" s="61"/>
      <c r="D153" s="106"/>
      <c r="E153" s="38" t="s">
        <v>249</v>
      </c>
      <c r="F153" s="63" t="s">
        <v>256</v>
      </c>
      <c r="G153" s="38" t="s">
        <v>239</v>
      </c>
      <c r="H153" s="44"/>
      <c r="I153" s="324">
        <v>90</v>
      </c>
      <c r="J153" s="324">
        <v>30</v>
      </c>
      <c r="K153" s="66">
        <f t="shared" si="8"/>
        <v>0</v>
      </c>
      <c r="L153" s="248" t="s">
        <v>433</v>
      </c>
    </row>
    <row r="154" spans="3:12" x14ac:dyDescent="0.35">
      <c r="C154" s="61"/>
      <c r="D154" s="106"/>
      <c r="E154" s="38" t="s">
        <v>250</v>
      </c>
      <c r="F154" s="63" t="s">
        <v>257</v>
      </c>
      <c r="G154" s="38" t="s">
        <v>239</v>
      </c>
      <c r="H154" s="44"/>
      <c r="I154" s="324">
        <v>30</v>
      </c>
      <c r="J154" s="324">
        <v>25</v>
      </c>
      <c r="K154" s="66">
        <f t="shared" si="8"/>
        <v>0</v>
      </c>
      <c r="L154" s="248" t="s">
        <v>434</v>
      </c>
    </row>
    <row r="155" spans="3:12" x14ac:dyDescent="0.35">
      <c r="C155" s="61"/>
      <c r="D155" s="106"/>
      <c r="E155" s="38" t="s">
        <v>251</v>
      </c>
      <c r="F155" s="39" t="s">
        <v>259</v>
      </c>
      <c r="G155" s="38" t="s">
        <v>228</v>
      </c>
      <c r="H155" s="44">
        <v>32.69</v>
      </c>
      <c r="I155" s="324">
        <v>450</v>
      </c>
      <c r="J155" s="324"/>
      <c r="K155" s="66">
        <f t="shared" si="8"/>
        <v>14710.499999999998</v>
      </c>
    </row>
    <row r="156" spans="3:12" x14ac:dyDescent="0.35">
      <c r="C156" s="61"/>
      <c r="D156" s="106"/>
      <c r="E156" s="38" t="s">
        <v>252</v>
      </c>
      <c r="F156" s="39" t="s">
        <v>260</v>
      </c>
      <c r="G156" s="38" t="s">
        <v>228</v>
      </c>
      <c r="H156" s="44">
        <v>37.380000000000003</v>
      </c>
      <c r="I156" s="324">
        <v>480</v>
      </c>
      <c r="J156" s="324"/>
      <c r="K156" s="66">
        <f t="shared" si="8"/>
        <v>17942.400000000001</v>
      </c>
    </row>
    <row r="157" spans="3:12" x14ac:dyDescent="0.35">
      <c r="C157" s="61"/>
      <c r="D157" s="106"/>
      <c r="E157" s="38" t="s">
        <v>253</v>
      </c>
      <c r="F157" s="39" t="s">
        <v>266</v>
      </c>
      <c r="G157" s="38" t="s">
        <v>46</v>
      </c>
      <c r="H157" s="44">
        <v>1</v>
      </c>
      <c r="I157" s="324">
        <f>(16200*1.35)+5000</f>
        <v>26870</v>
      </c>
      <c r="J157" s="324">
        <v>3500</v>
      </c>
      <c r="K157" s="66">
        <f t="shared" si="8"/>
        <v>30370</v>
      </c>
      <c r="L157" s="109" t="s">
        <v>450</v>
      </c>
    </row>
    <row r="158" spans="3:12" x14ac:dyDescent="0.35">
      <c r="C158" s="61"/>
      <c r="D158" s="106"/>
      <c r="E158" s="38" t="s">
        <v>261</v>
      </c>
      <c r="F158" s="39" t="s">
        <v>268</v>
      </c>
      <c r="G158" s="38" t="s">
        <v>228</v>
      </c>
      <c r="H158" s="44">
        <v>69.239999999999995</v>
      </c>
      <c r="I158" s="324">
        <v>380</v>
      </c>
      <c r="J158" s="324"/>
      <c r="K158" s="66">
        <f t="shared" si="8"/>
        <v>26311.199999999997</v>
      </c>
    </row>
    <row r="159" spans="3:12" x14ac:dyDescent="0.35">
      <c r="C159" s="61"/>
      <c r="D159" s="106"/>
      <c r="E159" s="38" t="s">
        <v>262</v>
      </c>
      <c r="F159" s="39" t="s">
        <v>269</v>
      </c>
      <c r="G159" s="38" t="s">
        <v>228</v>
      </c>
      <c r="H159" s="44">
        <v>39.674999999999997</v>
      </c>
      <c r="I159" s="324">
        <v>380</v>
      </c>
      <c r="J159" s="324"/>
      <c r="K159" s="66">
        <f t="shared" si="8"/>
        <v>15076.499999999998</v>
      </c>
    </row>
    <row r="160" spans="3:12" x14ac:dyDescent="0.35">
      <c r="C160" s="61"/>
      <c r="D160" s="106"/>
      <c r="E160" s="38" t="s">
        <v>264</v>
      </c>
      <c r="F160" s="39" t="s">
        <v>281</v>
      </c>
      <c r="G160" s="38" t="s">
        <v>275</v>
      </c>
      <c r="H160" s="44">
        <f>(58.52)*0.15*1.5</f>
        <v>13.167000000000002</v>
      </c>
      <c r="I160" s="324">
        <v>440</v>
      </c>
      <c r="J160" s="324">
        <f>480*1.4</f>
        <v>672</v>
      </c>
      <c r="K160" s="66">
        <f t="shared" si="8"/>
        <v>14641.704000000002</v>
      </c>
    </row>
    <row r="161" spans="3:12" x14ac:dyDescent="0.35">
      <c r="C161" s="61"/>
      <c r="D161" s="106"/>
      <c r="E161" s="38" t="s">
        <v>265</v>
      </c>
      <c r="F161" s="39" t="s">
        <v>282</v>
      </c>
      <c r="G161" s="38" t="s">
        <v>228</v>
      </c>
      <c r="H161" s="44">
        <f>50*2*3.1</f>
        <v>310</v>
      </c>
      <c r="I161" s="324">
        <v>80</v>
      </c>
      <c r="J161" s="324"/>
      <c r="K161" s="66">
        <f t="shared" si="8"/>
        <v>24800</v>
      </c>
    </row>
    <row r="162" spans="3:12" x14ac:dyDescent="0.35">
      <c r="C162" s="61"/>
      <c r="D162" s="106"/>
      <c r="E162" s="38" t="s">
        <v>267</v>
      </c>
      <c r="F162" s="39" t="s">
        <v>276</v>
      </c>
      <c r="G162" s="38" t="s">
        <v>275</v>
      </c>
      <c r="H162" s="44">
        <f>15.8*1.32*1.5</f>
        <v>31.284000000000002</v>
      </c>
      <c r="I162" s="324">
        <f>300*1.4</f>
        <v>420</v>
      </c>
      <c r="J162" s="324">
        <f>300*1.4</f>
        <v>420</v>
      </c>
      <c r="K162" s="66">
        <f t="shared" si="8"/>
        <v>26278.560000000001</v>
      </c>
    </row>
    <row r="163" spans="3:12" x14ac:dyDescent="0.35">
      <c r="C163" s="61"/>
      <c r="D163" s="106"/>
      <c r="E163" s="38" t="s">
        <v>270</v>
      </c>
      <c r="F163" s="39" t="s">
        <v>283</v>
      </c>
      <c r="G163" s="38" t="s">
        <v>275</v>
      </c>
      <c r="H163" s="44">
        <v>6</v>
      </c>
      <c r="I163" s="324">
        <f>930*1.4</f>
        <v>1302</v>
      </c>
      <c r="J163" s="324">
        <f>620*1.4</f>
        <v>868</v>
      </c>
      <c r="K163" s="66">
        <f t="shared" si="8"/>
        <v>13020</v>
      </c>
    </row>
    <row r="164" spans="3:12" x14ac:dyDescent="0.35">
      <c r="C164" s="61"/>
      <c r="D164" s="106"/>
      <c r="E164" s="38" t="s">
        <v>271</v>
      </c>
      <c r="F164" s="39" t="s">
        <v>288</v>
      </c>
      <c r="G164" s="38" t="s">
        <v>289</v>
      </c>
      <c r="H164" s="44">
        <v>61</v>
      </c>
      <c r="I164" s="324">
        <v>180</v>
      </c>
      <c r="J164" s="324"/>
      <c r="K164" s="66">
        <f t="shared" si="8"/>
        <v>10980</v>
      </c>
    </row>
    <row r="165" spans="3:12" x14ac:dyDescent="0.35">
      <c r="C165" s="61"/>
      <c r="D165" s="106"/>
      <c r="E165" s="38" t="s">
        <v>277</v>
      </c>
      <c r="F165" s="63" t="s">
        <v>377</v>
      </c>
      <c r="G165" s="62" t="s">
        <v>79</v>
      </c>
      <c r="H165" s="44">
        <v>35</v>
      </c>
      <c r="I165" s="324">
        <v>200</v>
      </c>
      <c r="J165" s="324"/>
      <c r="K165" s="66">
        <f t="shared" si="8"/>
        <v>7000</v>
      </c>
    </row>
    <row r="166" spans="3:12" x14ac:dyDescent="0.35">
      <c r="C166" s="61"/>
      <c r="D166" s="106"/>
      <c r="E166" s="38" t="s">
        <v>290</v>
      </c>
      <c r="F166" s="63" t="s">
        <v>349</v>
      </c>
      <c r="G166" s="62" t="s">
        <v>79</v>
      </c>
      <c r="H166" s="44">
        <v>833</v>
      </c>
      <c r="I166" s="115">
        <v>19</v>
      </c>
      <c r="J166" s="328">
        <v>34.5</v>
      </c>
      <c r="K166" s="66">
        <f t="shared" si="8"/>
        <v>44565.5</v>
      </c>
    </row>
    <row r="167" spans="3:12" x14ac:dyDescent="0.35">
      <c r="C167" s="61"/>
      <c r="D167" s="106"/>
      <c r="E167" s="38" t="s">
        <v>291</v>
      </c>
      <c r="F167" s="39" t="s">
        <v>350</v>
      </c>
      <c r="G167" s="62" t="s">
        <v>79</v>
      </c>
      <c r="H167" s="44">
        <v>6</v>
      </c>
      <c r="I167" s="115">
        <v>19</v>
      </c>
      <c r="J167" s="328">
        <v>34.5</v>
      </c>
      <c r="K167" s="66">
        <f t="shared" si="8"/>
        <v>321</v>
      </c>
    </row>
    <row r="168" spans="3:12" x14ac:dyDescent="0.35">
      <c r="C168" s="61"/>
      <c r="D168" s="106"/>
      <c r="E168" s="38" t="s">
        <v>292</v>
      </c>
      <c r="F168" s="39" t="s">
        <v>351</v>
      </c>
      <c r="G168" s="62" t="s">
        <v>79</v>
      </c>
      <c r="H168" s="44">
        <v>103.3</v>
      </c>
      <c r="I168" s="324">
        <f>65*1.3</f>
        <v>84.5</v>
      </c>
      <c r="J168" s="324">
        <v>45</v>
      </c>
      <c r="K168" s="66">
        <f t="shared" si="8"/>
        <v>13377.35</v>
      </c>
      <c r="L168" s="120"/>
    </row>
    <row r="169" spans="3:12" x14ac:dyDescent="0.35">
      <c r="C169" s="61"/>
      <c r="D169" s="106"/>
      <c r="E169" s="38" t="s">
        <v>293</v>
      </c>
      <c r="F169" s="39" t="s">
        <v>352</v>
      </c>
      <c r="G169" s="62" t="s">
        <v>79</v>
      </c>
      <c r="H169" s="44">
        <v>67</v>
      </c>
      <c r="I169" s="324">
        <v>350</v>
      </c>
      <c r="J169" s="324">
        <v>50</v>
      </c>
      <c r="K169" s="66">
        <f t="shared" si="8"/>
        <v>26800</v>
      </c>
      <c r="L169" s="120"/>
    </row>
    <row r="170" spans="3:12" x14ac:dyDescent="0.35">
      <c r="C170" s="61"/>
      <c r="D170" s="106"/>
      <c r="E170" s="38" t="s">
        <v>430</v>
      </c>
      <c r="F170" s="39" t="s">
        <v>353</v>
      </c>
      <c r="G170" s="62" t="s">
        <v>68</v>
      </c>
      <c r="H170" s="44">
        <v>30</v>
      </c>
      <c r="I170" s="324">
        <v>850</v>
      </c>
      <c r="J170" s="324"/>
      <c r="K170" s="66">
        <f t="shared" si="8"/>
        <v>25500</v>
      </c>
      <c r="L170" s="120"/>
    </row>
    <row r="171" spans="3:12" x14ac:dyDescent="0.35">
      <c r="C171" s="61"/>
      <c r="D171" s="106"/>
      <c r="E171" s="38" t="s">
        <v>431</v>
      </c>
      <c r="F171" s="162" t="s">
        <v>306</v>
      </c>
      <c r="G171" s="190" t="s">
        <v>103</v>
      </c>
      <c r="H171" s="323">
        <v>9</v>
      </c>
      <c r="I171" s="324">
        <v>200</v>
      </c>
      <c r="J171" s="324"/>
      <c r="K171" s="66">
        <f t="shared" si="8"/>
        <v>1800</v>
      </c>
      <c r="L171" s="120"/>
    </row>
    <row r="172" spans="3:12" x14ac:dyDescent="0.35">
      <c r="C172" s="61"/>
      <c r="D172" s="106"/>
      <c r="E172" s="38" t="s">
        <v>432</v>
      </c>
      <c r="F172" s="39" t="s">
        <v>376</v>
      </c>
      <c r="G172" s="62" t="s">
        <v>228</v>
      </c>
      <c r="H172" s="44">
        <v>17.47</v>
      </c>
      <c r="I172" s="324"/>
      <c r="J172" s="324">
        <v>50</v>
      </c>
      <c r="K172" s="66">
        <f t="shared" si="8"/>
        <v>873.5</v>
      </c>
      <c r="L172" s="117" t="s">
        <v>375</v>
      </c>
    </row>
    <row r="173" spans="3:12" x14ac:dyDescent="0.35">
      <c r="C173" s="61"/>
      <c r="D173" s="106"/>
      <c r="E173" s="38" t="s">
        <v>455</v>
      </c>
      <c r="F173" s="349" t="s">
        <v>85</v>
      </c>
      <c r="G173" s="62" t="s">
        <v>228</v>
      </c>
      <c r="H173" s="44"/>
      <c r="I173" s="69">
        <v>105</v>
      </c>
      <c r="J173" s="69">
        <v>40</v>
      </c>
      <c r="K173" s="66">
        <f t="shared" si="8"/>
        <v>0</v>
      </c>
      <c r="L173" s="117"/>
    </row>
    <row r="174" spans="3:12" x14ac:dyDescent="0.35">
      <c r="C174" s="61"/>
      <c r="D174" s="106"/>
      <c r="E174" s="38"/>
      <c r="F174" s="39"/>
      <c r="G174" s="62"/>
      <c r="H174" s="44"/>
      <c r="I174" s="69"/>
      <c r="J174" s="69"/>
      <c r="K174" s="66">
        <f t="shared" si="8"/>
        <v>0</v>
      </c>
      <c r="L174" s="117"/>
    </row>
    <row r="175" spans="3:12" x14ac:dyDescent="0.35">
      <c r="C175" s="61"/>
      <c r="D175" s="106"/>
      <c r="E175" s="38"/>
      <c r="F175" s="39"/>
      <c r="G175" s="62"/>
      <c r="H175" s="44"/>
      <c r="I175" s="69"/>
      <c r="J175" s="69"/>
      <c r="K175" s="66"/>
      <c r="L175" s="117"/>
    </row>
    <row r="176" spans="3:12" x14ac:dyDescent="0.35">
      <c r="C176" s="61"/>
      <c r="D176" s="106"/>
      <c r="E176" s="38"/>
      <c r="F176" s="39"/>
      <c r="G176" s="62"/>
      <c r="H176" s="44"/>
      <c r="I176" s="69"/>
      <c r="J176" s="69"/>
      <c r="K176" s="66"/>
      <c r="L176" s="117"/>
    </row>
    <row r="177" spans="3:13" x14ac:dyDescent="0.35">
      <c r="C177" s="61"/>
      <c r="D177" s="106"/>
      <c r="E177" s="38"/>
      <c r="F177" s="39"/>
      <c r="G177" s="62"/>
      <c r="H177" s="44"/>
      <c r="I177" s="69"/>
      <c r="J177" s="69"/>
      <c r="K177" s="66"/>
      <c r="L177" s="117"/>
    </row>
    <row r="178" spans="3:13" x14ac:dyDescent="0.35">
      <c r="C178" s="61"/>
      <c r="D178" s="106"/>
      <c r="E178" s="38"/>
      <c r="F178" s="39"/>
      <c r="G178" s="62"/>
      <c r="H178" s="44"/>
      <c r="I178" s="69"/>
      <c r="J178" s="69"/>
      <c r="K178" s="66"/>
      <c r="L178" s="117"/>
    </row>
    <row r="179" spans="3:13" x14ac:dyDescent="0.35">
      <c r="C179" s="61"/>
      <c r="D179" s="106"/>
      <c r="E179" s="38"/>
      <c r="F179" s="39"/>
      <c r="G179" s="62"/>
      <c r="H179" s="44"/>
      <c r="I179" s="69"/>
      <c r="J179" s="69"/>
      <c r="K179" s="66"/>
      <c r="L179" s="117"/>
    </row>
    <row r="180" spans="3:13" x14ac:dyDescent="0.35">
      <c r="C180" s="61"/>
      <c r="D180" s="106"/>
      <c r="E180" s="38"/>
      <c r="F180" s="39"/>
      <c r="G180" s="62"/>
      <c r="H180" s="44"/>
      <c r="I180" s="69"/>
      <c r="J180" s="69"/>
      <c r="K180" s="66"/>
      <c r="L180" s="117"/>
    </row>
    <row r="181" spans="3:13" x14ac:dyDescent="0.35">
      <c r="C181" s="61"/>
      <c r="D181" s="106"/>
      <c r="E181" s="38"/>
      <c r="F181" s="39"/>
      <c r="G181" s="62"/>
      <c r="H181" s="44"/>
      <c r="I181" s="69"/>
      <c r="J181" s="69"/>
      <c r="K181" s="66"/>
      <c r="L181" s="117"/>
    </row>
    <row r="182" spans="3:13" x14ac:dyDescent="0.35">
      <c r="C182" s="61"/>
      <c r="D182" s="106"/>
      <c r="E182" s="64"/>
      <c r="F182" s="39"/>
      <c r="G182" s="62"/>
      <c r="H182" s="44"/>
      <c r="I182" s="69"/>
      <c r="J182" s="69"/>
      <c r="K182" s="66"/>
      <c r="L182" s="120"/>
    </row>
    <row r="183" spans="3:13" x14ac:dyDescent="0.35">
      <c r="C183" s="73"/>
      <c r="D183" s="74"/>
      <c r="E183" s="75"/>
      <c r="F183" s="73"/>
      <c r="G183" s="76"/>
      <c r="H183" s="76"/>
      <c r="I183" s="76"/>
      <c r="J183" s="76"/>
      <c r="K183" s="77">
        <f>SUM(K137,K102,K77,K45,K30,K115)</f>
        <v>3334999.9974999996</v>
      </c>
      <c r="M183" s="168"/>
    </row>
    <row r="184" spans="3:13" x14ac:dyDescent="0.35">
      <c r="C184" s="78"/>
      <c r="D184" s="79"/>
      <c r="E184" s="80"/>
      <c r="F184" s="78"/>
      <c r="G184" s="81"/>
      <c r="H184" s="81"/>
      <c r="I184" s="81"/>
      <c r="J184" s="81"/>
      <c r="K184" s="82"/>
      <c r="L184" s="258"/>
    </row>
    <row r="185" spans="3:13" x14ac:dyDescent="0.35">
      <c r="C185" s="78"/>
      <c r="D185" s="79"/>
      <c r="E185" s="80"/>
      <c r="F185" s="78"/>
      <c r="G185" s="81"/>
      <c r="H185" s="81"/>
      <c r="I185" s="81"/>
      <c r="J185" s="81"/>
      <c r="K185" s="82"/>
      <c r="L185" s="258"/>
    </row>
    <row r="186" spans="3:13" x14ac:dyDescent="0.35">
      <c r="C186" s="78"/>
      <c r="D186" s="79"/>
      <c r="E186" s="80"/>
      <c r="F186" s="78"/>
      <c r="G186" s="81"/>
      <c r="H186" s="81"/>
      <c r="I186" s="81"/>
      <c r="J186" s="81"/>
      <c r="K186" s="82"/>
    </row>
    <row r="187" spans="3:13" ht="45" x14ac:dyDescent="0.35">
      <c r="C187" s="83"/>
      <c r="D187" s="84"/>
      <c r="E187" s="84"/>
      <c r="F187" s="85" t="s">
        <v>12</v>
      </c>
      <c r="G187" s="86" t="s">
        <v>208</v>
      </c>
      <c r="H187" s="87" t="s">
        <v>209</v>
      </c>
      <c r="I187" s="86" t="s">
        <v>210</v>
      </c>
      <c r="J187" s="86" t="s">
        <v>211</v>
      </c>
      <c r="K187" s="86" t="s">
        <v>212</v>
      </c>
    </row>
    <row r="188" spans="3:13" ht="15" x14ac:dyDescent="0.35">
      <c r="C188" s="88"/>
      <c r="D188" s="88"/>
      <c r="E188" s="88"/>
      <c r="F188" s="85" t="s">
        <v>213</v>
      </c>
      <c r="G188" s="90"/>
      <c r="H188" s="91"/>
      <c r="I188" s="90"/>
      <c r="J188" s="90"/>
      <c r="K188" s="90"/>
    </row>
    <row r="189" spans="3:13" ht="15" x14ac:dyDescent="0.4">
      <c r="C189" s="92"/>
      <c r="D189" s="92"/>
      <c r="E189" s="92"/>
      <c r="F189" s="358" t="s">
        <v>214</v>
      </c>
      <c r="G189" s="92" t="s">
        <v>215</v>
      </c>
      <c r="H189" s="94"/>
      <c r="I189" s="95"/>
      <c r="J189" s="95"/>
      <c r="K189" s="95"/>
    </row>
    <row r="190" spans="3:13" ht="15" x14ac:dyDescent="0.4">
      <c r="C190" s="92"/>
      <c r="D190" s="92"/>
      <c r="E190" s="92"/>
      <c r="F190" s="358" t="s">
        <v>216</v>
      </c>
      <c r="G190" s="92" t="s">
        <v>217</v>
      </c>
      <c r="H190" s="94"/>
      <c r="I190" s="95">
        <f t="shared" ref="I190:I196" si="9">H190*1.6</f>
        <v>0</v>
      </c>
      <c r="J190" s="95">
        <f t="shared" ref="J190:J196" si="10">H190*2</f>
        <v>0</v>
      </c>
      <c r="K190" s="95">
        <f t="shared" ref="K190:K196" si="11">H190*1.2</f>
        <v>0</v>
      </c>
    </row>
    <row r="191" spans="3:13" ht="15" x14ac:dyDescent="0.4">
      <c r="C191" s="92"/>
      <c r="D191" s="92"/>
      <c r="E191" s="92"/>
      <c r="F191" s="358" t="s">
        <v>218</v>
      </c>
      <c r="G191" s="92" t="s">
        <v>217</v>
      </c>
      <c r="H191" s="94"/>
      <c r="I191" s="95">
        <f t="shared" si="9"/>
        <v>0</v>
      </c>
      <c r="J191" s="95">
        <f t="shared" si="10"/>
        <v>0</v>
      </c>
      <c r="K191" s="95">
        <f t="shared" si="11"/>
        <v>0</v>
      </c>
      <c r="L191" s="258"/>
    </row>
    <row r="192" spans="3:13" ht="15" x14ac:dyDescent="0.4">
      <c r="C192" s="92"/>
      <c r="D192" s="92"/>
      <c r="E192" s="92"/>
      <c r="F192" s="358" t="s">
        <v>219</v>
      </c>
      <c r="G192" s="92" t="s">
        <v>217</v>
      </c>
      <c r="H192" s="94"/>
      <c r="I192" s="95">
        <f t="shared" si="9"/>
        <v>0</v>
      </c>
      <c r="J192" s="95">
        <f t="shared" si="10"/>
        <v>0</v>
      </c>
      <c r="K192" s="95">
        <f t="shared" si="11"/>
        <v>0</v>
      </c>
    </row>
    <row r="193" spans="3:11" ht="15" x14ac:dyDescent="0.4">
      <c r="C193" s="92"/>
      <c r="D193" s="92"/>
      <c r="E193" s="92"/>
      <c r="F193" s="358" t="s">
        <v>220</v>
      </c>
      <c r="G193" s="92" t="s">
        <v>217</v>
      </c>
      <c r="H193" s="94"/>
      <c r="I193" s="95">
        <f t="shared" si="9"/>
        <v>0</v>
      </c>
      <c r="J193" s="95">
        <f t="shared" si="10"/>
        <v>0</v>
      </c>
      <c r="K193" s="95">
        <f t="shared" si="11"/>
        <v>0</v>
      </c>
    </row>
    <row r="194" spans="3:11" ht="15" x14ac:dyDescent="0.4">
      <c r="C194" s="92"/>
      <c r="D194" s="92"/>
      <c r="E194" s="92"/>
      <c r="F194" s="358" t="s">
        <v>221</v>
      </c>
      <c r="G194" s="92" t="s">
        <v>217</v>
      </c>
      <c r="H194" s="94"/>
      <c r="I194" s="95">
        <f t="shared" si="9"/>
        <v>0</v>
      </c>
      <c r="J194" s="95">
        <f t="shared" si="10"/>
        <v>0</v>
      </c>
      <c r="K194" s="95">
        <f t="shared" si="11"/>
        <v>0</v>
      </c>
    </row>
    <row r="195" spans="3:11" ht="15" x14ac:dyDescent="0.4">
      <c r="C195" s="92"/>
      <c r="D195" s="92"/>
      <c r="E195" s="92"/>
      <c r="F195" s="358" t="s">
        <v>222</v>
      </c>
      <c r="G195" s="92" t="s">
        <v>217</v>
      </c>
      <c r="H195" s="94"/>
      <c r="I195" s="95">
        <f t="shared" si="9"/>
        <v>0</v>
      </c>
      <c r="J195" s="95">
        <f t="shared" si="10"/>
        <v>0</v>
      </c>
      <c r="K195" s="95">
        <f t="shared" si="11"/>
        <v>0</v>
      </c>
    </row>
    <row r="196" spans="3:11" ht="15" x14ac:dyDescent="0.4">
      <c r="C196" s="92"/>
      <c r="D196" s="92"/>
      <c r="E196" s="92"/>
      <c r="F196" s="358" t="s">
        <v>223</v>
      </c>
      <c r="G196" s="92" t="s">
        <v>217</v>
      </c>
      <c r="H196" s="94"/>
      <c r="I196" s="95">
        <f t="shared" si="9"/>
        <v>0</v>
      </c>
      <c r="J196" s="95">
        <f t="shared" si="10"/>
        <v>0</v>
      </c>
      <c r="K196" s="95">
        <f t="shared" si="11"/>
        <v>0</v>
      </c>
    </row>
    <row r="197" spans="3:11" ht="15" x14ac:dyDescent="0.4">
      <c r="C197" s="92"/>
      <c r="D197" s="92"/>
      <c r="E197" s="92"/>
      <c r="F197" s="358"/>
      <c r="G197" s="92"/>
      <c r="H197" s="96"/>
      <c r="I197" s="95"/>
      <c r="J197" s="95"/>
      <c r="K197" s="95"/>
    </row>
    <row r="198" spans="3:11" ht="15" x14ac:dyDescent="0.4">
      <c r="C198" s="97"/>
      <c r="D198" s="98"/>
      <c r="E198" s="98"/>
      <c r="F198" s="99"/>
      <c r="G198" s="98"/>
      <c r="H198" s="97"/>
      <c r="I198" s="98"/>
      <c r="J198" s="98"/>
      <c r="K198" s="98"/>
    </row>
    <row r="199" spans="3:11" ht="15" x14ac:dyDescent="0.4">
      <c r="C199" s="97"/>
      <c r="D199" s="98"/>
      <c r="E199" s="98"/>
      <c r="F199" s="99"/>
      <c r="G199" s="100"/>
      <c r="H199" s="101"/>
      <c r="I199" s="98"/>
      <c r="J199" s="98"/>
      <c r="K199" s="98"/>
    </row>
    <row r="200" spans="3:11" ht="15" x14ac:dyDescent="0.4">
      <c r="E200" s="98"/>
      <c r="F200" s="99"/>
      <c r="G200" s="100"/>
      <c r="H200" s="101"/>
      <c r="I200" s="98"/>
      <c r="J200" s="98"/>
      <c r="K200" s="98"/>
    </row>
  </sheetData>
  <mergeCells count="43">
    <mergeCell ref="D103:D114"/>
    <mergeCell ref="D139:D146"/>
    <mergeCell ref="H29:H30"/>
    <mergeCell ref="I29:I30"/>
    <mergeCell ref="J29:J30"/>
    <mergeCell ref="D31:D44"/>
    <mergeCell ref="D47:D75"/>
    <mergeCell ref="D81:D101"/>
    <mergeCell ref="C28:C30"/>
    <mergeCell ref="E28:E29"/>
    <mergeCell ref="F28:F29"/>
    <mergeCell ref="I28:J28"/>
    <mergeCell ref="G29:G30"/>
    <mergeCell ref="F23:G23"/>
    <mergeCell ref="F24:G24"/>
    <mergeCell ref="F25:G25"/>
    <mergeCell ref="F26:G26"/>
    <mergeCell ref="H26:J26"/>
    <mergeCell ref="F22:G22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10:G10"/>
    <mergeCell ref="C1:K1"/>
    <mergeCell ref="C2:F2"/>
    <mergeCell ref="C3:D3"/>
    <mergeCell ref="E3:F3"/>
    <mergeCell ref="C4:D4"/>
    <mergeCell ref="E4:F4"/>
    <mergeCell ref="G4:I4"/>
    <mergeCell ref="C6:E6"/>
    <mergeCell ref="F6:K6"/>
    <mergeCell ref="C7:E7"/>
    <mergeCell ref="F7:K7"/>
    <mergeCell ref="F9:G9"/>
  </mergeCells>
  <conditionalFormatting sqref="K433">
    <cfRule type="cellIs" dxfId="0" priority="1" operator="lessThan">
      <formula>0</formula>
    </cfRule>
  </conditionalFormatting>
  <dataValidations count="1">
    <dataValidation allowBlank="1" showInputMessage="1" showErrorMessage="1" promptTitle="INFORMAR A RAZÃO SOCIAL " prompt="DE FATURAMENTO" sqref="F6" xr:uid="{D6086C98-F2A0-448F-B16C-49EDA968E97A}"/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49A82-70F6-429E-B6DF-108C0DF54BB8}">
  <ds:schemaRefs>
    <ds:schemaRef ds:uri="http://schemas.microsoft.com/office/2006/metadata/properties"/>
    <ds:schemaRef ds:uri="http://schemas.microsoft.com/office/infopath/2007/PartnerControls"/>
    <ds:schemaRef ds:uri="90fa014f-5b20-4dd5-b9da-4fe8f28610af"/>
    <ds:schemaRef ds:uri="01c109e8-1b84-4817-845c-8ecc582008ab"/>
  </ds:schemaRefs>
</ds:datastoreItem>
</file>

<file path=customXml/itemProps2.xml><?xml version="1.0" encoding="utf-8"?>
<ds:datastoreItem xmlns:ds="http://schemas.openxmlformats.org/officeDocument/2006/customXml" ds:itemID="{BA2F6CC4-7ABB-4ED7-8B29-00287860C824}"/>
</file>

<file path=customXml/itemProps3.xml><?xml version="1.0" encoding="utf-8"?>
<ds:datastoreItem xmlns:ds="http://schemas.openxmlformats.org/officeDocument/2006/customXml" ds:itemID="{F3061B7E-1421-46A5-B496-46ACACB738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PROPOSTA01</vt:lpstr>
      <vt:lpstr>1 Equa</vt:lpstr>
      <vt:lpstr>PROPOSTA 02</vt:lpstr>
      <vt:lpstr>2 EQUA</vt:lpstr>
      <vt:lpstr>PROPOSTA07</vt:lpstr>
    </vt:vector>
  </TitlesOfParts>
  <Manager/>
  <Company>C&amp;A MODAS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Juliane Pereira Garcia</dc:creator>
  <cp:keywords/>
  <dc:description/>
  <cp:lastModifiedBy>Karolyne Braganca</cp:lastModifiedBy>
  <cp:revision/>
  <dcterms:created xsi:type="dcterms:W3CDTF">2025-09-24T14:40:09Z</dcterms:created>
  <dcterms:modified xsi:type="dcterms:W3CDTF">2026-02-27T13:27:17Z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ediaServiceImageTags">
    <vt:lpwstr/>
  </property>
</Properties>
</file>