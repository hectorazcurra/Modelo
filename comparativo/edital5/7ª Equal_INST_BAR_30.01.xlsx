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GENILSON\Downloads\"/>
    </mc:Choice>
  </mc:AlternateContent>
  <xr:revisionPtr revIDLastSave="0" documentId="13_ncr:1_{0A8FF4F9-3AF1-438A-8E7B-18E35B29ED8B}" xr6:coauthVersionLast="47" xr6:coauthVersionMax="47" xr10:uidLastSave="{00000000-0000-0000-0000-000000000000}"/>
  <bookViews>
    <workbookView xWindow="-120" yWindow="-120" windowWidth="20730" windowHeight="11160" tabRatio="720" xr2:uid="{0B2D9038-0516-4F55-A85F-D8D04CA774CC}"/>
  </bookViews>
  <sheets>
    <sheet name="5 Equa" sheetId="1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71" i="14" l="1"/>
  <c r="I570" i="14"/>
  <c r="I569" i="14"/>
  <c r="I568" i="14"/>
  <c r="I567" i="14"/>
  <c r="I566" i="14"/>
  <c r="I565" i="14"/>
  <c r="I564" i="14"/>
  <c r="I563" i="14"/>
  <c r="I580" i="14" s="1"/>
  <c r="I582" i="14" s="1"/>
  <c r="F560" i="14"/>
  <c r="I542" i="14"/>
  <c r="I541" i="14"/>
  <c r="I540" i="14"/>
  <c r="I539" i="14"/>
  <c r="I538" i="14"/>
  <c r="I537" i="14"/>
  <c r="I536" i="14"/>
  <c r="I535" i="14"/>
  <c r="I532" i="14"/>
  <c r="I531" i="14"/>
  <c r="I530" i="14"/>
  <c r="I529" i="14"/>
  <c r="I528" i="14"/>
  <c r="I527" i="14"/>
  <c r="I526" i="14"/>
  <c r="I525" i="14"/>
  <c r="I524" i="14"/>
  <c r="I523" i="14"/>
  <c r="I522" i="14"/>
  <c r="I521" i="14"/>
  <c r="I519" i="14"/>
  <c r="I518" i="14"/>
  <c r="I517" i="14"/>
  <c r="I516" i="14"/>
  <c r="I515" i="14"/>
  <c r="I514" i="14"/>
  <c r="I513" i="14"/>
  <c r="I512" i="14"/>
  <c r="I511" i="14"/>
  <c r="I510" i="14"/>
  <c r="I509" i="14"/>
  <c r="I508" i="14"/>
  <c r="I507" i="14"/>
  <c r="I506" i="14"/>
  <c r="I505" i="14"/>
  <c r="I504" i="14"/>
  <c r="I503" i="14"/>
  <c r="I502" i="14"/>
  <c r="I501" i="14"/>
  <c r="I500" i="14"/>
  <c r="I499" i="14"/>
  <c r="I498" i="14"/>
  <c r="I496" i="14"/>
  <c r="I495" i="14"/>
  <c r="I494" i="14"/>
  <c r="I493" i="14"/>
  <c r="I492" i="14"/>
  <c r="I491" i="14"/>
  <c r="I490" i="14"/>
  <c r="I489" i="14"/>
  <c r="I488" i="14"/>
  <c r="I487" i="14"/>
  <c r="I486" i="14"/>
  <c r="I485" i="14"/>
  <c r="I484" i="14"/>
  <c r="I483" i="14"/>
  <c r="I482" i="14"/>
  <c r="I481" i="14"/>
  <c r="I479" i="14"/>
  <c r="I478" i="14"/>
  <c r="I477" i="14"/>
  <c r="I476" i="14"/>
  <c r="I475" i="14"/>
  <c r="I474" i="14"/>
  <c r="I473" i="14"/>
  <c r="I472" i="14"/>
  <c r="I471" i="14"/>
  <c r="I470" i="14"/>
  <c r="I469" i="14"/>
  <c r="I468" i="14"/>
  <c r="I467" i="14"/>
  <c r="I466" i="14"/>
  <c r="I463" i="14"/>
  <c r="I462" i="14"/>
  <c r="I461" i="14"/>
  <c r="I460" i="14"/>
  <c r="I459" i="14"/>
  <c r="I458" i="14"/>
  <c r="I457" i="14"/>
  <c r="I12" i="14" s="1"/>
  <c r="I456" i="14"/>
  <c r="I455" i="14"/>
  <c r="I454" i="14"/>
  <c r="I453" i="14"/>
  <c r="I452" i="14"/>
  <c r="I451" i="14"/>
  <c r="I450" i="14"/>
  <c r="I449" i="14"/>
  <c r="I448" i="14"/>
  <c r="I445" i="14"/>
  <c r="I444" i="14"/>
  <c r="I443" i="14"/>
  <c r="I442" i="14"/>
  <c r="I441" i="14"/>
  <c r="I440" i="14"/>
  <c r="I439" i="14"/>
  <c r="I438" i="14"/>
  <c r="I437" i="14"/>
  <c r="I436" i="14"/>
  <c r="I435" i="14"/>
  <c r="I434" i="14"/>
  <c r="I433" i="14"/>
  <c r="I432" i="14"/>
  <c r="I431" i="14"/>
  <c r="I430" i="14"/>
  <c r="I429" i="14"/>
  <c r="I428" i="14"/>
  <c r="I427" i="14"/>
  <c r="I426" i="14"/>
  <c r="I425" i="14"/>
  <c r="I424" i="14"/>
  <c r="I423" i="14"/>
  <c r="I422" i="14"/>
  <c r="I421" i="14"/>
  <c r="I420" i="14"/>
  <c r="I419" i="14"/>
  <c r="I418" i="14"/>
  <c r="I417" i="14"/>
  <c r="I416" i="14"/>
  <c r="I415" i="14"/>
  <c r="I414" i="14"/>
  <c r="I413" i="14"/>
  <c r="I412" i="14"/>
  <c r="I411" i="14"/>
  <c r="I410" i="14"/>
  <c r="I409" i="14"/>
  <c r="I408" i="14"/>
  <c r="I406" i="14"/>
  <c r="I405" i="14"/>
  <c r="I404" i="14"/>
  <c r="I403" i="14"/>
  <c r="I402" i="14"/>
  <c r="I401" i="14"/>
  <c r="I400" i="14"/>
  <c r="I399" i="14"/>
  <c r="I398" i="14"/>
  <c r="I397" i="14"/>
  <c r="I396" i="14"/>
  <c r="I395" i="14"/>
  <c r="I394" i="14"/>
  <c r="I393" i="14"/>
  <c r="I392" i="14"/>
  <c r="I391" i="14"/>
  <c r="I390" i="14"/>
  <c r="I389" i="14"/>
  <c r="I388" i="14"/>
  <c r="I386" i="14"/>
  <c r="I385" i="14"/>
  <c r="I384" i="14"/>
  <c r="I383" i="14"/>
  <c r="I382" i="14"/>
  <c r="I381" i="14"/>
  <c r="I378" i="14"/>
  <c r="I377" i="14"/>
  <c r="I376" i="14"/>
  <c r="I375" i="14"/>
  <c r="I374" i="14"/>
  <c r="I373" i="14"/>
  <c r="I372" i="14"/>
  <c r="I371" i="14"/>
  <c r="I370" i="14"/>
  <c r="I369" i="14"/>
  <c r="I368" i="14"/>
  <c r="I367" i="14"/>
  <c r="I366" i="14"/>
  <c r="I365" i="14"/>
  <c r="I364" i="14"/>
  <c r="I363" i="14"/>
  <c r="I362" i="14"/>
  <c r="I361" i="14"/>
  <c r="I359" i="14"/>
  <c r="I358" i="14"/>
  <c r="I357" i="14"/>
  <c r="I356" i="14"/>
  <c r="I355" i="14"/>
  <c r="I354" i="14"/>
  <c r="I353" i="14"/>
  <c r="I352" i="14"/>
  <c r="I351" i="14"/>
  <c r="I350" i="14"/>
  <c r="I349" i="14"/>
  <c r="I348" i="14"/>
  <c r="I347" i="14"/>
  <c r="I346" i="14"/>
  <c r="I345" i="14"/>
  <c r="I344" i="14"/>
  <c r="I343" i="14"/>
  <c r="I342" i="14"/>
  <c r="I341" i="14"/>
  <c r="I340" i="14"/>
  <c r="I339" i="14"/>
  <c r="I338" i="14"/>
  <c r="I337" i="14"/>
  <c r="I336" i="14"/>
  <c r="I335" i="14"/>
  <c r="I334" i="14"/>
  <c r="I333" i="14"/>
  <c r="I332" i="14"/>
  <c r="I331" i="14"/>
  <c r="I330" i="14"/>
  <c r="I329" i="14"/>
  <c r="I328" i="14"/>
  <c r="I327" i="14"/>
  <c r="I326" i="14"/>
  <c r="I325" i="14"/>
  <c r="I324" i="14"/>
  <c r="I323" i="14"/>
  <c r="I322" i="14"/>
  <c r="I321" i="14"/>
  <c r="I320" i="14"/>
  <c r="I319" i="14"/>
  <c r="I318" i="14"/>
  <c r="I317" i="14"/>
  <c r="I316" i="14"/>
  <c r="I314" i="14"/>
  <c r="I313" i="14"/>
  <c r="I312" i="14"/>
  <c r="I311" i="14"/>
  <c r="I310" i="14"/>
  <c r="I309" i="14"/>
  <c r="I308" i="14"/>
  <c r="I307" i="14"/>
  <c r="I306" i="14"/>
  <c r="I305" i="14"/>
  <c r="I304" i="14"/>
  <c r="I303" i="14"/>
  <c r="I302" i="14"/>
  <c r="I301" i="14"/>
  <c r="I300" i="14"/>
  <c r="I299" i="14"/>
  <c r="I298" i="14"/>
  <c r="I297" i="14"/>
  <c r="I296" i="14"/>
  <c r="I295" i="14"/>
  <c r="I294" i="14"/>
  <c r="I293" i="14"/>
  <c r="I292" i="14"/>
  <c r="I291" i="14"/>
  <c r="I290" i="14"/>
  <c r="I289" i="14"/>
  <c r="I288" i="14"/>
  <c r="I287" i="14"/>
  <c r="I286" i="14"/>
  <c r="I285" i="14"/>
  <c r="I284" i="14"/>
  <c r="I283" i="14"/>
  <c r="I282" i="14"/>
  <c r="I281" i="14"/>
  <c r="I280" i="14"/>
  <c r="I279" i="14"/>
  <c r="I278" i="14"/>
  <c r="I277" i="14"/>
  <c r="I276" i="14"/>
  <c r="I275" i="14"/>
  <c r="I274" i="14"/>
  <c r="I273" i="14"/>
  <c r="I272" i="14"/>
  <c r="I271" i="14"/>
  <c r="I270" i="14"/>
  <c r="I269" i="14"/>
  <c r="I268" i="14"/>
  <c r="I267" i="14"/>
  <c r="I266" i="14"/>
  <c r="I265" i="14"/>
  <c r="I264" i="14"/>
  <c r="I263" i="14"/>
  <c r="I260" i="14"/>
  <c r="I259" i="14"/>
  <c r="I258" i="14"/>
  <c r="I257" i="14"/>
  <c r="I256" i="14"/>
  <c r="I255" i="14"/>
  <c r="I254" i="14"/>
  <c r="I253" i="14"/>
  <c r="I252" i="14"/>
  <c r="I251" i="14"/>
  <c r="I250" i="14"/>
  <c r="I247" i="14"/>
  <c r="I246" i="14"/>
  <c r="I245" i="14"/>
  <c r="I244" i="14"/>
  <c r="I243" i="14"/>
  <c r="I242" i="14"/>
  <c r="I241" i="14"/>
  <c r="I240" i="14"/>
  <c r="I230" i="14" s="1"/>
  <c r="I239" i="14"/>
  <c r="I238" i="14"/>
  <c r="I237" i="14"/>
  <c r="I236" i="14"/>
  <c r="I235" i="14"/>
  <c r="I234" i="14"/>
  <c r="I233" i="14"/>
  <c r="I232" i="14"/>
  <c r="I231" i="14"/>
  <c r="I229" i="14"/>
  <c r="I228" i="14"/>
  <c r="I227" i="14"/>
  <c r="I226" i="14"/>
  <c r="I225" i="14"/>
  <c r="I224" i="14"/>
  <c r="I223" i="14"/>
  <c r="I222" i="14"/>
  <c r="I221" i="14"/>
  <c r="I220" i="14"/>
  <c r="I219" i="14"/>
  <c r="I217" i="14"/>
  <c r="I216" i="14"/>
  <c r="I215" i="14"/>
  <c r="I214" i="14"/>
  <c r="I213" i="14"/>
  <c r="I212" i="14"/>
  <c r="I211" i="14"/>
  <c r="I210" i="14"/>
  <c r="I209" i="14"/>
  <c r="I208" i="14"/>
  <c r="I207" i="14"/>
  <c r="I206" i="14"/>
  <c r="I205" i="14"/>
  <c r="I204" i="14"/>
  <c r="I203" i="14"/>
  <c r="I202" i="14"/>
  <c r="I201" i="14"/>
  <c r="I200" i="14"/>
  <c r="I199" i="14"/>
  <c r="I198" i="14"/>
  <c r="I197" i="14"/>
  <c r="I196" i="14"/>
  <c r="I195" i="14"/>
  <c r="I194" i="14"/>
  <c r="I193" i="14"/>
  <c r="I192" i="14"/>
  <c r="I189" i="14"/>
  <c r="I188" i="14"/>
  <c r="I187" i="14"/>
  <c r="I186" i="14"/>
  <c r="I185" i="14"/>
  <c r="I184" i="14"/>
  <c r="I183" i="14"/>
  <c r="I182" i="14"/>
  <c r="I181" i="14"/>
  <c r="I180" i="14"/>
  <c r="I179" i="14"/>
  <c r="I178" i="14"/>
  <c r="I177" i="14"/>
  <c r="I176" i="14"/>
  <c r="I175" i="14"/>
  <c r="I174" i="14"/>
  <c r="I173" i="14"/>
  <c r="I172" i="14"/>
  <c r="I171" i="14"/>
  <c r="I170" i="14"/>
  <c r="I169" i="14"/>
  <c r="I168" i="14"/>
  <c r="I167" i="14"/>
  <c r="I166" i="14"/>
  <c r="I165" i="14"/>
  <c r="I164" i="14"/>
  <c r="I163" i="14"/>
  <c r="I162" i="14"/>
  <c r="I161" i="14"/>
  <c r="I160" i="14"/>
  <c r="I159" i="14"/>
  <c r="I157" i="14"/>
  <c r="I156" i="14"/>
  <c r="I155" i="14"/>
  <c r="I154" i="14"/>
  <c r="I153" i="14"/>
  <c r="I152" i="14"/>
  <c r="I151" i="14"/>
  <c r="I150" i="14"/>
  <c r="I149" i="14"/>
  <c r="I148" i="14"/>
  <c r="I147" i="14"/>
  <c r="I146" i="14"/>
  <c r="I145" i="14"/>
  <c r="I144" i="14"/>
  <c r="I143" i="14"/>
  <c r="I142" i="14"/>
  <c r="I141" i="14"/>
  <c r="I140" i="14"/>
  <c r="I139" i="14"/>
  <c r="I138" i="14"/>
  <c r="I137" i="14"/>
  <c r="I136" i="14"/>
  <c r="I135" i="14"/>
  <c r="I134" i="14"/>
  <c r="I133" i="14"/>
  <c r="I132" i="14"/>
  <c r="I131" i="14"/>
  <c r="I130" i="14"/>
  <c r="I129" i="14"/>
  <c r="I127" i="14" s="1"/>
  <c r="I128" i="14"/>
  <c r="I126" i="14"/>
  <c r="I125" i="14"/>
  <c r="I124" i="14"/>
  <c r="I123" i="14"/>
  <c r="I122" i="14"/>
  <c r="I121" i="14"/>
  <c r="I120" i="14"/>
  <c r="I119" i="14"/>
  <c r="I118" i="14"/>
  <c r="I117" i="14"/>
  <c r="I116" i="14"/>
  <c r="I115" i="14"/>
  <c r="I114" i="14"/>
  <c r="I113" i="14"/>
  <c r="I112" i="14"/>
  <c r="I111" i="14"/>
  <c r="I110" i="14"/>
  <c r="I109" i="14"/>
  <c r="I108" i="14"/>
  <c r="I107" i="14"/>
  <c r="I106" i="14"/>
  <c r="I105" i="14"/>
  <c r="I104" i="14"/>
  <c r="I103" i="14"/>
  <c r="I102" i="14"/>
  <c r="I101" i="14"/>
  <c r="I100" i="14"/>
  <c r="I98" i="14"/>
  <c r="I97" i="14"/>
  <c r="I96" i="14"/>
  <c r="I95" i="14"/>
  <c r="I94" i="14"/>
  <c r="I93" i="14"/>
  <c r="I92" i="14"/>
  <c r="I91" i="14"/>
  <c r="I90" i="14"/>
  <c r="I89" i="14"/>
  <c r="I88" i="14"/>
  <c r="I87" i="14"/>
  <c r="I86" i="14"/>
  <c r="I85" i="14"/>
  <c r="I84" i="14"/>
  <c r="I83" i="14"/>
  <c r="I82" i="14"/>
  <c r="I81" i="14"/>
  <c r="I80" i="14"/>
  <c r="I79" i="14"/>
  <c r="I78" i="14"/>
  <c r="I77" i="14"/>
  <c r="I76" i="14"/>
  <c r="I75" i="14"/>
  <c r="I74" i="14"/>
  <c r="I73" i="14"/>
  <c r="I72" i="14"/>
  <c r="I71" i="14"/>
  <c r="I70" i="14"/>
  <c r="I69" i="14"/>
  <c r="I68" i="14"/>
  <c r="I67" i="14"/>
  <c r="I66" i="14"/>
  <c r="I65" i="14"/>
  <c r="I64" i="14"/>
  <c r="I63" i="14"/>
  <c r="I62" i="14"/>
  <c r="I61" i="14"/>
  <c r="I60" i="14"/>
  <c r="I59" i="14"/>
  <c r="I58" i="14"/>
  <c r="I57" i="14"/>
  <c r="I56" i="14"/>
  <c r="I55" i="14"/>
  <c r="I54" i="14"/>
  <c r="I53" i="14"/>
  <c r="I52" i="14"/>
  <c r="I51" i="14"/>
  <c r="I50" i="14"/>
  <c r="I49" i="14"/>
  <c r="I48" i="14"/>
  <c r="I47" i="14"/>
  <c r="I46" i="14"/>
  <c r="I45" i="14"/>
  <c r="I44" i="14"/>
  <c r="I43" i="14"/>
  <c r="I42" i="14"/>
  <c r="I41" i="14"/>
  <c r="I40" i="14"/>
  <c r="I39" i="14"/>
  <c r="I38" i="14"/>
  <c r="I37" i="14"/>
  <c r="I36" i="14"/>
  <c r="I35" i="14"/>
  <c r="I34" i="14"/>
  <c r="I33" i="14"/>
  <c r="I32" i="14"/>
  <c r="I31" i="14"/>
  <c r="I30" i="14"/>
  <c r="I29" i="14"/>
  <c r="I28" i="14"/>
  <c r="I27" i="14"/>
  <c r="I20" i="14"/>
  <c r="G20" i="14" s="1"/>
  <c r="I19" i="14"/>
  <c r="H4" i="14"/>
  <c r="I218" i="14" l="1"/>
  <c r="I497" i="14"/>
  <c r="I480" i="14"/>
  <c r="I407" i="14"/>
  <c r="I158" i="14"/>
  <c r="I191" i="14"/>
  <c r="I26" i="14"/>
  <c r="I99" i="14"/>
  <c r="I262" i="14"/>
  <c r="I315" i="14"/>
  <c r="I261" i="14" s="1"/>
  <c r="I380" i="14"/>
  <c r="I465" i="14"/>
  <c r="I520" i="14"/>
  <c r="I387" i="14"/>
  <c r="I447" i="14"/>
  <c r="I446" i="14" s="1"/>
  <c r="I533" i="14"/>
  <c r="I249" i="14"/>
  <c r="I360" i="14"/>
  <c r="I16" i="14"/>
  <c r="I15" i="14"/>
  <c r="G15" i="14" s="1"/>
  <c r="I248" i="14"/>
  <c r="G12" i="14"/>
  <c r="I464" i="14" l="1"/>
  <c r="I18" i="14"/>
  <c r="I25" i="14"/>
  <c r="I190" i="14"/>
  <c r="I379" i="14"/>
  <c r="I14" i="14"/>
  <c r="I13" i="14"/>
  <c r="G13" i="14" s="1"/>
  <c r="I17" i="14"/>
  <c r="G17" i="14" s="1"/>
  <c r="I556" i="14" l="1"/>
  <c r="I558" i="14" s="1"/>
  <c r="G14" i="14"/>
  <c r="G16" i="14" s="1"/>
  <c r="G18" i="14" s="1"/>
  <c r="I21" i="14"/>
  <c r="G19" i="14" l="1"/>
</calcChain>
</file>

<file path=xl/sharedStrings.xml><?xml version="1.0" encoding="utf-8"?>
<sst xmlns="http://schemas.openxmlformats.org/spreadsheetml/2006/main" count="1641" uniqueCount="945">
  <si>
    <t>LOJA</t>
  </si>
  <si>
    <t>Tipo</t>
  </si>
  <si>
    <t>Tamanho</t>
  </si>
  <si>
    <t>ÁREA</t>
  </si>
  <si>
    <t>INÍCIO DA OBRA</t>
  </si>
  <si>
    <t>CONCLUSÃO DA OBRA</t>
  </si>
  <si>
    <t>Gerenciador:</t>
  </si>
  <si>
    <t>Duração da obra:</t>
  </si>
  <si>
    <t>RAZÃO SOCIAL</t>
  </si>
  <si>
    <t>CNPJ</t>
  </si>
  <si>
    <t>DESCRIÇÃO</t>
  </si>
  <si>
    <t>Classe de Custo</t>
  </si>
  <si>
    <t>ITEM</t>
  </si>
  <si>
    <t>CÓD. SERVIÇO</t>
  </si>
  <si>
    <t>VALOR</t>
  </si>
  <si>
    <t>SERV LIMP. VIGILANCIA. /ADMINIST.</t>
  </si>
  <si>
    <t xml:space="preserve">SERVICOS NAS INSTALAÇÕES ELETRICAS      </t>
  </si>
  <si>
    <t>SERV NAS INSTAL HIDRAULICAS / SANITÁRIAS</t>
  </si>
  <si>
    <t>SERV GERENCI ENERGIA ELÉTRICA</t>
  </si>
  <si>
    <t xml:space="preserve">SERV CABOS, PAIN E QUAD DE ALI   </t>
  </si>
  <si>
    <t xml:space="preserve">SERV CABINE PRIMÁRIA / SUB-ESTAÇÃO      </t>
  </si>
  <si>
    <t>SERV SPRINK / HIDR / EXTIN / ALARM / DET</t>
  </si>
  <si>
    <t>SERV PROJETO INSTAL ELETRICAS</t>
  </si>
  <si>
    <t>SERVICO COMBATE A INCENDIO</t>
  </si>
  <si>
    <t>TOTAL</t>
  </si>
  <si>
    <t>C.C.</t>
  </si>
  <si>
    <t>PREÇOS UNITÁRIOS</t>
  </si>
  <si>
    <t>UN</t>
  </si>
  <si>
    <t>QDE.</t>
  </si>
  <si>
    <t>MAT.</t>
  </si>
  <si>
    <t>M.OBRA</t>
  </si>
  <si>
    <t>A</t>
  </si>
  <si>
    <t>SERVIÇOS NAS INSTALAÇÕES ELÉTRICAS</t>
  </si>
  <si>
    <t>1.0</t>
  </si>
  <si>
    <t>DISTRIBUIÇÃO DE ILUMINAÇÃO E TOMADAS</t>
  </si>
  <si>
    <t>1.1</t>
  </si>
  <si>
    <t>Eletrocalha galvanizada lisa com tampa de encaixe 300x75mm</t>
  </si>
  <si>
    <t>m</t>
  </si>
  <si>
    <t>1.2</t>
  </si>
  <si>
    <t>Eletrocalha galvanizada lisa com tampa de encaixe 200x50mm</t>
  </si>
  <si>
    <t>1.3</t>
  </si>
  <si>
    <t>Eletrocalha galvanizada lisa com tampa de encaixe 150x100mm</t>
  </si>
  <si>
    <t>1.4</t>
  </si>
  <si>
    <t>Eletrocalha galvanizada lisa com tampa de encaixe 100x100mm</t>
  </si>
  <si>
    <t>1.5</t>
  </si>
  <si>
    <t>Eletrocalha galvanizada lisa com tampa de encaixe 100x50mm</t>
  </si>
  <si>
    <t>1.6</t>
  </si>
  <si>
    <t>Eletrocalha galvanizada lisa com tampa de encaixe 50x50mm</t>
  </si>
  <si>
    <t>1.7</t>
  </si>
  <si>
    <t>Acessórios e conexões para eletrocalha (curvas verticais, curvas horizontais, tês, flanges, talas de emenda, saída horizontal para perfilado 38 x 38, saída horizontal para eletroduto 3/4", etc...)</t>
  </si>
  <si>
    <t>vb</t>
  </si>
  <si>
    <t>1.8</t>
  </si>
  <si>
    <t>Perfilado galvanizado liso 38x38mm</t>
  </si>
  <si>
    <t>1.9</t>
  </si>
  <si>
    <t>Acessórios e conexões para perfilado (junção tipo "I", junção tipo "L", junção tipo "T", junção tipo "X", saída lateral para eletroduto 3/4", etc...)</t>
  </si>
  <si>
    <t>1.10</t>
  </si>
  <si>
    <t>Eletroduto de ferro galvanizado Ø 3/4"</t>
  </si>
  <si>
    <t>1.11</t>
  </si>
  <si>
    <t>Eletroduto de ferro galvanizado Ø 1"</t>
  </si>
  <si>
    <t>1.12</t>
  </si>
  <si>
    <t>Eletroduto de ferro galvanizado Ø 1.1/4"</t>
  </si>
  <si>
    <t>1.13</t>
  </si>
  <si>
    <t>Eletroduto de ferro galvanizado Ø 1.1/2"</t>
  </si>
  <si>
    <t>1.14</t>
  </si>
  <si>
    <t>Eletroduto de ferro galvanizado Ø 2"</t>
  </si>
  <si>
    <t>1.15</t>
  </si>
  <si>
    <t>Eletroduto de ferro galvanizado Ø 2.1/2"</t>
  </si>
  <si>
    <t>1.16</t>
  </si>
  <si>
    <t>Eletroduto de ferro galvanizado Ø 4"</t>
  </si>
  <si>
    <t>1.17</t>
  </si>
  <si>
    <t>Sealtube ø1.1/2"</t>
  </si>
  <si>
    <t>1.18</t>
  </si>
  <si>
    <t>Sealtube ø2"</t>
  </si>
  <si>
    <t>1.19</t>
  </si>
  <si>
    <t>Acessórios e conexões para eletroduto (Curva, bucha e arruela, unidut, luva,box, etc...)</t>
  </si>
  <si>
    <t>1.20</t>
  </si>
  <si>
    <t>Suporte completo para eletrocalhas, perfilados e eletrodutos (tirantes, chumbadores, abraçadeiras, ganchos, etc.)</t>
  </si>
  <si>
    <t>1.21</t>
  </si>
  <si>
    <t>Condulete de alumínio Ø 3/4"</t>
  </si>
  <si>
    <t>pç</t>
  </si>
  <si>
    <t>1.22</t>
  </si>
  <si>
    <t>Condulete de alumínio Ø 1.1/4"</t>
  </si>
  <si>
    <t>1.23</t>
  </si>
  <si>
    <t>Condulete de alumínio Ø 1.1/2"</t>
  </si>
  <si>
    <t>1.24</t>
  </si>
  <si>
    <t>Condulete de alumínio Ø 2"</t>
  </si>
  <si>
    <t>1.25</t>
  </si>
  <si>
    <t>Condulete de alumínio Ø 2.1/2"</t>
  </si>
  <si>
    <t>1.26</t>
  </si>
  <si>
    <t>Condulete de alumínio Ø4"</t>
  </si>
  <si>
    <t>1.27</t>
  </si>
  <si>
    <t>Curva 90º galvanizada a fogo Ø 3/4"</t>
  </si>
  <si>
    <t>1.28</t>
  </si>
  <si>
    <t>Acessórios e conexões para Condulete (Unidut, bucha e arruela, tampa, etc...)</t>
  </si>
  <si>
    <t>1.29</t>
  </si>
  <si>
    <t>Caixa de passagem (Caixa 4 x 2 , Caixa 4 x 4, Caixa 15 x 15, Caixa 20 x 20, Caixa 30 x 30, etc...)</t>
  </si>
  <si>
    <t>1.30</t>
  </si>
  <si>
    <t>Cabo cobre isolação afumex 750V #2,5mm²</t>
  </si>
  <si>
    <t>1.31</t>
  </si>
  <si>
    <t>Cabo cobre isolação afumex 750V #4mm²</t>
  </si>
  <si>
    <t>1.32</t>
  </si>
  <si>
    <t>Cabo cobre isolação afumex 750V #6mm²</t>
  </si>
  <si>
    <t>1.33</t>
  </si>
  <si>
    <t>Cabo cobre isolação afumex 0,6/1000V #10mm²</t>
  </si>
  <si>
    <t>1.34</t>
  </si>
  <si>
    <t xml:space="preserve">Cabo de cobre afumex tipo PP 3x#1,5m² </t>
  </si>
  <si>
    <t>1.35</t>
  </si>
  <si>
    <t>Acessórios para fiação (fitas isolantes, fita crepe, solda estanho, identificações, etc...)</t>
  </si>
  <si>
    <t>1.36</t>
  </si>
  <si>
    <t>Prensa cabo de Ø 1/2"</t>
  </si>
  <si>
    <t>1.37</t>
  </si>
  <si>
    <t>Plug monobloco 2P+T fêmea</t>
  </si>
  <si>
    <t>1.38</t>
  </si>
  <si>
    <t>Ponto de chuveiro elétrico</t>
  </si>
  <si>
    <t>1.39</t>
  </si>
  <si>
    <t>Ponto de torneira elétrica</t>
  </si>
  <si>
    <t>1.40</t>
  </si>
  <si>
    <t>Botoeira iluminação vigia</t>
  </si>
  <si>
    <t>1.41</t>
  </si>
  <si>
    <t>Sensor de presença</t>
  </si>
  <si>
    <t>1.42</t>
  </si>
  <si>
    <t>Tomada 2P+T 32A - Steck</t>
  </si>
  <si>
    <t>1.43</t>
  </si>
  <si>
    <t>Interruptor simples montado em condulete</t>
  </si>
  <si>
    <t>1.44</t>
  </si>
  <si>
    <t>Interruptor paralelo montado em condulete</t>
  </si>
  <si>
    <t>1.45</t>
  </si>
  <si>
    <t>Interruptor Itermediário montado em condulete</t>
  </si>
  <si>
    <t>1.46</t>
  </si>
  <si>
    <t>Conjunto de 2 Interruptores simples montado em condulete</t>
  </si>
  <si>
    <t>1.47</t>
  </si>
  <si>
    <t>Interruptor simples montado em caixa 4x2"</t>
  </si>
  <si>
    <t>1.48</t>
  </si>
  <si>
    <t>Interruptor paralelo montado em caixa 4x2"</t>
  </si>
  <si>
    <t>1.49</t>
  </si>
  <si>
    <t>Conjunto de 2 Interruptores simples montado em caixa 4x2"</t>
  </si>
  <si>
    <t>1.50</t>
  </si>
  <si>
    <t>Tomada universal 2P+T montado em caixa 4x2" 10A</t>
  </si>
  <si>
    <t>1.51</t>
  </si>
  <si>
    <t>Tomada universal 2P+T montado em condulete 10A</t>
  </si>
  <si>
    <t>1.52</t>
  </si>
  <si>
    <t>Tomada universal 2P+T montado em caixa 4x2" 20A</t>
  </si>
  <si>
    <t>1.53</t>
  </si>
  <si>
    <t>Tomada universal 2P+T montado em condulete 20A</t>
  </si>
  <si>
    <t>1.54</t>
  </si>
  <si>
    <t>Tomada universal 2P+T 20A + 1 interruptor simples montado em condulete</t>
  </si>
  <si>
    <t>1.55</t>
  </si>
  <si>
    <t>Tomada dupla universal 2P+T montado em condulete 10A</t>
  </si>
  <si>
    <t>1.56</t>
  </si>
  <si>
    <t>Tomada tripla universal 2P+T montado em condulete 10A</t>
  </si>
  <si>
    <t>1.57</t>
  </si>
  <si>
    <t xml:space="preserve">Caixa 4x2" com espelho cego </t>
  </si>
  <si>
    <t>1.58</t>
  </si>
  <si>
    <t>Tomada específica Bacão Térmico</t>
  </si>
  <si>
    <t>1.59</t>
  </si>
  <si>
    <t>Acessórios para interruptores e tomadas (Espelhos, tampas, placas, parafusos, etc...)</t>
  </si>
  <si>
    <t>1.60</t>
  </si>
  <si>
    <t>Instalação Luminária de sobrepor (Somente mão de obra)</t>
  </si>
  <si>
    <t>1.61</t>
  </si>
  <si>
    <t>Instalação Trilho Eletrificado (Somente mão de obra)</t>
  </si>
  <si>
    <t>1.62</t>
  </si>
  <si>
    <t xml:space="preserve">Instalação de Spots LED em trilho eletrificado (Somente mão de obra) </t>
  </si>
  <si>
    <t>1.63</t>
  </si>
  <si>
    <t>Instalação de Spots LED embutidos no forro (Somente mão de obra)</t>
  </si>
  <si>
    <t>1.64</t>
  </si>
  <si>
    <t>Instalação de luminária LED wallwasher (Somente mão de obra)</t>
  </si>
  <si>
    <t>1.65</t>
  </si>
  <si>
    <t>Instalação de luminária LED marquise (Somente mão de obra)</t>
  </si>
  <si>
    <t>1.66</t>
  </si>
  <si>
    <t>Instalação de painel LED embutido 22x22cm (Somente mão de obra)</t>
  </si>
  <si>
    <t>1.67</t>
  </si>
  <si>
    <t>Luminária administrativa 2x28W (Somente mão de obra)</t>
  </si>
  <si>
    <t>1.68</t>
  </si>
  <si>
    <t>Luminária administrativa 1x28W (Somente mão de obra)</t>
  </si>
  <si>
    <t>1.69</t>
  </si>
  <si>
    <t>Lâmpada montada no  forro ou perfilado (Somente mão de obra)</t>
  </si>
  <si>
    <t>1.70</t>
  </si>
  <si>
    <t>Acessórios para montagem da lâmpada (Soquete para lâmpadas fluorescente T5, Abraçadeira T5, Cabos para montagem do reator, etc...)</t>
  </si>
  <si>
    <t>1.71</t>
  </si>
  <si>
    <t>Luminária blindada "tipo tartaruga" com grade e corpo de alumínio fundido, soquete E-27 com lâmpada</t>
  </si>
  <si>
    <t>1.72</t>
  </si>
  <si>
    <t>Verba para miudezas e fixações</t>
  </si>
  <si>
    <t>2.0</t>
  </si>
  <si>
    <t>DISTRIBUIÇÃO DE TOMADAS ESTABILIZADAS</t>
  </si>
  <si>
    <t>2.1</t>
  </si>
  <si>
    <t>2.2</t>
  </si>
  <si>
    <t>2.3</t>
  </si>
  <si>
    <t>2.4</t>
  </si>
  <si>
    <t>2.5</t>
  </si>
  <si>
    <t>2.6</t>
  </si>
  <si>
    <t>2.7</t>
  </si>
  <si>
    <t>2.8</t>
  </si>
  <si>
    <t>2.9</t>
  </si>
  <si>
    <t>2.10</t>
  </si>
  <si>
    <t>2.11</t>
  </si>
  <si>
    <t>Condulete de alumínio Ø 1"</t>
  </si>
  <si>
    <t>2.12</t>
  </si>
  <si>
    <t>2.13</t>
  </si>
  <si>
    <t>2.14</t>
  </si>
  <si>
    <t>2.15</t>
  </si>
  <si>
    <t>2.16</t>
  </si>
  <si>
    <t>2.17</t>
  </si>
  <si>
    <t>2.18</t>
  </si>
  <si>
    <t>Tomada universal 2P+T miolo vermelho montado em caixa 4x2"  10A</t>
  </si>
  <si>
    <t>2.19</t>
  </si>
  <si>
    <t>Tomada universal 2P+T miolo vermelho montado em condulete   10A</t>
  </si>
  <si>
    <t>2.20</t>
  </si>
  <si>
    <t>Tomada universal 2P+T miolo vermelho montado em caixa 4x2"  20A</t>
  </si>
  <si>
    <t>2.21</t>
  </si>
  <si>
    <t>Tomada universal 2P+T miolo vermelho montado em condulete   20A</t>
  </si>
  <si>
    <t>2.22</t>
  </si>
  <si>
    <t>Tomada dupla universal 2P+T miolo vermelho montado em caixa 4x2"  10A</t>
  </si>
  <si>
    <t>2.23</t>
  </si>
  <si>
    <t>Tomada dupla universal 2P+T miolo vermelho montado em condulete   10A</t>
  </si>
  <si>
    <t>2.24</t>
  </si>
  <si>
    <t>Tomada tripla universal 2P+T miolo vermelho montado em caixa 4x2"  10A</t>
  </si>
  <si>
    <t>2.25</t>
  </si>
  <si>
    <t>Tomada tripla universal 2P+T miolo vermelho montado em condulete   10A</t>
  </si>
  <si>
    <t>2.26</t>
  </si>
  <si>
    <t>Acessórios para tomadas (Espelhos, tampas, placas, parafusos, etc...)</t>
  </si>
  <si>
    <t>2.27</t>
  </si>
  <si>
    <t>3.0</t>
  </si>
  <si>
    <t>DISTRIBUIÇÃO DE TELEFONIA (40 PONTOS)</t>
  </si>
  <si>
    <t>3.1</t>
  </si>
  <si>
    <t>Eletrocalha galvanizada lisa com tampa de encaixe 150x50mm</t>
  </si>
  <si>
    <t>3.2</t>
  </si>
  <si>
    <t>3.3</t>
  </si>
  <si>
    <t>3.4</t>
  </si>
  <si>
    <t>3.5</t>
  </si>
  <si>
    <t>3.6</t>
  </si>
  <si>
    <t>3.7</t>
  </si>
  <si>
    <t>3.8</t>
  </si>
  <si>
    <t>3.9</t>
  </si>
  <si>
    <t>3.10</t>
  </si>
  <si>
    <t>3.11</t>
  </si>
  <si>
    <t>3.12</t>
  </si>
  <si>
    <t>3.13</t>
  </si>
  <si>
    <t>3.14</t>
  </si>
  <si>
    <t>Condulete de alumínio Ø 1/2"</t>
  </si>
  <si>
    <t>3.15</t>
  </si>
  <si>
    <t>3.16</t>
  </si>
  <si>
    <t>3.17</t>
  </si>
  <si>
    <t>3.18</t>
  </si>
  <si>
    <t>3.19</t>
  </si>
  <si>
    <t>Curva 90º galvanizada á fogo  Ø 1/2"</t>
  </si>
  <si>
    <t>3.20</t>
  </si>
  <si>
    <t>3.21</t>
  </si>
  <si>
    <t>Quadro de distribuição 60x60x12cm</t>
  </si>
  <si>
    <t>3.22</t>
  </si>
  <si>
    <t>Quadro de distribuição 80x80x12cm</t>
  </si>
  <si>
    <t>3.23</t>
  </si>
  <si>
    <t>Acessórios para montagem de D.G (Blocos BLI, conectores, etc...)</t>
  </si>
  <si>
    <t>3.24</t>
  </si>
  <si>
    <t>Cabo CCI-50 2 Pares</t>
  </si>
  <si>
    <t>3.25</t>
  </si>
  <si>
    <t>Cabo CCI-50 20 Pares</t>
  </si>
  <si>
    <t>3.26</t>
  </si>
  <si>
    <t>3.27</t>
  </si>
  <si>
    <t>Conjunto de tomada para telefone Rj-11 Montado em caixa 4x2"</t>
  </si>
  <si>
    <t>3.28</t>
  </si>
  <si>
    <t>Conjunto de tomada para telefone Rj-11 Montado em condulete</t>
  </si>
  <si>
    <t>3.29</t>
  </si>
  <si>
    <t>3.30</t>
  </si>
  <si>
    <t>4.0</t>
  </si>
  <si>
    <t>SISTEMA DE CFTV E SENSORES</t>
  </si>
  <si>
    <t>4.1</t>
  </si>
  <si>
    <t>4.2</t>
  </si>
  <si>
    <t>4.3</t>
  </si>
  <si>
    <t>4.4</t>
  </si>
  <si>
    <t>4.5</t>
  </si>
  <si>
    <t>4.6</t>
  </si>
  <si>
    <t>4.7</t>
  </si>
  <si>
    <t>4.8</t>
  </si>
  <si>
    <t>Eletroduto de ferro galvanizado Ø 1/2"</t>
  </si>
  <si>
    <t>4.9</t>
  </si>
  <si>
    <t>4.10</t>
  </si>
  <si>
    <t>4.11</t>
  </si>
  <si>
    <t>4.12</t>
  </si>
  <si>
    <t>4.13</t>
  </si>
  <si>
    <t>4.14</t>
  </si>
  <si>
    <t>4.15</t>
  </si>
  <si>
    <t>4.16</t>
  </si>
  <si>
    <t>4.17</t>
  </si>
  <si>
    <t>4.18</t>
  </si>
  <si>
    <t>Curva 90º galvanizada á fogo  Ø 1.1/4"</t>
  </si>
  <si>
    <t>4.19</t>
  </si>
  <si>
    <t>4.20</t>
  </si>
  <si>
    <t>4.21</t>
  </si>
  <si>
    <t>4.22</t>
  </si>
  <si>
    <t>Cabo coaxial RG 59 - 75 ohms 93% malha</t>
  </si>
  <si>
    <t>4.23</t>
  </si>
  <si>
    <t>CABO 4X22BR 2 PARES 0,30mm² FLEX</t>
  </si>
  <si>
    <t>4.24</t>
  </si>
  <si>
    <t>Cabo UTP cat. 5E - cinza - 305mts</t>
  </si>
  <si>
    <t>cx</t>
  </si>
  <si>
    <t>4.25</t>
  </si>
  <si>
    <t>Câmera de segurança do tipo DOME Sistema CFTV</t>
  </si>
  <si>
    <t>4.26</t>
  </si>
  <si>
    <t>Câmera de segurança Sistema CFTV</t>
  </si>
  <si>
    <t>4.27</t>
  </si>
  <si>
    <t>Sensor IVP- Infravermelho Passivo em Condulete</t>
  </si>
  <si>
    <t>4.28</t>
  </si>
  <si>
    <t>Sensor magnético porta</t>
  </si>
  <si>
    <t>4.29</t>
  </si>
  <si>
    <t>Ponto para câmera de CFTV</t>
  </si>
  <si>
    <t>un</t>
  </si>
  <si>
    <t>4.30</t>
  </si>
  <si>
    <t>Sirene de Alarme</t>
  </si>
  <si>
    <t>4.31</t>
  </si>
  <si>
    <t>Verba para miudezas, acessorios e fixações</t>
  </si>
  <si>
    <t>B</t>
  </si>
  <si>
    <t>INSTALAÇÕES HIDRO-SANITÁRIAS</t>
  </si>
  <si>
    <t>5.0</t>
  </si>
  <si>
    <t>ÁGUA FRIA</t>
  </si>
  <si>
    <t>5.1</t>
  </si>
  <si>
    <t>Tubo de PVC marrom soldável, incluindo conexões Ø 25mm</t>
  </si>
  <si>
    <t>5.2</t>
  </si>
  <si>
    <t>Tubo de PVC marrom soldável, incluindo conexões Ø 32mm</t>
  </si>
  <si>
    <t>5.3</t>
  </si>
  <si>
    <t>Tubo de PVC marrom soldável, incluindo conexões Ø 40mm</t>
  </si>
  <si>
    <t>5.4</t>
  </si>
  <si>
    <t>Tubo de PVC marrom soldável, incluindo conexões Ø 50mm</t>
  </si>
  <si>
    <t>5.5</t>
  </si>
  <si>
    <t>Tubo de PVC marrom soldável, incluindo conexões Ø 60mm</t>
  </si>
  <si>
    <t>5.6</t>
  </si>
  <si>
    <t>Registro de gaveta bruto Ø 3/4"</t>
  </si>
  <si>
    <t>5.7</t>
  </si>
  <si>
    <t>Registro de gaveta bruto Ø 1 ''</t>
  </si>
  <si>
    <t>5.8</t>
  </si>
  <si>
    <t>Registro de gaveta bruto Ø 1.1/4''</t>
  </si>
  <si>
    <t>5.9</t>
  </si>
  <si>
    <t>Registro de gaveta bruto Ø 1 1/2''</t>
  </si>
  <si>
    <t>5.10</t>
  </si>
  <si>
    <t>Registro de gaveta bruto Ø 2"</t>
  </si>
  <si>
    <t>5.11</t>
  </si>
  <si>
    <t>Registro de gaveta cromado Ø 3/4"</t>
  </si>
  <si>
    <t>5.12</t>
  </si>
  <si>
    <t>Registro de gaveta cromado Ø 1"</t>
  </si>
  <si>
    <t>5.13</t>
  </si>
  <si>
    <t>Registro de gaveta cromado Ø 1.1/4''</t>
  </si>
  <si>
    <t>5.14</t>
  </si>
  <si>
    <t>Registro de gaveta cromado Ø 1 1/2''</t>
  </si>
  <si>
    <t>5.15</t>
  </si>
  <si>
    <t>Registro de pressão cromado Ø 3/4"</t>
  </si>
  <si>
    <t>5.16</t>
  </si>
  <si>
    <t>Hidrômetro Ø 1.1/4"</t>
  </si>
  <si>
    <t>5.17</t>
  </si>
  <si>
    <t>Hidrômetro Ø 1.1/2"</t>
  </si>
  <si>
    <t>5.18</t>
  </si>
  <si>
    <t>Cavalete para hidrômetro</t>
  </si>
  <si>
    <t>cj</t>
  </si>
  <si>
    <t>5.19</t>
  </si>
  <si>
    <t>Conexões PVC  marrom soldável Ø 25 mm                                        (Joelho, Luva, União, tê, bucha, etc...)</t>
  </si>
  <si>
    <t>5.20</t>
  </si>
  <si>
    <t>Conexões PVC  marrom soldável Ø 32 mm                                        (Joelho, Luva, União, tê, bucha, etc...)</t>
  </si>
  <si>
    <t>5.21</t>
  </si>
  <si>
    <t>Conexões PVC  marrom soldável Ø 40 mm                                        (Joelho, Luva, União, tê, bucha, etc...)</t>
  </si>
  <si>
    <t>5.22</t>
  </si>
  <si>
    <t>Conexões PVC  marrom soldável Ø 50 mm                                        (Joelho, Luva, União, tê, bucha, etc...)</t>
  </si>
  <si>
    <t>5.23</t>
  </si>
  <si>
    <t>Conexões PVC  marrom soldável Ø 60 mm                                        (Joelho, Luva, União, tê, bucha, etc...)</t>
  </si>
  <si>
    <t>5.24</t>
  </si>
  <si>
    <t>Adaptadores PVC marrom ( Ø 25 mm X3/4", Ø 32 mm X 1", Ø 40 mm X 1.1/4", Ø 50 mm X 1.1/2", Ø 60 mm X 2", Etc...)</t>
  </si>
  <si>
    <t>5.25</t>
  </si>
  <si>
    <t>Conexões PVC Azul                                                                                               ( Joelho, Tê, luva, etc...) Ø 25 mm X 1/2",Ø 25 mm X3/4", Etc...</t>
  </si>
  <si>
    <t>5.26</t>
  </si>
  <si>
    <t>Verba para miudezas, pintura e fixações</t>
  </si>
  <si>
    <t>6.0</t>
  </si>
  <si>
    <t>LOUÇAS E METAIS</t>
  </si>
  <si>
    <t>6.1</t>
  </si>
  <si>
    <t>Cuba oval de embutir completa, com válvula, sifão cromado, torneira e rabicho</t>
  </si>
  <si>
    <t>6.2</t>
  </si>
  <si>
    <t>Bacia sanitária com caixa acoplada de duplo acionamento com assento</t>
  </si>
  <si>
    <t>6.3</t>
  </si>
  <si>
    <t>Tanque completo, com válvula, sifão cromado, torneira e rabicho</t>
  </si>
  <si>
    <t>6.4</t>
  </si>
  <si>
    <t>Chuveiro elétrico</t>
  </si>
  <si>
    <t>6.5</t>
  </si>
  <si>
    <t>Mictório completo</t>
  </si>
  <si>
    <t>6.6</t>
  </si>
  <si>
    <t>Torneira de lavagem</t>
  </si>
  <si>
    <t>6.7</t>
  </si>
  <si>
    <t>Pia de cozinha completa, com torneira, válvula e sifão cromado</t>
  </si>
  <si>
    <t>6.8</t>
  </si>
  <si>
    <t>Filtro para pia</t>
  </si>
  <si>
    <t>6.9</t>
  </si>
  <si>
    <t>Bebedouro elétrico, com com filtro anexo - somente mão-de-obra</t>
  </si>
  <si>
    <t>6.10</t>
  </si>
  <si>
    <t>Ducha higiênica</t>
  </si>
  <si>
    <t>6.11</t>
  </si>
  <si>
    <t>Torneira Presmatic p/ lavatório COM AREJADOR</t>
  </si>
  <si>
    <t>7.0</t>
  </si>
  <si>
    <t>REDE DE ESGOTO SANITÁRIO</t>
  </si>
  <si>
    <t>7.1</t>
  </si>
  <si>
    <t>Tubo de PVC esgoto, reforçado série R, incluindo conexões Ø 40mm</t>
  </si>
  <si>
    <t>7.2</t>
  </si>
  <si>
    <t>Tubo de PVC esgoto, reforçado série R, incluindo conexões Ø 50mm</t>
  </si>
  <si>
    <t>7.3</t>
  </si>
  <si>
    <t>Tubo de PVC esgoto, reforçado série R, incluindo conexões Ø 75mm</t>
  </si>
  <si>
    <t>7.4</t>
  </si>
  <si>
    <t>Tubo de PVC esgoto, reforçado série R, incluindo conexões Ø 100mm</t>
  </si>
  <si>
    <t>7.5</t>
  </si>
  <si>
    <t>Tubo de PVC esgoto, reforçado série R, incluindo conexões Ø 150mm</t>
  </si>
  <si>
    <t>7.6</t>
  </si>
  <si>
    <t>Conexões PVC série R Ø 40 mm ( Joelho, Junção, Junço, Tê, redução, luva, cap, etc...)</t>
  </si>
  <si>
    <t>7.7</t>
  </si>
  <si>
    <t>Conexões PVC série R Ø 50 mm (Joelho, Junção, Junço, Tê, redução, luva, cap, etc...)</t>
  </si>
  <si>
    <t>7.8</t>
  </si>
  <si>
    <t>Conexões PVC série R Ø 75 mm (Joelho, Junção, Junço, Tê, redução, luva, cap, etc...)</t>
  </si>
  <si>
    <t>7.9</t>
  </si>
  <si>
    <t>Conexões PVC série R Ø 100 mm (Joelho, Junção, Junço, Tê, redução, luva, cap, etc...)</t>
  </si>
  <si>
    <t>7.10</t>
  </si>
  <si>
    <t>Conexões PVC série R Ø 150 mm (Joelho, Junção, Junço, Tê, redução, luva, cap, etc...)</t>
  </si>
  <si>
    <t>7.11</t>
  </si>
  <si>
    <t>Anel de Borracha</t>
  </si>
  <si>
    <t>7.12</t>
  </si>
  <si>
    <t>Ralo Sifonado 150X185X75mm</t>
  </si>
  <si>
    <t>7.13</t>
  </si>
  <si>
    <t>Ralo Sifonado 100X100X50mm</t>
  </si>
  <si>
    <t>7.14</t>
  </si>
  <si>
    <t>Grelha inox 15X15</t>
  </si>
  <si>
    <t>7.15</t>
  </si>
  <si>
    <t>Caixa de gordura em PVC  18 litros - Amanco ou Tigre</t>
  </si>
  <si>
    <t>7.16</t>
  </si>
  <si>
    <t>Conexões</t>
  </si>
  <si>
    <t>7.17</t>
  </si>
  <si>
    <t>C</t>
  </si>
  <si>
    <t>SISTEMA DE GERENCIAMENTO DE ENERGIA ELÉTRICA</t>
  </si>
  <si>
    <t>8.0</t>
  </si>
  <si>
    <t>CONTROLE DE DEMANDA</t>
  </si>
  <si>
    <t>8.1</t>
  </si>
  <si>
    <t>8.2</t>
  </si>
  <si>
    <t>8.3</t>
  </si>
  <si>
    <t>8.4</t>
  </si>
  <si>
    <t>Suporte completo para eletrodutos (tirantes, chumbadores, abraçadeiras, ganchos, etc.)</t>
  </si>
  <si>
    <t>8.5</t>
  </si>
  <si>
    <t>8.6</t>
  </si>
  <si>
    <t>8.7</t>
  </si>
  <si>
    <t>8.8</t>
  </si>
  <si>
    <t>8.9</t>
  </si>
  <si>
    <t>Cabo blindado 2 x 24AWG</t>
  </si>
  <si>
    <t>8.10</t>
  </si>
  <si>
    <t>8.11</t>
  </si>
  <si>
    <t>D</t>
  </si>
  <si>
    <t>CABOS / QUADROS ELÉTRICOS</t>
  </si>
  <si>
    <t>9.0</t>
  </si>
  <si>
    <t>REDE DE ALIMENTADORES QUADROS</t>
  </si>
  <si>
    <t>9.1</t>
  </si>
  <si>
    <t>Eletrocalha galvanizada lisa com tampa de encaixe 400x100mm</t>
  </si>
  <si>
    <t>9.2</t>
  </si>
  <si>
    <t>Eletrocalha galvanizada lisa com tampa de encaixe 300x100mm</t>
  </si>
  <si>
    <t>9.3</t>
  </si>
  <si>
    <t>Eletrocalha galvanizada lisa com tampa de encaixe 200x100mm</t>
  </si>
  <si>
    <t>9.4</t>
  </si>
  <si>
    <t>9.5</t>
  </si>
  <si>
    <t>9.6</t>
  </si>
  <si>
    <t>9.7</t>
  </si>
  <si>
    <t>9.8</t>
  </si>
  <si>
    <t>9.9</t>
  </si>
  <si>
    <t>9.10</t>
  </si>
  <si>
    <t>9.11</t>
  </si>
  <si>
    <t>9.12</t>
  </si>
  <si>
    <t>9.13</t>
  </si>
  <si>
    <t>9.14</t>
  </si>
  <si>
    <t>9.15</t>
  </si>
  <si>
    <t>9.16</t>
  </si>
  <si>
    <t>9.17</t>
  </si>
  <si>
    <t>9.18</t>
  </si>
  <si>
    <t>9.19</t>
  </si>
  <si>
    <t>9.20</t>
  </si>
  <si>
    <t>9.21</t>
  </si>
  <si>
    <t>9.22</t>
  </si>
  <si>
    <t>9.23</t>
  </si>
  <si>
    <t>9.24</t>
  </si>
  <si>
    <t>9.25</t>
  </si>
  <si>
    <t>9.26</t>
  </si>
  <si>
    <t>Cabo cobre isolação 750V #2,5mm²</t>
  </si>
  <si>
    <t>9.27</t>
  </si>
  <si>
    <t>Cabo cobre isolação 750V #4mm²</t>
  </si>
  <si>
    <t>9.28</t>
  </si>
  <si>
    <t>Cabo cobre isolação 750V #6mm²</t>
  </si>
  <si>
    <t>9.29</t>
  </si>
  <si>
    <t>Cabo cobre isolação 750V #10mm²</t>
  </si>
  <si>
    <t>9.30</t>
  </si>
  <si>
    <t>Cabo cobre isolação 750V #16mm²</t>
  </si>
  <si>
    <t>9.31</t>
  </si>
  <si>
    <t>Cabo cobre isolação 750V #25mm²</t>
  </si>
  <si>
    <t>9.32</t>
  </si>
  <si>
    <t>Cabo cobre isolação 750V #35mm²</t>
  </si>
  <si>
    <t>9.33</t>
  </si>
  <si>
    <t>Cabo cobre isolação 750V #50mm²</t>
  </si>
  <si>
    <t>9.34</t>
  </si>
  <si>
    <t>Cabo cobre isolação 750V #70mm²</t>
  </si>
  <si>
    <t>9.35</t>
  </si>
  <si>
    <t>Cabo cobre isolação 750V #95mm²</t>
  </si>
  <si>
    <t>9.36</t>
  </si>
  <si>
    <t>Cabo cobre isolação 750V #120mm²</t>
  </si>
  <si>
    <t>9.37</t>
  </si>
  <si>
    <t>Cabo de cobre isolação 0,6/1kV 90º EPR #2,5mm²</t>
  </si>
  <si>
    <t>9.38</t>
  </si>
  <si>
    <t>Cabo de cobre isolação 0,6/1kV 90º EPR #4mm²</t>
  </si>
  <si>
    <t>9.39</t>
  </si>
  <si>
    <t>Cabo de cobre isolação 0,6/1kV 90º EPR #6mm²</t>
  </si>
  <si>
    <t>9.40</t>
  </si>
  <si>
    <t>Cabo de cobre isolação 0,6/1kV 90º EPR #10mm²</t>
  </si>
  <si>
    <t>9.41</t>
  </si>
  <si>
    <t>Cabo de cobre isolação 0,6/1kV 90º EPR #16mm²</t>
  </si>
  <si>
    <t>9.42</t>
  </si>
  <si>
    <t>Cabo de cobre isolação 0,6/1kV 90º EPR #25mm²</t>
  </si>
  <si>
    <t>9.43</t>
  </si>
  <si>
    <t>Cabo de cobre isolação 0,6/1kV 90º EPR #35mm²</t>
  </si>
  <si>
    <t>9.44</t>
  </si>
  <si>
    <t>Cabo de cobre isolação 0,6/1kV 90º EPR #50mm²</t>
  </si>
  <si>
    <t>9.45</t>
  </si>
  <si>
    <t>Cabo de cobre isolação 0,6/1kV 90º EPR #70mm²</t>
  </si>
  <si>
    <t>9.46</t>
  </si>
  <si>
    <t>Cabo de cobre isolação 0,6/1kV 90º EPR #95mm²</t>
  </si>
  <si>
    <t>9.47</t>
  </si>
  <si>
    <t>Cabo de cobre isolação 0,6/1kV 90º EPR #120mm²</t>
  </si>
  <si>
    <t>9.48</t>
  </si>
  <si>
    <t>Cabo de cobre isolação 0,6/1kV 90º EPR #150mm²</t>
  </si>
  <si>
    <t>9.49</t>
  </si>
  <si>
    <t>Cabo de cobre isolação 0,6/1kV 90º EPR #185mm²</t>
  </si>
  <si>
    <t>9.50</t>
  </si>
  <si>
    <t>Cabo de cobre isolação 0,6/1kV 90º EPR #240mm²</t>
  </si>
  <si>
    <t>9.51</t>
  </si>
  <si>
    <t>Acessórios para cabos (Terminais de compressão, fitas isolantes, fita crepe, solda estanho, identificações, etc...)</t>
  </si>
  <si>
    <t>9.52</t>
  </si>
  <si>
    <t>10.0</t>
  </si>
  <si>
    <t>REDE DE ALIMENTADORES CONDICIONADORES DE AR</t>
  </si>
  <si>
    <t>10.1</t>
  </si>
  <si>
    <t>10.2</t>
  </si>
  <si>
    <t>10.3</t>
  </si>
  <si>
    <t>10.4</t>
  </si>
  <si>
    <t>10.5</t>
  </si>
  <si>
    <t>10.6</t>
  </si>
  <si>
    <t>10.7</t>
  </si>
  <si>
    <t>10.8</t>
  </si>
  <si>
    <t>10.9</t>
  </si>
  <si>
    <t>10.10</t>
  </si>
  <si>
    <t>10.11</t>
  </si>
  <si>
    <t>10.12</t>
  </si>
  <si>
    <t>10.13</t>
  </si>
  <si>
    <t>10.14</t>
  </si>
  <si>
    <t>10.15</t>
  </si>
  <si>
    <t>10.16</t>
  </si>
  <si>
    <t>10.17</t>
  </si>
  <si>
    <t>10.18</t>
  </si>
  <si>
    <t>10.19</t>
  </si>
  <si>
    <t>10.20</t>
  </si>
  <si>
    <t>10.21</t>
  </si>
  <si>
    <t>10.22</t>
  </si>
  <si>
    <t>10.23</t>
  </si>
  <si>
    <t>10.24</t>
  </si>
  <si>
    <t>10.25</t>
  </si>
  <si>
    <t>10.26</t>
  </si>
  <si>
    <t>10.27</t>
  </si>
  <si>
    <t>10.28</t>
  </si>
  <si>
    <t>10.29</t>
  </si>
  <si>
    <t>10.30</t>
  </si>
  <si>
    <t>10.31</t>
  </si>
  <si>
    <t>10.32</t>
  </si>
  <si>
    <t>10.33</t>
  </si>
  <si>
    <t>10.34</t>
  </si>
  <si>
    <t>10.35</t>
  </si>
  <si>
    <t>10.36</t>
  </si>
  <si>
    <t>10.37</t>
  </si>
  <si>
    <t>10.38</t>
  </si>
  <si>
    <t>10.39</t>
  </si>
  <si>
    <t>10.40</t>
  </si>
  <si>
    <t>10.41</t>
  </si>
  <si>
    <t>10.42</t>
  </si>
  <si>
    <t>10.43</t>
  </si>
  <si>
    <t>10.44</t>
  </si>
  <si>
    <t>11.0</t>
  </si>
  <si>
    <t>QUADROS GERAIS, PARCIAIS E NOBREAK´S</t>
  </si>
  <si>
    <t>11.1</t>
  </si>
  <si>
    <t>QGBT - N ( medidores com portas serial RS485- vide pasta lista de medidores compativeis)</t>
  </si>
  <si>
    <t>11.2</t>
  </si>
  <si>
    <t>QGBT - E( medidores com portas serial RS485- vide pasta lista de medidores compativeis)</t>
  </si>
  <si>
    <t>11.3</t>
  </si>
  <si>
    <t>QDAC - 1</t>
  </si>
  <si>
    <t>11.4</t>
  </si>
  <si>
    <t>QDAC - 2</t>
  </si>
  <si>
    <t>11.5</t>
  </si>
  <si>
    <t>QDAC - 3</t>
  </si>
  <si>
    <t>11.6</t>
  </si>
  <si>
    <t>QLT-T</t>
  </si>
  <si>
    <t>11.7</t>
  </si>
  <si>
    <t>QLT-1</t>
  </si>
  <si>
    <t>11.8</t>
  </si>
  <si>
    <t>QLT-2</t>
  </si>
  <si>
    <t>11.9</t>
  </si>
  <si>
    <t>QLT-3</t>
  </si>
  <si>
    <t>11.10</t>
  </si>
  <si>
    <t xml:space="preserve">QLE-T </t>
  </si>
  <si>
    <t>11.11</t>
  </si>
  <si>
    <t>QLE-1</t>
  </si>
  <si>
    <t>11.12</t>
  </si>
  <si>
    <t>QLE-2</t>
  </si>
  <si>
    <t>11.13</t>
  </si>
  <si>
    <t>QLE-3</t>
  </si>
  <si>
    <t>11.14</t>
  </si>
  <si>
    <r>
      <t>Quadro Banco de Capacitor</t>
    </r>
    <r>
      <rPr>
        <sz val="10"/>
        <color rgb="FFFF0000"/>
        <rFont val="Arial"/>
        <family val="2"/>
      </rPr>
      <t xml:space="preserve"> </t>
    </r>
  </si>
  <si>
    <t>11.15</t>
  </si>
  <si>
    <t>QT-EE / QD-NB</t>
  </si>
  <si>
    <t>11.16</t>
  </si>
  <si>
    <t>Q. REVERSÃO NOBREAK CENTRAL</t>
  </si>
  <si>
    <t>11.17</t>
  </si>
  <si>
    <t>QUADRO BLOQUEIO GERADOR</t>
  </si>
  <si>
    <t>11.18</t>
  </si>
  <si>
    <t>Acessórios para montagem dos quadros (Terminais de compressão,pino, garfo, fitas isolantes, fita crepe, solda estanho, identificações, etc...)</t>
  </si>
  <si>
    <t>E</t>
  </si>
  <si>
    <t>SPRINKLERS E HIDRANTES</t>
  </si>
  <si>
    <t>12.0</t>
  </si>
  <si>
    <t>FORNECIMENTO  E INSTALAÇÃO DE EXTINTORES</t>
  </si>
  <si>
    <t>12.1</t>
  </si>
  <si>
    <t>Extintor Gás Carbônico (CO2) 6kg</t>
  </si>
  <si>
    <t>12.2</t>
  </si>
  <si>
    <t>Extintor Pó Químico 4 kg (ABC)</t>
  </si>
  <si>
    <t>12.3</t>
  </si>
  <si>
    <t>Extintor Pó Químico 6kg (ABC)</t>
  </si>
  <si>
    <t>12.4</t>
  </si>
  <si>
    <t>Extintor Água Pressurizada 10Litros</t>
  </si>
  <si>
    <t>12.5</t>
  </si>
  <si>
    <t>Adesivos  e marcação de restrição de área</t>
  </si>
  <si>
    <t>12.6</t>
  </si>
  <si>
    <t>Sinalização de extintores e de segurança em geral (CONFORME NORMAS LOCAIS DO CBM)</t>
  </si>
  <si>
    <t>13.0</t>
  </si>
  <si>
    <t>FORNECIMENTO E INSTALAÇÃO DE SISTEMA DE DETECÇÃO E ALARME E ILUMINAÇÃO DE EMERGENCIA</t>
  </si>
  <si>
    <t>13.1</t>
  </si>
  <si>
    <t>13.2</t>
  </si>
  <si>
    <t>13.3</t>
  </si>
  <si>
    <t>Sealtube ø3/4"</t>
  </si>
  <si>
    <t>13.4</t>
  </si>
  <si>
    <t>13.5</t>
  </si>
  <si>
    <t>Suporte completo eletrodutos (tirantes, chumbadores, abraçadeiras, etc.)</t>
  </si>
  <si>
    <t>13.6</t>
  </si>
  <si>
    <t>13.7</t>
  </si>
  <si>
    <t>13.8</t>
  </si>
  <si>
    <t>13.9</t>
  </si>
  <si>
    <t>13.10</t>
  </si>
  <si>
    <t>Central de detecção e alarme, digital enderecável  com 2 laços (Completa com baterias, etc...)</t>
  </si>
  <si>
    <t>13.11</t>
  </si>
  <si>
    <t xml:space="preserve">Sirene bitonal, inclusive base e demais acessórios </t>
  </si>
  <si>
    <t>13.12</t>
  </si>
  <si>
    <t xml:space="preserve">Acionador manual tipo quebra-vidro, inclusive base e demais acessórios </t>
  </si>
  <si>
    <t>13.13</t>
  </si>
  <si>
    <t xml:space="preserve">Detector de fumaça endereçável, inclusive base e demais acessórios </t>
  </si>
  <si>
    <t>13.14</t>
  </si>
  <si>
    <t xml:space="preserve">Detector de temperatura (termovelocimétrico), . inclusive base e demais acessórios </t>
  </si>
  <si>
    <t>13.15</t>
  </si>
  <si>
    <t>Bloco autônomo com luminária de indicação de saída</t>
  </si>
  <si>
    <t>13.16</t>
  </si>
  <si>
    <t>Bloco luminária autônoma para iluminação de emergência 2x9W</t>
  </si>
  <si>
    <t>13.17</t>
  </si>
  <si>
    <t>Bloco luminária autônoma para iluminação de emergência 2x55W</t>
  </si>
  <si>
    <t>13.18</t>
  </si>
  <si>
    <t>Cabo blindado 2x1,5mm2 / 750V - a confirmar com fornecedor da central de alarme</t>
  </si>
  <si>
    <t>13.19</t>
  </si>
  <si>
    <t>vb.</t>
  </si>
  <si>
    <t>14.0</t>
  </si>
  <si>
    <t>REDE DE HIDRANTES E CHUVEIROS AUTOMÁTICOS</t>
  </si>
  <si>
    <t>14.1</t>
  </si>
  <si>
    <t>Chuveiro automático (bico de sprinkler) de 1/2", tipo pendente, K80, com canopla</t>
  </si>
  <si>
    <t>14.2</t>
  </si>
  <si>
    <t>Chuveiro automático (bico de sprinkler) de 1/2", tipo up-right, K80, sem canopla</t>
  </si>
  <si>
    <t>14.3</t>
  </si>
  <si>
    <t>Conexões em ferro maleável em ferro maleável, classe 10, Tupy, Ø1/2"         (Luva, Bucha,Curva, Plug, Tê, Cotovelos, joelhos, Niple, etc...)</t>
  </si>
  <si>
    <t>14.4</t>
  </si>
  <si>
    <t>Conexões em ferro maleável em ferro maleável, classe 10, Tupy, Ø1"          (Luva, Bucha,Curva, Plug, Tê, Cotovelos, joelhos, Niple, etc...)</t>
  </si>
  <si>
    <t>14.5</t>
  </si>
  <si>
    <t>Conexões em ferro maleável em ferro maleável, classe 10, Tupy, Ø1.1/4"       (Luva, Bucha,Curva, Plug, Tê, Cotovelos, joelhos, Niple, etc...)</t>
  </si>
  <si>
    <t>14.6</t>
  </si>
  <si>
    <t>Conexões em ferro maleável em ferro maleável, classe 10, Tupy, Ø1.1/2"       (Luva, Bucha,Curva, Plug, Tê, Cotovelos, joelhos, Niple, etc...)</t>
  </si>
  <si>
    <t>14.7</t>
  </si>
  <si>
    <t>Conexões em ferro maleável em ferro maleável, classe 10, Tupy, Ø2"       (Luva, Bucha,Curva, Plug, Tê, Cotovelos, joelhos, Niple, etc...)</t>
  </si>
  <si>
    <t>14.8</t>
  </si>
  <si>
    <t>Conexões em ferro maleável em ferro maleável, classe 10, Tupy, Ø2.1/2"       (Luva,Curva, Cap, Tê, etc...)</t>
  </si>
  <si>
    <t>14.9</t>
  </si>
  <si>
    <t>Conexões em ferro maleável em ferro maleável, classe 10, Tupy, Ø3"       (Luva,Curva, Cap, Tê, etc...)</t>
  </si>
  <si>
    <t>14.10</t>
  </si>
  <si>
    <t>Conexões em ferro maleável em ferro maleável, classe 10, Tupy, Ø4"       (Luva,Curva, Cap, Tê, etc...)</t>
  </si>
  <si>
    <t>14.11</t>
  </si>
  <si>
    <t>Conexões em ferro maleável em ferro maleável, classe 10, Tupy, Ø6"       (Luva,Curva, Cap, Tê, etc...)</t>
  </si>
  <si>
    <t>14.12</t>
  </si>
  <si>
    <t>Tubo ferro galvanizado Din 2440, com costura, de  Ø1"</t>
  </si>
  <si>
    <t>14.13</t>
  </si>
  <si>
    <t>Tubo ferro galvanizado Din 2440, com costura, de  Ø1.1/4"</t>
  </si>
  <si>
    <t>14.14</t>
  </si>
  <si>
    <t>Tubo ferro galvanizado Din 2440, com costura, de  Ø1.1/2"</t>
  </si>
  <si>
    <t>14.15</t>
  </si>
  <si>
    <t>Tubo ferro galvanizado Din 2440, com costura, de  Ø2"</t>
  </si>
  <si>
    <t>14.16</t>
  </si>
  <si>
    <t>Tubo aço carbono preto Din 2440,com costura, de  Ø2.1/2"</t>
  </si>
  <si>
    <t>14.17</t>
  </si>
  <si>
    <t>Tubo aço carbono preto Din 2440,com costura, de  Ø3"</t>
  </si>
  <si>
    <t>14.18</t>
  </si>
  <si>
    <t>Tubo aço carbono preto Din 2440,com costura, de  Ø4"</t>
  </si>
  <si>
    <t>14.19</t>
  </si>
  <si>
    <t>Tubo aço carbono preto Din 2440,com costura, de  Ø6"</t>
  </si>
  <si>
    <t>14.20</t>
  </si>
  <si>
    <t>Suporte completo para tubulação até 2" (tirantes, chumbadores, abraçadeiras,etc.)</t>
  </si>
  <si>
    <t>conj.</t>
  </si>
  <si>
    <t>14.21</t>
  </si>
  <si>
    <t>Suporte completo para tubulação de 2.1/2" a 3"(tirantes, abraçadeiras,etc.)</t>
  </si>
  <si>
    <t>14.22</t>
  </si>
  <si>
    <t>Suporte completo para tubulação até 4" (tirantes, chumbadores, abraçadeiras,etc.)</t>
  </si>
  <si>
    <t>14.23</t>
  </si>
  <si>
    <t>Suporte completo para tubulação até 6" (tirantes, chumbadores, abraçadeiras,etc.)</t>
  </si>
  <si>
    <t>14.24</t>
  </si>
  <si>
    <t>Pintura de tubulação (primer, esmalte sintético, todos com 02 demãos), até 2"</t>
  </si>
  <si>
    <t>14.25</t>
  </si>
  <si>
    <t>Pintura de tubulação (primer, esmalte sintético, todos c/02 demãos), 2.1/2" e 3"</t>
  </si>
  <si>
    <t>14.26</t>
  </si>
  <si>
    <t>Pintura de tubulação (primer, esmalte sintético, todos com 02 demãos), até 4"</t>
  </si>
  <si>
    <t>14.27</t>
  </si>
  <si>
    <t>Pintura de tubulação (primer, esmalte sintético, todos com 02 demãos), até 6"</t>
  </si>
  <si>
    <t>14.28</t>
  </si>
  <si>
    <t>Registro de gaveta em ferro fundido, com haste ascendente, de 6"</t>
  </si>
  <si>
    <t>14.29</t>
  </si>
  <si>
    <t>Registro de gaveta em ferro fundido, com haste ascendente, de 4"</t>
  </si>
  <si>
    <t>14.30</t>
  </si>
  <si>
    <t>Chave fluxo ø 4"</t>
  </si>
  <si>
    <t>14.31</t>
  </si>
  <si>
    <t>Chave fluxo ø 6"</t>
  </si>
  <si>
    <t>14.32</t>
  </si>
  <si>
    <t>Caixa de hidrante simples com (mangueiras, esguichos fixo, regulável, adaptador, chave, tampão cego, registro globo angulhar 45° de 2.1/2" e demais e acessórios)</t>
  </si>
  <si>
    <t>14.33</t>
  </si>
  <si>
    <t>Caixa de hidrante dupla com (mangueiras, esguichos fixo, regulável, adaptador, chave, tampão cego, registro globo angulhar 45° de 2.1/2" e demais e acessórios)</t>
  </si>
  <si>
    <t>14.34</t>
  </si>
  <si>
    <t>Kit para drenagem composto por registro de gaveta de 1", manômetro, etc.</t>
  </si>
  <si>
    <t>14.35</t>
  </si>
  <si>
    <t>Materiais de consumo (lâminas de serra, brocas, estopas, etc.)</t>
  </si>
  <si>
    <t>14.36</t>
  </si>
  <si>
    <t>Materiais para solda (argônio, oxigênio, acetileno, varetas, equipamentos, etc.)</t>
  </si>
  <si>
    <t>14.37</t>
  </si>
  <si>
    <t>Testes hidrostáticos conforme norma</t>
  </si>
  <si>
    <t>14.38</t>
  </si>
  <si>
    <t>Verba de miudezas e fixações</t>
  </si>
  <si>
    <t>F</t>
  </si>
  <si>
    <t>DIVERSOS / GERAL</t>
  </si>
  <si>
    <t>15.0</t>
  </si>
  <si>
    <t>SERVIÇOS COMUNS A TODAS AS INSTALAÇÕES</t>
  </si>
  <si>
    <t>15.1</t>
  </si>
  <si>
    <t>Elaboração dos desenhos como construído (As-builts)</t>
  </si>
  <si>
    <t>15.2</t>
  </si>
  <si>
    <t>Acompanhamento e comissionamento da ligação elétrica definitiva</t>
  </si>
  <si>
    <t>15.3</t>
  </si>
  <si>
    <t>Adequação e aprovação dos projetos de combate a incêndio no CB local</t>
  </si>
  <si>
    <t>15.4</t>
  </si>
  <si>
    <t>Acompanhamento e apoio ao técnic do sistema de sonorização, CFTV, Contagem de fluxo)</t>
  </si>
  <si>
    <t>15.5</t>
  </si>
  <si>
    <t>Acompanhamento e apoio ao tecnico do grupo gerador Incluindo fornecimento de (10Mts de mangueira trançada de 3/8" 250PSI, 100Lts de óleo diesel, montagem do escapamento, óleo lubrificante, etc...)</t>
  </si>
  <si>
    <t>15.6</t>
  </si>
  <si>
    <t>Acompanhamento e apoio ao tecnico do no-break (star-up)</t>
  </si>
  <si>
    <t>15.7</t>
  </si>
  <si>
    <t>Instalação do painel de senha no RFS (painel e cabo de rede fornecida pela C&amp;A Modas)</t>
  </si>
  <si>
    <t>15.8</t>
  </si>
  <si>
    <t>TUBULAÇÃO SERIE "R" PARA SISTEMA DE CORREIO PNEUMÁTICO</t>
  </si>
  <si>
    <t>15.9</t>
  </si>
  <si>
    <t>Gambiarra da obra e ligação de equipamentos (iluminação e tomadas)</t>
  </si>
  <si>
    <t>15.10</t>
  </si>
  <si>
    <t>Engenheiro</t>
  </si>
  <si>
    <t>15.11</t>
  </si>
  <si>
    <t>Alimentação e estadia</t>
  </si>
  <si>
    <t>15.12</t>
  </si>
  <si>
    <t>Passagens e transporte</t>
  </si>
  <si>
    <t>15.13</t>
  </si>
  <si>
    <t>Transporte (fretes de materiais)</t>
  </si>
  <si>
    <t>15.14</t>
  </si>
  <si>
    <t>Plataforma tipo Sanfona / Andaimes</t>
  </si>
  <si>
    <t>15.15</t>
  </si>
  <si>
    <t>Transporte vertical / horizontal</t>
  </si>
  <si>
    <t>15.16</t>
  </si>
  <si>
    <t>ART Contemplanto todos os serviços executados</t>
  </si>
  <si>
    <t>G</t>
  </si>
  <si>
    <t>OMISSOS</t>
  </si>
  <si>
    <t>16.1</t>
  </si>
  <si>
    <t xml:space="preserve">SUBESTAÇÃO </t>
  </si>
  <si>
    <t>Instalação de transformador a seco de 500kVA - 13.8kV/380/220V (Somente mão de obra)</t>
  </si>
  <si>
    <t>16.2</t>
  </si>
  <si>
    <t>Para raio tipo polimérico 13.8 kV / 10kA, inclusive suporte de fixação</t>
  </si>
  <si>
    <t>16.3</t>
  </si>
  <si>
    <t>Mufla interna # 35 mm² / 15 KV</t>
  </si>
  <si>
    <t>16.4</t>
  </si>
  <si>
    <t>Chave seccionadora tripolar, abertura com carga, com base para fusível HH em 15Kv-400A com Kirk e eixo prolongador.</t>
  </si>
  <si>
    <t>16.5</t>
  </si>
  <si>
    <t>Fusível limitador de corrente HH-15Kv - 50A</t>
  </si>
  <si>
    <t>16.6</t>
  </si>
  <si>
    <t>Isolador 15Kv</t>
  </si>
  <si>
    <t>16.7</t>
  </si>
  <si>
    <t>Barramento tipo varão de cobre, de 3/8", inclusive conexões</t>
  </si>
  <si>
    <t>16.8</t>
  </si>
  <si>
    <t>Suporte metálico para (Mufla, Para-raios, Isoladores e demais acessórios)</t>
  </si>
  <si>
    <t>16.9</t>
  </si>
  <si>
    <t>Aterramento da subestação e transformador (Cabos, Cordoalhas, conectores, e demais acessórios)</t>
  </si>
  <si>
    <t>16.10</t>
  </si>
  <si>
    <t>Caixa com barra de equipotencialidade</t>
  </si>
  <si>
    <t>16.11</t>
  </si>
  <si>
    <t xml:space="preserve">Grade metálica fixa e removível </t>
  </si>
  <si>
    <t>16.12</t>
  </si>
  <si>
    <t>Sistema de iluminação e tomadas para a subestação</t>
  </si>
  <si>
    <t>16.13</t>
  </si>
  <si>
    <t>Bloco autônomo 2x55W autonomia de 1 hora, instalado na subestação</t>
  </si>
  <si>
    <t>16.14</t>
  </si>
  <si>
    <t>Acessórios complemetares da subestação (Tapete 20Kv, luvas MT 20Kv NR-10, sinalização, etc...)</t>
  </si>
  <si>
    <t>17.0</t>
  </si>
  <si>
    <t>SISTEMA DE SONORIZAÇÃO</t>
  </si>
  <si>
    <t>17.1</t>
  </si>
  <si>
    <t>17.2</t>
  </si>
  <si>
    <t>17.3</t>
  </si>
  <si>
    <t>17.4</t>
  </si>
  <si>
    <t>17.5</t>
  </si>
  <si>
    <t>17.6</t>
  </si>
  <si>
    <t>17.7</t>
  </si>
  <si>
    <t>17.8</t>
  </si>
  <si>
    <t>17.9</t>
  </si>
  <si>
    <t>17.10</t>
  </si>
  <si>
    <t>Curva 90º galvanizada á fogo  Ø 3/4"</t>
  </si>
  <si>
    <t>17.11</t>
  </si>
  <si>
    <t>Caixa de som embutida</t>
  </si>
  <si>
    <t>17.12</t>
  </si>
  <si>
    <t>Caixa de som aparente</t>
  </si>
  <si>
    <t>17.13</t>
  </si>
  <si>
    <t>17.14</t>
  </si>
  <si>
    <t>Potenciometro de som</t>
  </si>
  <si>
    <t>17.15</t>
  </si>
  <si>
    <t>Subwoofer</t>
  </si>
  <si>
    <t>17.16</t>
  </si>
  <si>
    <t>18.0</t>
  </si>
  <si>
    <t>SISTEMA DE LÓGICA</t>
  </si>
  <si>
    <t>18.1</t>
  </si>
  <si>
    <t>18.2</t>
  </si>
  <si>
    <t>18.3</t>
  </si>
  <si>
    <t>18.4</t>
  </si>
  <si>
    <t>18.5</t>
  </si>
  <si>
    <t>18.6</t>
  </si>
  <si>
    <t>18.7</t>
  </si>
  <si>
    <t>18.8</t>
  </si>
  <si>
    <t>18.9</t>
  </si>
  <si>
    <t>18.10</t>
  </si>
  <si>
    <t>18.11</t>
  </si>
  <si>
    <t>18.12</t>
  </si>
  <si>
    <t>18.13</t>
  </si>
  <si>
    <t>18.14</t>
  </si>
  <si>
    <t>18.15</t>
  </si>
  <si>
    <t>18.16</t>
  </si>
  <si>
    <t>18.17</t>
  </si>
  <si>
    <t>Cabo UTP cat. 5E - Azul - 305mts</t>
  </si>
  <si>
    <t>18.18</t>
  </si>
  <si>
    <t>Conjunto de tomada para telefone/Lógica Rj-45 Montado em caixa 4x2"</t>
  </si>
  <si>
    <t>18.19</t>
  </si>
  <si>
    <t>Conjunto de tomada para telefone/Lógica Rj-45 Montado em condulete</t>
  </si>
  <si>
    <t>18.20</t>
  </si>
  <si>
    <t>Conjunto de tomada dupla para telefone/Lógica Rj-45 Montado em condulete</t>
  </si>
  <si>
    <t>18.21</t>
  </si>
  <si>
    <t>Sensor de temperatura</t>
  </si>
  <si>
    <t>18.22</t>
  </si>
  <si>
    <t>19.0</t>
  </si>
  <si>
    <t>SISTEMA DE CONTADOR FLUXO</t>
  </si>
  <si>
    <t>19.1</t>
  </si>
  <si>
    <t>19.2</t>
  </si>
  <si>
    <t>19.3</t>
  </si>
  <si>
    <t>19.4</t>
  </si>
  <si>
    <t>Câmera contadora de fluxo</t>
  </si>
  <si>
    <t>19.5</t>
  </si>
  <si>
    <t>Ponto para câmera do contador de fluxo</t>
  </si>
  <si>
    <t>19.6</t>
  </si>
  <si>
    <t>19.7</t>
  </si>
  <si>
    <t>19.8</t>
  </si>
  <si>
    <t>19.9</t>
  </si>
  <si>
    <t>19.10</t>
  </si>
  <si>
    <t>19.11</t>
  </si>
  <si>
    <t>Cabo coaxial RG 59 - 75 ohms 93% malha (Câmera de Contador de fluxo até o Rack de lógica)</t>
  </si>
  <si>
    <t>19.12</t>
  </si>
  <si>
    <t>H</t>
  </si>
  <si>
    <t>OUTROS OMISSOS</t>
  </si>
  <si>
    <t>20.0</t>
  </si>
  <si>
    <t>20.1</t>
  </si>
  <si>
    <t>20.2</t>
  </si>
  <si>
    <t>20.3</t>
  </si>
  <si>
    <t>20.4</t>
  </si>
  <si>
    <t>20.5</t>
  </si>
  <si>
    <t>20.7</t>
  </si>
  <si>
    <t>TOTAL GERAL</t>
  </si>
  <si>
    <t>Desconto</t>
  </si>
  <si>
    <t>Total Final</t>
  </si>
  <si>
    <t>Valores estimado por preço Unitário</t>
  </si>
  <si>
    <t>FORNECEDOR</t>
  </si>
  <si>
    <t>Hora Normal</t>
  </si>
  <si>
    <t>Adicional Noturno</t>
  </si>
  <si>
    <t>Total Mensal</t>
  </si>
  <si>
    <t>Total Estimado</t>
  </si>
  <si>
    <t>Homem/Hora</t>
  </si>
  <si>
    <t>Mês</t>
  </si>
  <si>
    <t>Encarregado Eletrica e hidraulica</t>
  </si>
  <si>
    <t>h</t>
  </si>
  <si>
    <t>Eletricista</t>
  </si>
  <si>
    <t>Auxiliar Eletricista</t>
  </si>
  <si>
    <t>Meio Oficial Eletrico</t>
  </si>
  <si>
    <t>Auxiliar Hidraulico</t>
  </si>
  <si>
    <t>Encanador</t>
  </si>
  <si>
    <t>Soldador</t>
  </si>
  <si>
    <t>Administrativo/Almoxarife</t>
  </si>
  <si>
    <t>Encarregado hidraulica</t>
  </si>
  <si>
    <t>Administração</t>
  </si>
  <si>
    <t>Terceiros</t>
  </si>
  <si>
    <t>Materiais</t>
  </si>
  <si>
    <t xml:space="preserve">Taxa de Mobilização </t>
  </si>
  <si>
    <t>Taxa de Desmobilização</t>
  </si>
  <si>
    <t>Despesas Mensais (Mão de Obra)</t>
  </si>
  <si>
    <t>mês</t>
  </si>
  <si>
    <t xml:space="preserve">Total </t>
  </si>
  <si>
    <t>Pagamento</t>
  </si>
  <si>
    <t>OBS:</t>
  </si>
  <si>
    <t>VALIDADE:</t>
  </si>
  <si>
    <t>LEGENDA</t>
  </si>
  <si>
    <t>orçar</t>
  </si>
  <si>
    <t>retirar</t>
  </si>
  <si>
    <t>conferir unidade de medida orçada</t>
  </si>
  <si>
    <t>conferir valores unitários</t>
  </si>
  <si>
    <t>conferir quantitativos</t>
  </si>
  <si>
    <t>conferir especificação de projeto com fornecimento</t>
  </si>
  <si>
    <t>orçar em m3 com 3cm</t>
  </si>
  <si>
    <t>%</t>
  </si>
  <si>
    <t>*BDI e Imposto devem somente ser indicados, mas os preços unitários nos itens devem ser os finais.</t>
  </si>
  <si>
    <t>Remoção extintor</t>
  </si>
  <si>
    <t>Retirada de luminárias</t>
  </si>
  <si>
    <t>20.6</t>
  </si>
  <si>
    <t>20.8</t>
  </si>
  <si>
    <t>DIAS DE OBRA</t>
  </si>
  <si>
    <t>BAR</t>
  </si>
  <si>
    <t>BARRA SHOPPING</t>
  </si>
  <si>
    <t>Plotagem de projetos de acordo com as revisões</t>
  </si>
  <si>
    <t>G S de Medeiros Serviços Elétricos e Hidráulicos</t>
  </si>
  <si>
    <t>13.909.272/0001-50</t>
  </si>
  <si>
    <t>Remoção de bico de sprinkler (tipo pendente e up-right)</t>
  </si>
  <si>
    <t>Eletroduto de ferro galvanizado Ø 1.1/4" para rede de dados</t>
  </si>
  <si>
    <t>Eletroduto rígido pvc 1" para rede de dados</t>
  </si>
  <si>
    <t>OBS: O modelo novo da central de alarme da Ezalpha MV, mesmo sendo da mesma marca, provavelmente não irá aceitar os equipamentos existente, pois já estão ultrapassados.</t>
  </si>
  <si>
    <t>Instalação luminária xgap/gap difusa arandela; gap difusa embutir; gap perfil base embutido/sobrepor; assimétrica embutid; pendentes 1; 2; 3 e 4; soft led; darklight led; lumini no frame; s1 perfil linear 45º; trust arandela blindada com grade, M1; M2; M3; M4; M5; M6; M9; M10 e M11.</t>
  </si>
  <si>
    <t>OBS: Esse valor não está incluso a transferência dos 3 quadros do térreo, pois não sabemos o local para onde serão realocados.</t>
  </si>
  <si>
    <t>OBS: Esse valor é considerando visita semanal do Engenheiro.</t>
  </si>
  <si>
    <t>OBS: Consideramos a quantidade de bicos de spk a remover dos projetos.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</si>
</sst>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* #,##0.00_);_(* \(#,##0.00\);_(* &quot;-&quot;??_);_(@_)"/>
    <numFmt numFmtId="165" formatCode="_-* #,##0_-;\-* #,##0_-;_-* &quot;-&quot;??_-;_-@_-"/>
    <numFmt numFmtId="166" formatCode="_(* #,##0_);_(* \(#,##0\);_(* &quot;-&quot;??_);_(@_)"/>
    <numFmt numFmtId="167" formatCode="#,##0;[Red]#,##0"/>
  </numFmts>
  <fonts count="2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6"/>
      <color rgb="FF000000"/>
      <name val="Aptos Narrow"/>
      <family val="2"/>
      <scheme val="minor"/>
    </font>
    <font>
      <sz val="10"/>
      <name val="Arial"/>
      <family val="2"/>
    </font>
    <font>
      <b/>
      <sz val="12"/>
      <color theme="0"/>
      <name val="Aptos Narrow"/>
      <family val="2"/>
      <scheme val="minor"/>
    </font>
    <font>
      <b/>
      <sz val="10"/>
      <color theme="3" tint="-0.249977111117893"/>
      <name val="Montserrat"/>
    </font>
    <font>
      <b/>
      <sz val="10"/>
      <name val="Montserrat"/>
    </font>
    <font>
      <b/>
      <sz val="12"/>
      <color theme="3" tint="-0.249977111117893"/>
      <name val="Aptos Narrow"/>
      <family val="2"/>
      <scheme val="minor"/>
    </font>
    <font>
      <b/>
      <sz val="14"/>
      <color rgb="FFFF0000"/>
      <name val="Aptos Narrow"/>
      <family val="2"/>
      <scheme val="minor"/>
    </font>
    <font>
      <sz val="10"/>
      <name val="Calibri"/>
      <family val="2"/>
    </font>
    <font>
      <b/>
      <sz val="10"/>
      <name val="Arial"/>
      <family val="2"/>
    </font>
    <font>
      <sz val="10"/>
      <name val="Aptos Narrow"/>
      <family val="2"/>
      <scheme val="minor"/>
    </font>
    <font>
      <b/>
      <sz val="10"/>
      <name val="Aptos Narrow"/>
      <family val="2"/>
      <scheme val="minor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sz val="11"/>
      <name val="Aptos Narrow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FF0000"/>
      <name val="Arial"/>
      <family val="2"/>
    </font>
    <font>
      <sz val="11"/>
      <color rgb="FFFF0000"/>
      <name val="Aptos Narrow"/>
      <family val="2"/>
      <scheme val="minor"/>
    </font>
    <font>
      <sz val="10"/>
      <color theme="1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465926084170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8DB4E2"/>
        <bgColor indexed="64"/>
      </patternFill>
    </fill>
    <fill>
      <patternFill patternType="solid">
        <fgColor rgb="FFBFBFBF"/>
        <bgColor indexed="64"/>
      </patternFill>
    </fill>
  </fills>
  <borders count="5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auto="1"/>
      </top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auto="1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hair">
        <color indexed="64"/>
      </bottom>
      <diagonal/>
    </border>
  </borders>
  <cellStyleXfs count="13">
    <xf numFmtId="0" fontId="0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5" fillId="0" borderId="0" applyFont="0" applyFill="0" applyBorder="0" applyAlignment="0" applyProtection="0"/>
    <xf numFmtId="16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</cellStyleXfs>
  <cellXfs count="278">
    <xf numFmtId="0" fontId="0" fillId="0" borderId="0" xfId="0"/>
    <xf numFmtId="0" fontId="3" fillId="0" borderId="1" xfId="0" applyFont="1" applyBorder="1" applyAlignment="1">
      <alignment vertical="center" wrapText="1"/>
    </xf>
    <xf numFmtId="0" fontId="6" fillId="2" borderId="5" xfId="1" applyFont="1" applyFill="1" applyBorder="1" applyAlignment="1" applyProtection="1">
      <alignment horizontal="center" vertical="center"/>
      <protection locked="0"/>
    </xf>
    <xf numFmtId="0" fontId="6" fillId="2" borderId="6" xfId="1" applyFont="1" applyFill="1" applyBorder="1" applyAlignment="1" applyProtection="1">
      <alignment horizontal="center" vertical="center" wrapText="1"/>
      <protection locked="0"/>
    </xf>
    <xf numFmtId="0" fontId="7" fillId="4" borderId="5" xfId="1" applyFont="1" applyFill="1" applyBorder="1" applyAlignment="1" applyProtection="1">
      <alignment horizontal="center" vertical="center"/>
      <protection locked="0"/>
    </xf>
    <xf numFmtId="3" fontId="8" fillId="3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4" xfId="1" applyFont="1" applyFill="1" applyBorder="1" applyAlignment="1" applyProtection="1">
      <alignment vertical="center"/>
      <protection locked="0"/>
    </xf>
    <xf numFmtId="0" fontId="1" fillId="0" borderId="9" xfId="1" applyFont="1" applyBorder="1" applyAlignment="1" applyProtection="1">
      <alignment vertical="center"/>
      <protection locked="0"/>
    </xf>
    <xf numFmtId="0" fontId="1" fillId="0" borderId="0" xfId="1" applyFont="1" applyAlignment="1" applyProtection="1">
      <alignment vertical="center"/>
      <protection locked="0"/>
    </xf>
    <xf numFmtId="0" fontId="1" fillId="0" borderId="10" xfId="1" applyFont="1" applyBorder="1" applyAlignment="1" applyProtection="1">
      <alignment vertical="center"/>
      <protection locked="0"/>
    </xf>
    <xf numFmtId="0" fontId="1" fillId="0" borderId="9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0" xfId="0" applyFont="1" applyBorder="1" applyAlignment="1">
      <alignment vertical="center"/>
    </xf>
    <xf numFmtId="0" fontId="11" fillId="0" borderId="9" xfId="3" applyFont="1" applyBorder="1" applyAlignment="1">
      <alignment vertical="center"/>
    </xf>
    <xf numFmtId="0" fontId="11" fillId="0" borderId="0" xfId="3" applyFont="1" applyAlignment="1">
      <alignment vertical="center"/>
    </xf>
    <xf numFmtId="0" fontId="12" fillId="0" borderId="0" xfId="3" applyFont="1" applyAlignment="1">
      <alignment vertical="center"/>
    </xf>
    <xf numFmtId="164" fontId="13" fillId="0" borderId="0" xfId="2" applyFont="1" applyBorder="1" applyAlignment="1" applyProtection="1">
      <alignment vertical="center"/>
      <protection locked="0"/>
    </xf>
    <xf numFmtId="0" fontId="14" fillId="0" borderId="0" xfId="3" applyFont="1" applyAlignment="1" applyProtection="1">
      <alignment horizontal="center" vertical="center"/>
      <protection locked="0"/>
    </xf>
    <xf numFmtId="0" fontId="14" fillId="0" borderId="10" xfId="3" applyFont="1" applyBorder="1" applyAlignment="1" applyProtection="1">
      <alignment horizontal="center" vertical="center"/>
      <protection locked="0"/>
    </xf>
    <xf numFmtId="0" fontId="5" fillId="0" borderId="9" xfId="3" applyBorder="1" applyAlignment="1" applyProtection="1">
      <alignment horizontal="center" vertical="center"/>
      <protection hidden="1"/>
    </xf>
    <xf numFmtId="0" fontId="5" fillId="0" borderId="0" xfId="3" applyAlignment="1" applyProtection="1">
      <alignment horizontal="center" vertical="center"/>
      <protection hidden="1"/>
    </xf>
    <xf numFmtId="0" fontId="5" fillId="0" borderId="0" xfId="3" applyAlignment="1" applyProtection="1">
      <alignment vertical="center" wrapText="1"/>
      <protection hidden="1"/>
    </xf>
    <xf numFmtId="0" fontId="5" fillId="0" borderId="0" xfId="3" applyAlignment="1" applyProtection="1">
      <alignment vertical="center"/>
      <protection hidden="1"/>
    </xf>
    <xf numFmtId="164" fontId="5" fillId="0" borderId="0" xfId="2" applyFont="1" applyBorder="1" applyAlignment="1" applyProtection="1">
      <alignment vertical="center"/>
      <protection hidden="1"/>
    </xf>
    <xf numFmtId="164" fontId="5" fillId="0" borderId="10" xfId="2" applyFont="1" applyBorder="1" applyAlignment="1" applyProtection="1">
      <alignment vertical="center"/>
      <protection hidden="1"/>
    </xf>
    <xf numFmtId="1" fontId="12" fillId="0" borderId="9" xfId="3" applyNumberFormat="1" applyFont="1" applyBorder="1" applyAlignment="1">
      <alignment vertical="center"/>
    </xf>
    <xf numFmtId="1" fontId="12" fillId="0" borderId="0" xfId="3" applyNumberFormat="1" applyFont="1" applyAlignment="1">
      <alignment vertical="center"/>
    </xf>
    <xf numFmtId="0" fontId="15" fillId="2" borderId="12" xfId="4" applyFont="1" applyFill="1" applyBorder="1" applyAlignment="1" applyProtection="1">
      <alignment horizontal="center" vertical="center"/>
      <protection hidden="1"/>
    </xf>
    <xf numFmtId="164" fontId="15" fillId="2" borderId="12" xfId="2" applyFont="1" applyFill="1" applyBorder="1" applyAlignment="1" applyProtection="1">
      <alignment horizontal="center" vertical="center"/>
      <protection hidden="1"/>
    </xf>
    <xf numFmtId="164" fontId="15" fillId="2" borderId="13" xfId="2" applyFont="1" applyFill="1" applyBorder="1" applyAlignment="1" applyProtection="1">
      <alignment horizontal="center" vertical="center"/>
      <protection hidden="1"/>
    </xf>
    <xf numFmtId="0" fontId="5" fillId="0" borderId="9" xfId="3" applyBorder="1" applyAlignment="1">
      <alignment horizontal="center" vertical="center"/>
    </xf>
    <xf numFmtId="0" fontId="5" fillId="0" borderId="0" xfId="3" applyAlignment="1">
      <alignment horizontal="center" vertical="center"/>
    </xf>
    <xf numFmtId="0" fontId="5" fillId="0" borderId="5" xfId="3" applyBorder="1" applyAlignment="1">
      <alignment vertical="center"/>
    </xf>
    <xf numFmtId="0" fontId="12" fillId="4" borderId="5" xfId="3" applyFont="1" applyFill="1" applyBorder="1" applyAlignment="1">
      <alignment horizontal="center" vertical="center"/>
    </xf>
    <xf numFmtId="0" fontId="12" fillId="4" borderId="5" xfId="3" applyFont="1" applyFill="1" applyBorder="1" applyAlignment="1">
      <alignment vertical="center"/>
    </xf>
    <xf numFmtId="164" fontId="12" fillId="4" borderId="14" xfId="3" applyNumberFormat="1" applyFont="1" applyFill="1" applyBorder="1" applyAlignment="1">
      <alignment horizontal="center" vertical="center"/>
    </xf>
    <xf numFmtId="164" fontId="15" fillId="2" borderId="14" xfId="3" applyNumberFormat="1" applyFont="1" applyFill="1" applyBorder="1" applyAlignment="1">
      <alignment horizontal="center" vertical="center"/>
    </xf>
    <xf numFmtId="0" fontId="5" fillId="0" borderId="0" xfId="3" applyAlignment="1">
      <alignment vertical="center" wrapText="1"/>
    </xf>
    <xf numFmtId="0" fontId="5" fillId="0" borderId="0" xfId="3" applyAlignment="1">
      <alignment vertical="center"/>
    </xf>
    <xf numFmtId="0" fontId="12" fillId="0" borderId="0" xfId="3" applyFont="1" applyAlignment="1">
      <alignment horizontal="center" vertical="center"/>
    </xf>
    <xf numFmtId="0" fontId="12" fillId="0" borderId="10" xfId="3" applyFont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/>
    </xf>
    <xf numFmtId="0" fontId="16" fillId="2" borderId="5" xfId="3" applyFont="1" applyFill="1" applyBorder="1" applyAlignment="1">
      <alignment horizontal="center" vertical="center"/>
    </xf>
    <xf numFmtId="0" fontId="16" fillId="2" borderId="5" xfId="3" applyFont="1" applyFill="1" applyBorder="1" applyAlignment="1">
      <alignment horizontal="center" vertical="center" wrapText="1"/>
    </xf>
    <xf numFmtId="164" fontId="16" fillId="2" borderId="14" xfId="2" applyFont="1" applyFill="1" applyBorder="1" applyAlignment="1" applyProtection="1">
      <alignment horizontal="center" vertical="center"/>
    </xf>
    <xf numFmtId="164" fontId="15" fillId="2" borderId="14" xfId="2" applyFont="1" applyFill="1" applyBorder="1" applyAlignment="1" applyProtection="1">
      <alignment horizontal="center" vertical="center"/>
    </xf>
    <xf numFmtId="166" fontId="15" fillId="2" borderId="5" xfId="2" applyNumberFormat="1" applyFont="1" applyFill="1" applyBorder="1" applyAlignment="1" applyProtection="1">
      <alignment horizontal="center" vertical="center"/>
    </xf>
    <xf numFmtId="0" fontId="15" fillId="2" borderId="5" xfId="3" applyFont="1" applyFill="1" applyBorder="1" applyAlignment="1">
      <alignment horizontal="left" vertical="center" wrapText="1"/>
    </xf>
    <xf numFmtId="164" fontId="15" fillId="2" borderId="14" xfId="2" applyFont="1" applyFill="1" applyBorder="1" applyAlignment="1" applyProtection="1">
      <alignment vertical="center"/>
    </xf>
    <xf numFmtId="0" fontId="16" fillId="2" borderId="5" xfId="3" applyFont="1" applyFill="1" applyBorder="1" applyAlignment="1">
      <alignment vertical="center" wrapText="1"/>
    </xf>
    <xf numFmtId="164" fontId="16" fillId="2" borderId="5" xfId="2" applyFont="1" applyFill="1" applyBorder="1" applyAlignment="1" applyProtection="1">
      <alignment horizontal="right" vertical="center"/>
    </xf>
    <xf numFmtId="0" fontId="5" fillId="0" borderId="4" xfId="3" applyBorder="1" applyAlignment="1">
      <alignment horizontal="center" vertical="center"/>
    </xf>
    <xf numFmtId="0" fontId="5" fillId="0" borderId="5" xfId="3" applyBorder="1" applyAlignment="1">
      <alignment horizontal="center" vertical="center"/>
    </xf>
    <xf numFmtId="0" fontId="5" fillId="0" borderId="5" xfId="3" applyBorder="1" applyAlignment="1">
      <alignment vertical="center" wrapText="1"/>
    </xf>
    <xf numFmtId="0" fontId="5" fillId="0" borderId="5" xfId="3" applyBorder="1" applyAlignment="1" applyProtection="1">
      <alignment horizontal="center" vertical="center"/>
      <protection locked="0"/>
    </xf>
    <xf numFmtId="43" fontId="5" fillId="0" borderId="5" xfId="2" applyNumberFormat="1" applyFont="1" applyFill="1" applyBorder="1" applyAlignment="1" applyProtection="1">
      <alignment horizontal="right" vertical="center"/>
      <protection locked="0"/>
    </xf>
    <xf numFmtId="43" fontId="5" fillId="0" borderId="5" xfId="2" applyNumberFormat="1" applyFont="1" applyFill="1" applyBorder="1" applyAlignment="1" applyProtection="1">
      <alignment vertical="center"/>
      <protection locked="0"/>
    </xf>
    <xf numFmtId="164" fontId="12" fillId="0" borderId="14" xfId="3" applyNumberFormat="1" applyFont="1" applyBorder="1" applyAlignment="1">
      <alignment vertical="center"/>
    </xf>
    <xf numFmtId="43" fontId="5" fillId="0" borderId="5" xfId="3" applyNumberFormat="1" applyBorder="1" applyAlignment="1" applyProtection="1">
      <alignment horizontal="right" vertical="center"/>
      <protection locked="0"/>
    </xf>
    <xf numFmtId="43" fontId="5" fillId="0" borderId="5" xfId="3" applyNumberFormat="1" applyBorder="1" applyAlignment="1" applyProtection="1">
      <alignment vertical="center"/>
      <protection locked="0"/>
    </xf>
    <xf numFmtId="0" fontId="5" fillId="0" borderId="5" xfId="3" applyBorder="1" applyAlignment="1" applyProtection="1">
      <alignment horizontal="center" vertical="center" wrapText="1"/>
      <protection locked="0"/>
    </xf>
    <xf numFmtId="43" fontId="5" fillId="0" borderId="5" xfId="5" applyNumberFormat="1" applyFont="1" applyFill="1" applyBorder="1" applyAlignment="1" applyProtection="1">
      <alignment vertical="center"/>
      <protection locked="0"/>
    </xf>
    <xf numFmtId="0" fontId="5" fillId="0" borderId="5" xfId="3" applyBorder="1" applyAlignment="1">
      <alignment horizontal="left" vertical="center" wrapText="1"/>
    </xf>
    <xf numFmtId="43" fontId="5" fillId="5" borderId="5" xfId="2" applyNumberFormat="1" applyFont="1" applyFill="1" applyBorder="1" applyAlignment="1" applyProtection="1">
      <alignment horizontal="right" vertical="center"/>
      <protection locked="0"/>
    </xf>
    <xf numFmtId="43" fontId="5" fillId="5" borderId="5" xfId="2" applyNumberFormat="1" applyFont="1" applyFill="1" applyBorder="1" applyAlignment="1" applyProtection="1">
      <alignment vertical="center"/>
      <protection locked="0"/>
    </xf>
    <xf numFmtId="164" fontId="12" fillId="5" borderId="14" xfId="3" applyNumberFormat="1" applyFont="1" applyFill="1" applyBorder="1" applyAlignment="1">
      <alignment vertical="center"/>
    </xf>
    <xf numFmtId="0" fontId="15" fillId="6" borderId="4" xfId="3" applyFont="1" applyFill="1" applyBorder="1" applyAlignment="1">
      <alignment horizontal="center" vertical="center"/>
    </xf>
    <xf numFmtId="0" fontId="15" fillId="6" borderId="5" xfId="3" applyFont="1" applyFill="1" applyBorder="1" applyAlignment="1">
      <alignment horizontal="center" vertical="center"/>
    </xf>
    <xf numFmtId="0" fontId="15" fillId="6" borderId="5" xfId="3" applyFont="1" applyFill="1" applyBorder="1" applyAlignment="1">
      <alignment vertical="center" wrapText="1"/>
    </xf>
    <xf numFmtId="0" fontId="15" fillId="6" borderId="5" xfId="3" applyFont="1" applyFill="1" applyBorder="1" applyAlignment="1" applyProtection="1">
      <alignment horizontal="center" vertical="center"/>
      <protection locked="0"/>
    </xf>
    <xf numFmtId="43" fontId="15" fillId="6" borderId="5" xfId="2" applyNumberFormat="1" applyFont="1" applyFill="1" applyBorder="1" applyAlignment="1" applyProtection="1">
      <alignment horizontal="right" vertical="center"/>
      <protection locked="0"/>
    </xf>
    <xf numFmtId="43" fontId="15" fillId="6" borderId="5" xfId="2" applyNumberFormat="1" applyFont="1" applyFill="1" applyBorder="1" applyAlignment="1" applyProtection="1">
      <alignment vertical="center"/>
      <protection locked="0"/>
    </xf>
    <xf numFmtId="164" fontId="15" fillId="6" borderId="14" xfId="2" applyFont="1" applyFill="1" applyBorder="1" applyAlignment="1" applyProtection="1">
      <alignment vertical="center"/>
    </xf>
    <xf numFmtId="0" fontId="5" fillId="5" borderId="5" xfId="3" applyFill="1" applyBorder="1" applyAlignment="1">
      <alignment horizontal="left" vertical="center" wrapText="1"/>
    </xf>
    <xf numFmtId="0" fontId="5" fillId="0" borderId="18" xfId="3" applyBorder="1" applyAlignment="1">
      <alignment horizontal="center" vertical="center"/>
    </xf>
    <xf numFmtId="0" fontId="15" fillId="6" borderId="4" xfId="3" applyFont="1" applyFill="1" applyBorder="1" applyAlignment="1">
      <alignment vertical="center"/>
    </xf>
    <xf numFmtId="166" fontId="15" fillId="6" borderId="5" xfId="2" applyNumberFormat="1" applyFont="1" applyFill="1" applyBorder="1" applyAlignment="1" applyProtection="1">
      <alignment horizontal="center" vertical="center"/>
    </xf>
    <xf numFmtId="0" fontId="15" fillId="6" borderId="5" xfId="3" applyFont="1" applyFill="1" applyBorder="1" applyAlignment="1">
      <alignment horizontal="left" vertical="center" wrapText="1"/>
    </xf>
    <xf numFmtId="0" fontId="15" fillId="6" borderId="5" xfId="3" applyFont="1" applyFill="1" applyBorder="1" applyAlignment="1">
      <alignment vertical="center"/>
    </xf>
    <xf numFmtId="164" fontId="15" fillId="6" borderId="5" xfId="2" applyFont="1" applyFill="1" applyBorder="1" applyAlignment="1" applyProtection="1">
      <alignment horizontal="center" vertical="center"/>
      <protection locked="0"/>
    </xf>
    <xf numFmtId="0" fontId="5" fillId="0" borderId="5" xfId="3" applyBorder="1" applyAlignment="1">
      <alignment horizontal="justify" vertical="center" wrapText="1"/>
    </xf>
    <xf numFmtId="2" fontId="15" fillId="6" borderId="5" xfId="3" applyNumberFormat="1" applyFont="1" applyFill="1" applyBorder="1" applyAlignment="1">
      <alignment horizontal="left" vertical="center" wrapText="1"/>
    </xf>
    <xf numFmtId="1" fontId="5" fillId="0" borderId="5" xfId="3" applyNumberFormat="1" applyBorder="1" applyAlignment="1" applyProtection="1">
      <alignment horizontal="center" vertical="center"/>
      <protection locked="0"/>
    </xf>
    <xf numFmtId="0" fontId="12" fillId="0" borderId="4" xfId="3" applyFont="1" applyBorder="1" applyAlignment="1">
      <alignment horizontal="center" vertical="center"/>
    </xf>
    <xf numFmtId="167" fontId="5" fillId="0" borderId="5" xfId="3" applyNumberFormat="1" applyBorder="1" applyAlignment="1" applyProtection="1">
      <alignment horizontal="center" vertical="center"/>
      <protection locked="0"/>
    </xf>
    <xf numFmtId="43" fontId="17" fillId="0" borderId="5" xfId="2" applyNumberFormat="1" applyFont="1" applyFill="1" applyBorder="1" applyAlignment="1" applyProtection="1">
      <alignment horizontal="right" vertical="center"/>
      <protection locked="0"/>
    </xf>
    <xf numFmtId="0" fontId="5" fillId="5" borderId="5" xfId="3" applyFill="1" applyBorder="1" applyAlignment="1">
      <alignment horizontal="justify" vertical="center" wrapText="1"/>
    </xf>
    <xf numFmtId="0" fontId="5" fillId="5" borderId="5" xfId="3" applyFill="1" applyBorder="1" applyAlignment="1">
      <alignment vertical="center" wrapText="1"/>
    </xf>
    <xf numFmtId="0" fontId="5" fillId="5" borderId="5" xfId="3" applyFill="1" applyBorder="1" applyAlignment="1" applyProtection="1">
      <alignment horizontal="center" vertical="center"/>
      <protection locked="0"/>
    </xf>
    <xf numFmtId="0" fontId="5" fillId="7" borderId="4" xfId="3" applyFill="1" applyBorder="1" applyAlignment="1">
      <alignment vertical="center"/>
    </xf>
    <xf numFmtId="166" fontId="12" fillId="7" borderId="5" xfId="2" applyNumberFormat="1" applyFont="1" applyFill="1" applyBorder="1" applyAlignment="1" applyProtection="1">
      <alignment horizontal="center" vertical="center"/>
    </xf>
    <xf numFmtId="0" fontId="12" fillId="7" borderId="5" xfId="3" applyFont="1" applyFill="1" applyBorder="1" applyAlignment="1">
      <alignment horizontal="left" vertical="center"/>
    </xf>
    <xf numFmtId="0" fontId="5" fillId="7" borderId="5" xfId="3" applyFill="1" applyBorder="1" applyAlignment="1">
      <alignment horizontal="center" vertical="center"/>
    </xf>
    <xf numFmtId="164" fontId="5" fillId="7" borderId="5" xfId="2" applyFont="1" applyFill="1" applyBorder="1" applyAlignment="1" applyProtection="1">
      <alignment horizontal="center" vertical="center"/>
    </xf>
    <xf numFmtId="9" fontId="5" fillId="7" borderId="5" xfId="8" applyFont="1" applyFill="1" applyBorder="1" applyAlignment="1" applyProtection="1">
      <alignment vertical="center"/>
    </xf>
    <xf numFmtId="4" fontId="12" fillId="7" borderId="14" xfId="8" applyNumberFormat="1" applyFont="1" applyFill="1" applyBorder="1" applyAlignment="1" applyProtection="1">
      <alignment vertical="center"/>
    </xf>
    <xf numFmtId="0" fontId="16" fillId="2" borderId="5" xfId="3" applyFont="1" applyFill="1" applyBorder="1" applyAlignment="1">
      <alignment vertical="center"/>
    </xf>
    <xf numFmtId="164" fontId="16" fillId="2" borderId="5" xfId="2" applyFont="1" applyFill="1" applyBorder="1" applyAlignment="1" applyProtection="1">
      <alignment vertical="center"/>
    </xf>
    <xf numFmtId="164" fontId="15" fillId="2" borderId="5" xfId="2" applyFont="1" applyFill="1" applyBorder="1" applyAlignment="1" applyProtection="1">
      <alignment vertical="center"/>
    </xf>
    <xf numFmtId="164" fontId="15" fillId="2" borderId="14" xfId="3" applyNumberFormat="1" applyFont="1" applyFill="1" applyBorder="1" applyAlignment="1">
      <alignment vertical="center"/>
    </xf>
    <xf numFmtId="0" fontId="12" fillId="8" borderId="19" xfId="0" applyFont="1" applyFill="1" applyBorder="1" applyAlignment="1">
      <alignment vertical="top" wrapText="1"/>
    </xf>
    <xf numFmtId="0" fontId="12" fillId="8" borderId="20" xfId="0" applyFont="1" applyFill="1" applyBorder="1" applyAlignment="1">
      <alignment vertical="center" wrapText="1"/>
    </xf>
    <xf numFmtId="0" fontId="12" fillId="8" borderId="21" xfId="0" applyFont="1" applyFill="1" applyBorder="1" applyAlignment="1">
      <alignment horizontal="center" vertical="center" wrapText="1"/>
    </xf>
    <xf numFmtId="0" fontId="12" fillId="7" borderId="20" xfId="0" applyFont="1" applyFill="1" applyBorder="1" applyAlignment="1" applyProtection="1">
      <alignment horizontal="center" vertical="center" wrapText="1"/>
      <protection locked="0"/>
    </xf>
    <xf numFmtId="0" fontId="12" fillId="7" borderId="21" xfId="0" applyFont="1" applyFill="1" applyBorder="1" applyAlignment="1" applyProtection="1">
      <alignment horizontal="center" vertical="center" wrapText="1"/>
      <protection locked="0"/>
    </xf>
    <xf numFmtId="0" fontId="12" fillId="7" borderId="22" xfId="0" applyFont="1" applyFill="1" applyBorder="1" applyAlignment="1" applyProtection="1">
      <alignment horizontal="center" vertical="center" wrapText="1"/>
      <protection locked="0"/>
    </xf>
    <xf numFmtId="0" fontId="5" fillId="0" borderId="9" xfId="3" applyBorder="1" applyAlignment="1" applyProtection="1">
      <alignment vertical="center"/>
      <protection hidden="1"/>
    </xf>
    <xf numFmtId="49" fontId="12" fillId="8" borderId="21" xfId="0" applyNumberFormat="1" applyFont="1" applyFill="1" applyBorder="1" applyAlignment="1">
      <alignment horizontal="center" vertical="center" wrapText="1"/>
    </xf>
    <xf numFmtId="0" fontId="12" fillId="8" borderId="20" xfId="0" applyFont="1" applyFill="1" applyBorder="1" applyAlignment="1" applyProtection="1">
      <alignment horizontal="center" vertical="center" wrapText="1"/>
      <protection locked="0"/>
    </xf>
    <xf numFmtId="0" fontId="12" fillId="8" borderId="21" xfId="0" applyFont="1" applyFill="1" applyBorder="1" applyAlignment="1" applyProtection="1">
      <alignment horizontal="center" vertical="center" wrapText="1"/>
      <protection locked="0"/>
    </xf>
    <xf numFmtId="0" fontId="12" fillId="8" borderId="22" xfId="0" applyFont="1" applyFill="1" applyBorder="1" applyAlignment="1" applyProtection="1">
      <alignment horizontal="center" vertical="center" wrapText="1"/>
      <protection locked="0"/>
    </xf>
    <xf numFmtId="0" fontId="12" fillId="8" borderId="21" xfId="0" applyFont="1" applyFill="1" applyBorder="1" applyAlignment="1">
      <alignment horizontal="center"/>
    </xf>
    <xf numFmtId="0" fontId="12" fillId="8" borderId="21" xfId="0" applyFont="1" applyFill="1" applyBorder="1"/>
    <xf numFmtId="44" fontId="5" fillId="8" borderId="21" xfId="9" applyFont="1" applyFill="1" applyBorder="1" applyAlignment="1" applyProtection="1">
      <alignment horizontal="center"/>
    </xf>
    <xf numFmtId="44" fontId="5" fillId="8" borderId="19" xfId="9" applyFont="1" applyFill="1" applyBorder="1" applyAlignment="1" applyProtection="1">
      <alignment horizontal="center"/>
      <protection locked="0"/>
    </xf>
    <xf numFmtId="44" fontId="5" fillId="8" borderId="23" xfId="9" applyFont="1" applyFill="1" applyBorder="1" applyAlignment="1" applyProtection="1">
      <alignment horizontal="center"/>
      <protection locked="0"/>
    </xf>
    <xf numFmtId="44" fontId="5" fillId="8" borderId="24" xfId="9" applyFont="1" applyFill="1" applyBorder="1" applyAlignment="1" applyProtection="1">
      <alignment horizontal="center"/>
      <protection locked="0"/>
    </xf>
    <xf numFmtId="0" fontId="5" fillId="0" borderId="25" xfId="0" applyFont="1" applyBorder="1" applyAlignment="1">
      <alignment horizontal="center"/>
    </xf>
    <xf numFmtId="0" fontId="5" fillId="0" borderId="26" xfId="0" applyFont="1" applyBorder="1"/>
    <xf numFmtId="0" fontId="5" fillId="0" borderId="27" xfId="0" applyFont="1" applyBorder="1" applyAlignment="1">
      <alignment horizontal="center"/>
    </xf>
    <xf numFmtId="4" fontId="5" fillId="0" borderId="28" xfId="0" applyNumberFormat="1" applyFont="1" applyBorder="1" applyAlignment="1" applyProtection="1">
      <alignment horizontal="center"/>
      <protection locked="0"/>
    </xf>
    <xf numFmtId="2" fontId="5" fillId="0" borderId="29" xfId="9" applyNumberFormat="1" applyFont="1" applyFill="1" applyBorder="1" applyAlignment="1" applyProtection="1">
      <alignment horizontal="center"/>
      <protection locked="0"/>
    </xf>
    <xf numFmtId="4" fontId="5" fillId="0" borderId="26" xfId="9" applyNumberFormat="1" applyFont="1" applyFill="1" applyBorder="1" applyAlignment="1" applyProtection="1">
      <alignment horizontal="center"/>
      <protection locked="0"/>
    </xf>
    <xf numFmtId="4" fontId="5" fillId="5" borderId="26" xfId="9" applyNumberFormat="1" applyFont="1" applyFill="1" applyBorder="1" applyAlignment="1" applyProtection="1">
      <alignment horizontal="center"/>
      <protection locked="0"/>
    </xf>
    <xf numFmtId="0" fontId="5" fillId="0" borderId="30" xfId="0" applyFont="1" applyBorder="1" applyAlignment="1">
      <alignment horizontal="center"/>
    </xf>
    <xf numFmtId="0" fontId="5" fillId="0" borderId="29" xfId="0" applyFont="1" applyBorder="1"/>
    <xf numFmtId="0" fontId="5" fillId="0" borderId="31" xfId="0" applyFont="1" applyBorder="1" applyAlignment="1">
      <alignment horizontal="center"/>
    </xf>
    <xf numFmtId="4" fontId="5" fillId="5" borderId="29" xfId="9" applyNumberFormat="1" applyFont="1" applyFill="1" applyBorder="1" applyAlignment="1" applyProtection="1">
      <alignment horizontal="center"/>
      <protection locked="0"/>
    </xf>
    <xf numFmtId="4" fontId="5" fillId="0" borderId="32" xfId="0" applyNumberFormat="1" applyFont="1" applyBorder="1" applyAlignment="1" applyProtection="1">
      <alignment horizontal="center"/>
      <protection locked="0"/>
    </xf>
    <xf numFmtId="4" fontId="5" fillId="0" borderId="29" xfId="9" applyNumberFormat="1" applyFont="1" applyFill="1" applyBorder="1" applyAlignment="1" applyProtection="1">
      <alignment horizontal="center"/>
      <protection locked="0"/>
    </xf>
    <xf numFmtId="0" fontId="12" fillId="9" borderId="30" xfId="0" applyFont="1" applyFill="1" applyBorder="1" applyAlignment="1">
      <alignment horizontal="center"/>
    </xf>
    <xf numFmtId="0" fontId="12" fillId="9" borderId="29" xfId="0" applyFont="1" applyFill="1" applyBorder="1"/>
    <xf numFmtId="44" fontId="5" fillId="9" borderId="31" xfId="9" applyFont="1" applyFill="1" applyBorder="1" applyAlignment="1" applyProtection="1">
      <alignment horizontal="center"/>
    </xf>
    <xf numFmtId="44" fontId="5" fillId="9" borderId="32" xfId="9" applyFont="1" applyFill="1" applyBorder="1" applyAlignment="1" applyProtection="1">
      <alignment horizontal="center"/>
      <protection locked="0"/>
    </xf>
    <xf numFmtId="44" fontId="5" fillId="9" borderId="29" xfId="9" applyFont="1" applyFill="1" applyBorder="1" applyAlignment="1" applyProtection="1">
      <alignment horizontal="center"/>
      <protection locked="0"/>
    </xf>
    <xf numFmtId="4" fontId="5" fillId="9" borderId="29" xfId="9" applyNumberFormat="1" applyFont="1" applyFill="1" applyBorder="1" applyAlignment="1" applyProtection="1">
      <alignment horizontal="center"/>
      <protection locked="0"/>
    </xf>
    <xf numFmtId="4" fontId="12" fillId="9" borderId="29" xfId="9" applyNumberFormat="1" applyFont="1" applyFill="1" applyBorder="1" applyAlignment="1" applyProtection="1">
      <alignment horizontal="center"/>
      <protection locked="0"/>
    </xf>
    <xf numFmtId="0" fontId="5" fillId="5" borderId="30" xfId="0" applyFont="1" applyFill="1" applyBorder="1" applyAlignment="1">
      <alignment horizontal="center"/>
    </xf>
    <xf numFmtId="0" fontId="5" fillId="5" borderId="29" xfId="0" applyFont="1" applyFill="1" applyBorder="1"/>
    <xf numFmtId="9" fontId="5" fillId="0" borderId="31" xfId="0" applyNumberFormat="1" applyFont="1" applyBorder="1" applyAlignment="1">
      <alignment horizontal="center"/>
    </xf>
    <xf numFmtId="2" fontId="5" fillId="8" borderId="29" xfId="9" applyNumberFormat="1" applyFont="1" applyFill="1" applyBorder="1" applyAlignment="1" applyProtection="1">
      <alignment horizontal="center"/>
      <protection locked="0"/>
    </xf>
    <xf numFmtId="4" fontId="18" fillId="8" borderId="29" xfId="9" applyNumberFormat="1" applyFont="1" applyFill="1" applyBorder="1" applyAlignment="1" applyProtection="1">
      <alignment horizontal="center"/>
      <protection locked="0"/>
    </xf>
    <xf numFmtId="4" fontId="5" fillId="8" borderId="30" xfId="0" applyNumberFormat="1" applyFont="1" applyFill="1" applyBorder="1" applyAlignment="1" applyProtection="1">
      <alignment horizontal="center"/>
      <protection locked="0"/>
    </xf>
    <xf numFmtId="4" fontId="5" fillId="8" borderId="29" xfId="9" applyNumberFormat="1" applyFont="1" applyFill="1" applyBorder="1" applyAlignment="1" applyProtection="1">
      <alignment horizontal="center"/>
      <protection locked="0"/>
    </xf>
    <xf numFmtId="0" fontId="5" fillId="9" borderId="25" xfId="0" applyFont="1" applyFill="1" applyBorder="1" applyAlignment="1">
      <alignment vertical="center" wrapText="1"/>
    </xf>
    <xf numFmtId="0" fontId="12" fillId="10" borderId="26" xfId="0" applyFont="1" applyFill="1" applyBorder="1" applyAlignment="1">
      <alignment horizontal="right" vertical="center" wrapText="1"/>
    </xf>
    <xf numFmtId="0" fontId="12" fillId="10" borderId="27" xfId="0" applyFont="1" applyFill="1" applyBorder="1" applyAlignment="1">
      <alignment horizontal="right" vertical="center" wrapText="1"/>
    </xf>
    <xf numFmtId="0" fontId="12" fillId="10" borderId="28" xfId="0" applyFont="1" applyFill="1" applyBorder="1" applyAlignment="1" applyProtection="1">
      <alignment horizontal="right" vertical="center" wrapText="1"/>
      <protection locked="0"/>
    </xf>
    <xf numFmtId="0" fontId="12" fillId="10" borderId="26" xfId="0" applyFont="1" applyFill="1" applyBorder="1" applyAlignment="1" applyProtection="1">
      <alignment horizontal="right" vertical="center" wrapText="1"/>
      <protection locked="0"/>
    </xf>
    <xf numFmtId="164" fontId="12" fillId="10" borderId="26" xfId="2" applyFont="1" applyFill="1" applyBorder="1" applyAlignment="1" applyProtection="1">
      <alignment vertical="center"/>
      <protection locked="0"/>
    </xf>
    <xf numFmtId="49" fontId="5" fillId="0" borderId="30" xfId="0" applyNumberFormat="1" applyFont="1" applyBorder="1" applyAlignment="1">
      <alignment horizontal="center" vertical="center" wrapText="1"/>
    </xf>
    <xf numFmtId="0" fontId="12" fillId="10" borderId="29" xfId="0" applyFont="1" applyFill="1" applyBorder="1" applyAlignment="1">
      <alignment horizontal="right" vertical="center" wrapText="1"/>
    </xf>
    <xf numFmtId="0" fontId="12" fillId="10" borderId="31" xfId="0" applyFont="1" applyFill="1" applyBorder="1" applyAlignment="1">
      <alignment horizontal="right" vertical="center" wrapText="1"/>
    </xf>
    <xf numFmtId="0" fontId="12" fillId="10" borderId="32" xfId="0" applyFont="1" applyFill="1" applyBorder="1" applyAlignment="1" applyProtection="1">
      <alignment horizontal="right" vertical="center" wrapText="1"/>
      <protection locked="0"/>
    </xf>
    <xf numFmtId="0" fontId="12" fillId="10" borderId="29" xfId="0" applyFont="1" applyFill="1" applyBorder="1" applyAlignment="1" applyProtection="1">
      <alignment horizontal="right" vertical="center" wrapText="1"/>
      <protection locked="0"/>
    </xf>
    <xf numFmtId="164" fontId="12" fillId="10" borderId="29" xfId="2" applyFont="1" applyFill="1" applyBorder="1" applyAlignment="1" applyProtection="1">
      <alignment vertical="center"/>
      <protection locked="0"/>
    </xf>
    <xf numFmtId="49" fontId="5" fillId="0" borderId="33" xfId="0" applyNumberFormat="1" applyFont="1" applyBorder="1" applyAlignment="1">
      <alignment horizontal="center" vertical="center" wrapText="1"/>
    </xf>
    <xf numFmtId="0" fontId="12" fillId="10" borderId="34" xfId="0" applyFont="1" applyFill="1" applyBorder="1" applyAlignment="1">
      <alignment horizontal="right" vertical="center" wrapText="1"/>
    </xf>
    <xf numFmtId="0" fontId="12" fillId="10" borderId="35" xfId="0" applyFont="1" applyFill="1" applyBorder="1" applyAlignment="1">
      <alignment horizontal="right" vertical="center" wrapText="1"/>
    </xf>
    <xf numFmtId="0" fontId="12" fillId="10" borderId="36" xfId="0" applyFont="1" applyFill="1" applyBorder="1" applyAlignment="1" applyProtection="1">
      <alignment horizontal="right" vertical="center" wrapText="1"/>
      <protection locked="0"/>
    </xf>
    <xf numFmtId="0" fontId="12" fillId="10" borderId="34" xfId="0" applyFont="1" applyFill="1" applyBorder="1" applyAlignment="1" applyProtection="1">
      <alignment horizontal="right" vertical="center" wrapText="1"/>
      <protection locked="0"/>
    </xf>
    <xf numFmtId="164" fontId="12" fillId="10" borderId="34" xfId="2" applyFont="1" applyFill="1" applyBorder="1" applyAlignment="1" applyProtection="1">
      <alignment vertical="center"/>
      <protection locked="0"/>
    </xf>
    <xf numFmtId="0" fontId="5" fillId="8" borderId="37" xfId="0" applyFont="1" applyFill="1" applyBorder="1" applyAlignment="1">
      <alignment vertical="center" wrapText="1"/>
    </xf>
    <xf numFmtId="0" fontId="5" fillId="8" borderId="38" xfId="0" applyFont="1" applyFill="1" applyBorder="1" applyAlignment="1">
      <alignment horizontal="left" vertical="center" wrapText="1"/>
    </xf>
    <xf numFmtId="0" fontId="5" fillId="8" borderId="39" xfId="0" applyFont="1" applyFill="1" applyBorder="1" applyAlignment="1">
      <alignment vertical="center" wrapText="1"/>
    </xf>
    <xf numFmtId="0" fontId="5" fillId="8" borderId="40" xfId="0" applyFont="1" applyFill="1" applyBorder="1" applyAlignment="1" applyProtection="1">
      <alignment horizontal="center" vertical="center" wrapText="1"/>
      <protection locked="0"/>
    </xf>
    <xf numFmtId="0" fontId="5" fillId="8" borderId="38" xfId="0" applyFont="1" applyFill="1" applyBorder="1" applyAlignment="1" applyProtection="1">
      <alignment horizontal="center" vertical="center" wrapText="1"/>
      <protection locked="0"/>
    </xf>
    <xf numFmtId="0" fontId="5" fillId="8" borderId="41" xfId="0" applyFont="1" applyFill="1" applyBorder="1" applyAlignment="1" applyProtection="1">
      <alignment horizontal="center" vertical="center" wrapText="1"/>
      <protection locked="0"/>
    </xf>
    <xf numFmtId="0" fontId="5" fillId="8" borderId="42" xfId="0" applyFont="1" applyFill="1" applyBorder="1" applyAlignment="1">
      <alignment vertical="center" wrapText="1"/>
    </xf>
    <xf numFmtId="0" fontId="5" fillId="8" borderId="43" xfId="0" applyFont="1" applyFill="1" applyBorder="1" applyAlignment="1">
      <alignment horizontal="left" vertical="center" wrapText="1"/>
    </xf>
    <xf numFmtId="0" fontId="5" fillId="8" borderId="43" xfId="0" applyFont="1" applyFill="1" applyBorder="1" applyAlignment="1">
      <alignment vertical="center" wrapText="1"/>
    </xf>
    <xf numFmtId="0" fontId="5" fillId="8" borderId="43" xfId="0" applyFont="1" applyFill="1" applyBorder="1" applyAlignment="1" applyProtection="1">
      <alignment horizontal="center" vertical="center" wrapText="1"/>
      <protection locked="0"/>
    </xf>
    <xf numFmtId="0" fontId="5" fillId="8" borderId="44" xfId="0" applyFont="1" applyFill="1" applyBorder="1" applyAlignment="1" applyProtection="1">
      <alignment horizontal="center" vertical="center" wrapText="1"/>
      <protection locked="0"/>
    </xf>
    <xf numFmtId="0" fontId="5" fillId="8" borderId="0" xfId="0" applyFont="1" applyFill="1" applyAlignment="1">
      <alignment horizontal="left" vertical="center" wrapText="1"/>
    </xf>
    <xf numFmtId="0" fontId="5" fillId="8" borderId="0" xfId="0" applyFont="1" applyFill="1" applyAlignment="1">
      <alignment vertical="center" wrapText="1"/>
    </xf>
    <xf numFmtId="0" fontId="5" fillId="8" borderId="0" xfId="0" applyFont="1" applyFill="1" applyAlignment="1" applyProtection="1">
      <alignment horizontal="center" vertical="center" wrapText="1"/>
      <protection locked="0"/>
    </xf>
    <xf numFmtId="0" fontId="5" fillId="8" borderId="10" xfId="0" applyFont="1" applyFill="1" applyBorder="1" applyAlignment="1" applyProtection="1">
      <alignment horizontal="center" vertical="center" wrapText="1"/>
      <protection locked="0"/>
    </xf>
    <xf numFmtId="0" fontId="5" fillId="8" borderId="45" xfId="0" applyFont="1" applyFill="1" applyBorder="1" applyAlignment="1">
      <alignment horizontal="left" vertical="center" wrapText="1"/>
    </xf>
    <xf numFmtId="0" fontId="5" fillId="8" borderId="45" xfId="0" applyFont="1" applyFill="1" applyBorder="1" applyAlignment="1">
      <alignment vertical="center" wrapText="1"/>
    </xf>
    <xf numFmtId="0" fontId="5" fillId="8" borderId="45" xfId="0" applyFont="1" applyFill="1" applyBorder="1" applyAlignment="1" applyProtection="1">
      <alignment horizontal="center" vertical="center" wrapText="1"/>
      <protection locked="0"/>
    </xf>
    <xf numFmtId="0" fontId="5" fillId="8" borderId="28" xfId="0" applyFont="1" applyFill="1" applyBorder="1" applyAlignment="1" applyProtection="1">
      <alignment horizontal="center" vertical="center" wrapText="1"/>
      <protection locked="0"/>
    </xf>
    <xf numFmtId="0" fontId="5" fillId="0" borderId="46" xfId="3" applyBorder="1" applyAlignment="1" applyProtection="1">
      <alignment vertical="center"/>
      <protection hidden="1"/>
    </xf>
    <xf numFmtId="0" fontId="5" fillId="8" borderId="47" xfId="0" applyFont="1" applyFill="1" applyBorder="1" applyAlignment="1">
      <alignment vertical="center" wrapText="1"/>
    </xf>
    <xf numFmtId="0" fontId="5" fillId="8" borderId="48" xfId="0" applyFont="1" applyFill="1" applyBorder="1" applyAlignment="1">
      <alignment vertical="center" wrapText="1"/>
    </xf>
    <xf numFmtId="0" fontId="5" fillId="8" borderId="49" xfId="0" applyFont="1" applyFill="1" applyBorder="1" applyAlignment="1" applyProtection="1">
      <alignment vertical="center" wrapText="1"/>
      <protection locked="0"/>
    </xf>
    <xf numFmtId="0" fontId="5" fillId="8" borderId="50" xfId="0" applyFont="1" applyFill="1" applyBorder="1" applyAlignment="1" applyProtection="1">
      <alignment vertical="center" wrapText="1"/>
      <protection locked="0"/>
    </xf>
    <xf numFmtId="0" fontId="5" fillId="8" borderId="32" xfId="0" applyFont="1" applyFill="1" applyBorder="1" applyAlignment="1" applyProtection="1">
      <alignment vertical="center" wrapText="1"/>
      <protection locked="0"/>
    </xf>
    <xf numFmtId="0" fontId="19" fillId="0" borderId="0" xfId="3" applyFont="1" applyAlignment="1" applyProtection="1">
      <alignment horizontal="center" vertical="center"/>
      <protection hidden="1"/>
    </xf>
    <xf numFmtId="0" fontId="19" fillId="0" borderId="0" xfId="3" applyFont="1" applyAlignment="1" applyProtection="1">
      <alignment vertical="center" wrapText="1"/>
      <protection hidden="1"/>
    </xf>
    <xf numFmtId="0" fontId="19" fillId="0" borderId="0" xfId="3" applyFont="1" applyAlignment="1" applyProtection="1">
      <alignment vertical="center"/>
      <protection hidden="1"/>
    </xf>
    <xf numFmtId="164" fontId="19" fillId="0" borderId="0" xfId="2" applyFont="1" applyAlignment="1" applyProtection="1">
      <alignment vertical="center"/>
      <protection hidden="1"/>
    </xf>
    <xf numFmtId="0" fontId="0" fillId="0" borderId="19" xfId="0" applyBorder="1" applyAlignment="1">
      <alignment horizontal="center"/>
    </xf>
    <xf numFmtId="0" fontId="0" fillId="0" borderId="23" xfId="0" applyBorder="1"/>
    <xf numFmtId="0" fontId="2" fillId="0" borderId="23" xfId="0" applyFont="1" applyBorder="1"/>
    <xf numFmtId="0" fontId="0" fillId="0" borderId="20" xfId="0" applyBorder="1"/>
    <xf numFmtId="0" fontId="20" fillId="11" borderId="51" xfId="10" applyFont="1" applyFill="1" applyBorder="1" applyAlignment="1">
      <alignment vertical="center" wrapText="1"/>
    </xf>
    <xf numFmtId="0" fontId="0" fillId="0" borderId="46" xfId="0" applyBorder="1"/>
    <xf numFmtId="0" fontId="0" fillId="0" borderId="45" xfId="0" applyBorder="1"/>
    <xf numFmtId="0" fontId="0" fillId="0" borderId="48" xfId="0" applyBorder="1"/>
    <xf numFmtId="0" fontId="21" fillId="12" borderId="51" xfId="10" applyFont="1" applyFill="1" applyBorder="1" applyAlignment="1">
      <alignment vertical="center" wrapText="1"/>
    </xf>
    <xf numFmtId="0" fontId="0" fillId="0" borderId="52" xfId="0" applyBorder="1"/>
    <xf numFmtId="0" fontId="0" fillId="0" borderId="50" xfId="0" applyBorder="1"/>
    <xf numFmtId="0" fontId="0" fillId="0" borderId="53" xfId="0" applyBorder="1"/>
    <xf numFmtId="0" fontId="21" fillId="13" borderId="51" xfId="10" applyFont="1" applyFill="1" applyBorder="1" applyAlignment="1">
      <alignment vertical="center" wrapText="1"/>
    </xf>
    <xf numFmtId="0" fontId="21" fillId="14" borderId="51" xfId="10" applyFont="1" applyFill="1" applyBorder="1" applyAlignment="1">
      <alignment vertical="center" wrapText="1"/>
    </xf>
    <xf numFmtId="0" fontId="0" fillId="0" borderId="1" xfId="0" applyBorder="1"/>
    <xf numFmtId="0" fontId="0" fillId="0" borderId="43" xfId="0" applyBorder="1"/>
    <xf numFmtId="0" fontId="0" fillId="0" borderId="54" xfId="0" applyBorder="1"/>
    <xf numFmtId="0" fontId="21" fillId="15" borderId="51" xfId="10" applyFont="1" applyFill="1" applyBorder="1" applyAlignment="1">
      <alignment vertical="center" wrapText="1"/>
    </xf>
    <xf numFmtId="0" fontId="21" fillId="16" borderId="51" xfId="10" applyFont="1" applyFill="1" applyBorder="1" applyAlignment="1">
      <alignment vertical="center" wrapText="1"/>
    </xf>
    <xf numFmtId="0" fontId="21" fillId="17" borderId="51" xfId="10" applyFont="1" applyFill="1" applyBorder="1" applyAlignment="1">
      <alignment vertical="center" wrapText="1"/>
    </xf>
    <xf numFmtId="0" fontId="0" fillId="0" borderId="55" xfId="0" applyBorder="1"/>
    <xf numFmtId="0" fontId="0" fillId="0" borderId="56" xfId="0" applyBorder="1"/>
    <xf numFmtId="0" fontId="0" fillId="0" borderId="57" xfId="0" applyBorder="1"/>
    <xf numFmtId="0" fontId="7" fillId="3" borderId="5" xfId="1" applyFont="1" applyFill="1" applyBorder="1" applyAlignment="1" applyProtection="1">
      <alignment horizontal="center" vertical="center"/>
      <protection locked="0"/>
    </xf>
    <xf numFmtId="14" fontId="7" fillId="4" borderId="6" xfId="1" applyNumberFormat="1" applyFont="1" applyFill="1" applyBorder="1" applyAlignment="1" applyProtection="1">
      <alignment horizontal="center" vertical="center"/>
      <protection locked="0"/>
    </xf>
    <xf numFmtId="165" fontId="7" fillId="4" borderId="6" xfId="2" applyNumberFormat="1" applyFont="1" applyFill="1" applyBorder="1" applyAlignment="1" applyProtection="1">
      <alignment horizontal="left" vertical="center"/>
      <protection locked="0"/>
    </xf>
    <xf numFmtId="0" fontId="7" fillId="4" borderId="5" xfId="1" applyFont="1" applyFill="1" applyBorder="1" applyAlignment="1" applyProtection="1">
      <alignment vertical="center"/>
      <protection locked="0"/>
    </xf>
    <xf numFmtId="43" fontId="5" fillId="5" borderId="5" xfId="5" applyNumberFormat="1" applyFont="1" applyFill="1" applyBorder="1" applyAlignment="1" applyProtection="1">
      <alignment vertical="center"/>
      <protection locked="0"/>
    </xf>
    <xf numFmtId="0" fontId="5" fillId="5" borderId="5" xfId="3" applyFill="1" applyBorder="1" applyAlignment="1" applyProtection="1">
      <alignment horizontal="center" vertical="center" wrapText="1"/>
      <protection locked="0"/>
    </xf>
    <xf numFmtId="43" fontId="24" fillId="0" borderId="5" xfId="7" applyFont="1" applyFill="1" applyBorder="1" applyAlignment="1" applyProtection="1">
      <alignment horizontal="right" vertical="center"/>
      <protection locked="0"/>
    </xf>
    <xf numFmtId="43" fontId="24" fillId="0" borderId="5" xfId="7" applyFont="1" applyFill="1" applyBorder="1" applyAlignment="1" applyProtection="1">
      <alignment vertical="center"/>
      <protection locked="0"/>
    </xf>
    <xf numFmtId="43" fontId="5" fillId="5" borderId="5" xfId="3" applyNumberFormat="1" applyFill="1" applyBorder="1" applyAlignment="1" applyProtection="1">
      <alignment horizontal="right" vertical="center"/>
      <protection locked="0"/>
    </xf>
    <xf numFmtId="43" fontId="5" fillId="5" borderId="5" xfId="3" applyNumberFormat="1" applyFill="1" applyBorder="1" applyAlignment="1" applyProtection="1">
      <alignment vertical="center"/>
      <protection locked="0"/>
    </xf>
    <xf numFmtId="43" fontId="5" fillId="5" borderId="5" xfId="6" applyNumberFormat="1" applyFill="1" applyBorder="1" applyAlignment="1" applyProtection="1">
      <alignment vertical="center"/>
      <protection locked="0"/>
    </xf>
    <xf numFmtId="164" fontId="15" fillId="6" borderId="6" xfId="2" applyFont="1" applyFill="1" applyBorder="1" applyAlignment="1" applyProtection="1">
      <alignment vertical="center"/>
    </xf>
    <xf numFmtId="0" fontId="0" fillId="0" borderId="0" xfId="0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0" xfId="0" applyFont="1" applyAlignment="1">
      <alignment vertical="center"/>
    </xf>
    <xf numFmtId="164" fontId="5" fillId="0" borderId="14" xfId="3" applyNumberFormat="1" applyBorder="1" applyAlignment="1">
      <alignment horizontal="center" vertical="center"/>
    </xf>
    <xf numFmtId="0" fontId="22" fillId="0" borderId="58" xfId="0" applyFont="1" applyBorder="1" applyAlignment="1">
      <alignment horizontal="left"/>
    </xf>
    <xf numFmtId="43" fontId="16" fillId="5" borderId="5" xfId="5" applyNumberFormat="1" applyFont="1" applyFill="1" applyBorder="1" applyAlignment="1" applyProtection="1">
      <alignment vertical="center"/>
      <protection locked="0"/>
    </xf>
    <xf numFmtId="0" fontId="16" fillId="5" borderId="5" xfId="3" applyFont="1" applyFill="1" applyBorder="1" applyAlignment="1" applyProtection="1">
      <alignment horizontal="center" vertical="center"/>
      <protection locked="0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6" fillId="2" borderId="4" xfId="1" applyFont="1" applyFill="1" applyBorder="1" applyAlignment="1" applyProtection="1">
      <alignment horizontal="center" vertical="center"/>
      <protection locked="0"/>
    </xf>
    <xf numFmtId="0" fontId="6" fillId="2" borderId="5" xfId="1" applyFont="1" applyFill="1" applyBorder="1" applyAlignment="1" applyProtection="1">
      <alignment horizontal="center" vertical="center"/>
      <protection locked="0"/>
    </xf>
    <xf numFmtId="0" fontId="9" fillId="3" borderId="6" xfId="1" applyFont="1" applyFill="1" applyBorder="1" applyAlignment="1" applyProtection="1">
      <alignment horizontal="center" vertical="center"/>
      <protection locked="0"/>
    </xf>
    <xf numFmtId="0" fontId="9" fillId="3" borderId="7" xfId="1" applyFont="1" applyFill="1" applyBorder="1" applyAlignment="1" applyProtection="1">
      <alignment horizontal="center" vertical="center"/>
      <protection locked="0"/>
    </xf>
    <xf numFmtId="0" fontId="9" fillId="4" borderId="6" xfId="1" applyFont="1" applyFill="1" applyBorder="1" applyAlignment="1" applyProtection="1">
      <alignment horizontal="center" vertical="center" wrapText="1"/>
      <protection locked="0"/>
    </xf>
    <xf numFmtId="0" fontId="9" fillId="4" borderId="8" xfId="1" applyFont="1" applyFill="1" applyBorder="1" applyAlignment="1" applyProtection="1">
      <alignment horizontal="center" vertical="center" wrapText="1"/>
      <protection locked="0"/>
    </xf>
    <xf numFmtId="0" fontId="9" fillId="4" borderId="11" xfId="1" applyFont="1" applyFill="1" applyBorder="1" applyAlignment="1" applyProtection="1">
      <alignment horizontal="center" vertical="center" wrapText="1"/>
      <protection locked="0"/>
    </xf>
    <xf numFmtId="0" fontId="9" fillId="4" borderId="7" xfId="1" applyFont="1" applyFill="1" applyBorder="1" applyAlignment="1" applyProtection="1">
      <alignment horizontal="center" vertical="center" wrapText="1"/>
      <protection locked="0"/>
    </xf>
    <xf numFmtId="0" fontId="10" fillId="3" borderId="6" xfId="1" applyFont="1" applyFill="1" applyBorder="1" applyAlignment="1" applyProtection="1">
      <alignment horizontal="center" vertical="center" wrapText="1"/>
      <protection locked="0"/>
    </xf>
    <xf numFmtId="0" fontId="10" fillId="3" borderId="8" xfId="1" applyFont="1" applyFill="1" applyBorder="1" applyAlignment="1" applyProtection="1">
      <alignment horizontal="center" vertical="center" wrapText="1"/>
      <protection locked="0"/>
    </xf>
    <xf numFmtId="0" fontId="10" fillId="3" borderId="7" xfId="1" applyFont="1" applyFill="1" applyBorder="1" applyAlignment="1" applyProtection="1">
      <alignment horizontal="center" vertical="center" wrapText="1"/>
      <protection locked="0"/>
    </xf>
    <xf numFmtId="0" fontId="9" fillId="4" borderId="11" xfId="1" applyFont="1" applyFill="1" applyBorder="1" applyAlignment="1" applyProtection="1">
      <alignment horizontal="center" vertical="center"/>
      <protection locked="0"/>
    </xf>
    <xf numFmtId="0" fontId="9" fillId="4" borderId="7" xfId="1" applyFont="1" applyFill="1" applyBorder="1" applyAlignment="1" applyProtection="1">
      <alignment horizontal="center" vertical="center"/>
      <protection locked="0"/>
    </xf>
    <xf numFmtId="0" fontId="15" fillId="2" borderId="6" xfId="4" applyFont="1" applyFill="1" applyBorder="1" applyAlignment="1" applyProtection="1">
      <alignment horizontal="center" vertical="center"/>
      <protection hidden="1"/>
    </xf>
    <xf numFmtId="0" fontId="15" fillId="2" borderId="7" xfId="4" applyFont="1" applyFill="1" applyBorder="1" applyAlignment="1" applyProtection="1">
      <alignment horizontal="center" vertical="center"/>
      <protection hidden="1"/>
    </xf>
    <xf numFmtId="0" fontId="12" fillId="4" borderId="6" xfId="3" applyFont="1" applyFill="1" applyBorder="1" applyAlignment="1">
      <alignment horizontal="center" vertical="center"/>
    </xf>
    <xf numFmtId="0" fontId="12" fillId="4" borderId="7" xfId="3" applyFont="1" applyFill="1" applyBorder="1" applyAlignment="1">
      <alignment horizontal="center" vertical="center"/>
    </xf>
    <xf numFmtId="0" fontId="15" fillId="2" borderId="15" xfId="3" applyFont="1" applyFill="1" applyBorder="1" applyAlignment="1">
      <alignment horizontal="center" vertical="center"/>
    </xf>
    <xf numFmtId="0" fontId="15" fillId="2" borderId="16" xfId="3" applyFont="1" applyFill="1" applyBorder="1" applyAlignment="1">
      <alignment horizontal="center" vertical="center"/>
    </xf>
    <xf numFmtId="0" fontId="15" fillId="2" borderId="17" xfId="3" applyFont="1" applyFill="1" applyBorder="1" applyAlignment="1">
      <alignment horizontal="center" vertical="center"/>
    </xf>
    <xf numFmtId="0" fontId="16" fillId="2" borderId="4" xfId="3" applyFont="1" applyFill="1" applyBorder="1" applyAlignment="1">
      <alignment horizontal="center" vertical="center"/>
    </xf>
    <xf numFmtId="164" fontId="16" fillId="2" borderId="5" xfId="2" applyFont="1" applyFill="1" applyBorder="1" applyAlignment="1" applyProtection="1">
      <alignment horizontal="center" vertical="center"/>
    </xf>
    <xf numFmtId="0" fontId="16" fillId="2" borderId="5" xfId="3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0" fontId="15" fillId="2" borderId="5" xfId="3" applyFont="1" applyFill="1" applyBorder="1" applyAlignment="1">
      <alignment horizontal="center" vertical="center"/>
    </xf>
    <xf numFmtId="164" fontId="15" fillId="2" borderId="5" xfId="2" applyFont="1" applyFill="1" applyBorder="1" applyAlignment="1" applyProtection="1">
      <alignment horizontal="center" vertical="center"/>
    </xf>
    <xf numFmtId="0" fontId="22" fillId="0" borderId="58" xfId="0" applyFont="1" applyBorder="1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5" fillId="5" borderId="5" xfId="3" applyFont="1" applyFill="1" applyBorder="1" applyAlignment="1" applyProtection="1">
      <alignment horizontal="center" vertical="center"/>
      <protection locked="0"/>
    </xf>
    <xf numFmtId="0" fontId="5" fillId="5" borderId="5" xfId="3" applyFont="1" applyFill="1" applyBorder="1" applyAlignment="1" applyProtection="1">
      <alignment horizontal="center" vertical="center" wrapText="1"/>
      <protection locked="0"/>
    </xf>
    <xf numFmtId="43" fontId="5" fillId="5" borderId="5" xfId="11" applyFont="1" applyFill="1" applyBorder="1" applyAlignment="1" applyProtection="1">
      <alignment horizontal="right" vertical="center"/>
      <protection locked="0"/>
    </xf>
    <xf numFmtId="43" fontId="5" fillId="5" borderId="5" xfId="12" applyFont="1" applyFill="1" applyBorder="1" applyAlignment="1" applyProtection="1">
      <alignment vertical="center"/>
      <protection locked="0"/>
    </xf>
    <xf numFmtId="0" fontId="0" fillId="5" borderId="0" xfId="0" applyFill="1"/>
    <xf numFmtId="0" fontId="0" fillId="5" borderId="0" xfId="0" applyFill="1" applyAlignment="1">
      <alignment horizontal="center"/>
    </xf>
    <xf numFmtId="43" fontId="5" fillId="5" borderId="18" xfId="2" applyNumberFormat="1" applyFont="1" applyFill="1" applyBorder="1" applyAlignment="1" applyProtection="1">
      <alignment horizontal="right" vertical="center"/>
      <protection locked="0"/>
    </xf>
    <xf numFmtId="43" fontId="5" fillId="5" borderId="18" xfId="5" applyNumberFormat="1" applyFont="1" applyFill="1" applyBorder="1" applyAlignment="1" applyProtection="1">
      <alignment vertical="center"/>
      <protection locked="0"/>
    </xf>
    <xf numFmtId="0" fontId="5" fillId="5" borderId="5" xfId="3" applyFill="1" applyBorder="1" applyAlignment="1">
      <alignment horizontal="center" vertical="center"/>
    </xf>
    <xf numFmtId="1" fontId="5" fillId="5" borderId="5" xfId="3" applyNumberFormat="1" applyFill="1" applyBorder="1" applyAlignment="1" applyProtection="1">
      <alignment horizontal="center" vertical="center"/>
      <protection locked="0"/>
    </xf>
    <xf numFmtId="167" fontId="5" fillId="5" borderId="5" xfId="3" applyNumberFormat="1" applyFill="1" applyBorder="1" applyAlignment="1" applyProtection="1">
      <alignment horizontal="center" vertical="center"/>
      <protection locked="0"/>
    </xf>
    <xf numFmtId="43" fontId="5" fillId="5" borderId="5" xfId="7" applyFont="1" applyFill="1" applyBorder="1" applyAlignment="1" applyProtection="1">
      <alignment horizontal="right" vertical="center"/>
      <protection locked="0"/>
    </xf>
    <xf numFmtId="10" fontId="5" fillId="5" borderId="30" xfId="8" applyNumberFormat="1" applyFont="1" applyFill="1" applyBorder="1" applyAlignment="1" applyProtection="1">
      <alignment horizontal="center"/>
      <protection locked="0"/>
    </xf>
  </cellXfs>
  <cellStyles count="13">
    <cellStyle name="Moeda 3" xfId="9" xr:uid="{2C5BC396-89FC-45E6-8A66-3D616CA32730}"/>
    <cellStyle name="Normal" xfId="0" builtinId="0"/>
    <cellStyle name="Normal 11 2" xfId="1" xr:uid="{F1F9E411-590F-47A8-A364-BBF102DE0D83}"/>
    <cellStyle name="Normal 2 2" xfId="6" xr:uid="{2C62D386-932F-4EC5-BE19-51A8AD6A1CEC}"/>
    <cellStyle name="Normal 3" xfId="3" xr:uid="{917F30B4-ED20-479F-9C20-03C8B851E4F6}"/>
    <cellStyle name="Normal 8" xfId="10" xr:uid="{BE1D00FF-00C1-4959-920B-8714A230C41D}"/>
    <cellStyle name="Porcentagem 2" xfId="8" xr:uid="{9BA44CE8-EF88-4C6E-A6CC-C16DA21A06D5}"/>
    <cellStyle name="Separador de milhares 2" xfId="4" xr:uid="{CA48BC3B-4E40-449E-ACC0-090AE18C58AC}"/>
    <cellStyle name="Separador de milhares 3" xfId="5" xr:uid="{5500CB74-4346-4AD9-8D3C-7E1DDE270762}"/>
    <cellStyle name="Separador de milhares 3 2 2" xfId="12" xr:uid="{5DE4D2A5-6441-4965-838E-C0229055921A}"/>
    <cellStyle name="Vírgula 2" xfId="2" xr:uid="{1B1AD8A0-2CF8-4B7E-912E-A483B61C0A85}"/>
    <cellStyle name="Vírgula 2 2" xfId="7" xr:uid="{FEC72AA4-0892-4227-800E-BBC1725B8D06}"/>
    <cellStyle name="Vírgula 2 2 2 2" xfId="11" xr:uid="{5CF61485-083F-40D1-8DED-59CCA012B60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25468-CD20-40C6-9DD0-3A98799EF800}">
  <dimension ref="B1:L596"/>
  <sheetViews>
    <sheetView showGridLines="0" tabSelected="1" topLeftCell="A532" zoomScaleNormal="100" workbookViewId="0">
      <selection activeCell="M539" sqref="M539"/>
    </sheetView>
  </sheetViews>
  <sheetFormatPr defaultRowHeight="15" x14ac:dyDescent="0.25"/>
  <cols>
    <col min="2" max="2" width="11.7109375" customWidth="1"/>
    <col min="3" max="3" width="7.5703125" customWidth="1"/>
    <col min="4" max="4" width="55.42578125" customWidth="1"/>
    <col min="5" max="5" width="7.7109375" customWidth="1"/>
    <col min="6" max="6" width="16.28515625" customWidth="1"/>
    <col min="7" max="7" width="10.7109375" customWidth="1"/>
    <col min="8" max="8" width="13.28515625" customWidth="1"/>
    <col min="9" max="9" width="17.42578125" customWidth="1"/>
    <col min="10" max="10" width="2.7109375" customWidth="1"/>
    <col min="11" max="11" width="16.5703125" customWidth="1"/>
    <col min="12" max="12" width="6.85546875" style="226" customWidth="1"/>
  </cols>
  <sheetData>
    <row r="1" spans="2:9" ht="21" x14ac:dyDescent="0.25">
      <c r="B1" s="1"/>
      <c r="C1" s="233"/>
      <c r="D1" s="233"/>
      <c r="E1" s="233"/>
      <c r="F1" s="233"/>
      <c r="G1" s="233"/>
      <c r="H1" s="233"/>
      <c r="I1" s="234"/>
    </row>
    <row r="2" spans="2:9" ht="31.5" x14ac:dyDescent="0.25">
      <c r="B2" s="235" t="s">
        <v>0</v>
      </c>
      <c r="C2" s="236"/>
      <c r="D2" s="236"/>
      <c r="E2" s="2" t="s">
        <v>1</v>
      </c>
      <c r="F2" s="2" t="s">
        <v>2</v>
      </c>
      <c r="G2" s="2" t="s">
        <v>3</v>
      </c>
      <c r="H2" s="3" t="s">
        <v>4</v>
      </c>
      <c r="I2" s="3" t="s">
        <v>5</v>
      </c>
    </row>
    <row r="3" spans="2:9" x14ac:dyDescent="0.25">
      <c r="B3" s="214" t="s">
        <v>932</v>
      </c>
      <c r="C3" s="214">
        <v>530</v>
      </c>
      <c r="D3" s="4" t="s">
        <v>933</v>
      </c>
      <c r="E3" s="217"/>
      <c r="F3" s="4"/>
      <c r="G3" s="5"/>
      <c r="H3" s="215">
        <v>46048</v>
      </c>
      <c r="I3" s="215">
        <v>46228</v>
      </c>
    </row>
    <row r="4" spans="2:9" ht="15.75" x14ac:dyDescent="0.25">
      <c r="B4" s="6" t="s">
        <v>6</v>
      </c>
      <c r="C4" s="237"/>
      <c r="D4" s="238"/>
      <c r="E4" s="239" t="s">
        <v>7</v>
      </c>
      <c r="F4" s="240"/>
      <c r="G4" s="240"/>
      <c r="H4" s="216">
        <f>I3-H3</f>
        <v>180</v>
      </c>
      <c r="I4" s="216" t="s">
        <v>931</v>
      </c>
    </row>
    <row r="5" spans="2:9" x14ac:dyDescent="0.25">
      <c r="B5" s="7"/>
      <c r="C5" s="8"/>
      <c r="D5" s="8"/>
      <c r="E5" s="8"/>
      <c r="F5" s="8"/>
      <c r="G5" s="8"/>
      <c r="H5" s="8"/>
      <c r="I5" s="9"/>
    </row>
    <row r="6" spans="2:9" ht="18.75" x14ac:dyDescent="0.25">
      <c r="B6" s="241" t="s">
        <v>8</v>
      </c>
      <c r="C6" s="242"/>
      <c r="D6" s="243" t="s">
        <v>935</v>
      </c>
      <c r="E6" s="244"/>
      <c r="F6" s="244"/>
      <c r="G6" s="244"/>
      <c r="H6" s="244"/>
      <c r="I6" s="245"/>
    </row>
    <row r="7" spans="2:9" ht="18.75" x14ac:dyDescent="0.25">
      <c r="B7" s="246" t="s">
        <v>9</v>
      </c>
      <c r="C7" s="247"/>
      <c r="D7" s="243" t="s">
        <v>936</v>
      </c>
      <c r="E7" s="244"/>
      <c r="F7" s="244"/>
      <c r="G7" s="244"/>
      <c r="H7" s="244"/>
      <c r="I7" s="245"/>
    </row>
    <row r="8" spans="2:9" x14ac:dyDescent="0.25">
      <c r="B8" s="10"/>
      <c r="C8" s="11"/>
      <c r="D8" s="11"/>
      <c r="E8" s="11"/>
      <c r="F8" s="11"/>
      <c r="G8" s="11"/>
      <c r="H8" s="11"/>
      <c r="I8" s="12"/>
    </row>
    <row r="9" spans="2:9" x14ac:dyDescent="0.25">
      <c r="B9" s="13"/>
      <c r="C9" s="14"/>
      <c r="D9" s="14"/>
      <c r="E9" s="15"/>
      <c r="F9" s="16"/>
      <c r="G9" s="16"/>
      <c r="H9" s="17"/>
      <c r="I9" s="18"/>
    </row>
    <row r="10" spans="2:9" x14ac:dyDescent="0.25">
      <c r="B10" s="19"/>
      <c r="C10" s="20"/>
      <c r="D10" s="21"/>
      <c r="E10" s="22"/>
      <c r="F10" s="20"/>
      <c r="G10" s="23"/>
      <c r="H10" s="23"/>
      <c r="I10" s="24"/>
    </row>
    <row r="11" spans="2:9" x14ac:dyDescent="0.25">
      <c r="B11" s="25"/>
      <c r="C11" s="26"/>
      <c r="D11" s="248" t="s">
        <v>10</v>
      </c>
      <c r="E11" s="249"/>
      <c r="F11" s="27" t="s">
        <v>11</v>
      </c>
      <c r="G11" s="28" t="s">
        <v>12</v>
      </c>
      <c r="H11" s="28" t="s">
        <v>13</v>
      </c>
      <c r="I11" s="29" t="s">
        <v>14</v>
      </c>
    </row>
    <row r="12" spans="2:9" x14ac:dyDescent="0.25">
      <c r="B12" s="30"/>
      <c r="C12" s="31"/>
      <c r="D12" s="250" t="s">
        <v>15</v>
      </c>
      <c r="E12" s="251"/>
      <c r="F12" s="32">
        <v>810080</v>
      </c>
      <c r="G12" s="33">
        <f>IF(I12=0,"-",10)</f>
        <v>10</v>
      </c>
      <c r="H12" s="34">
        <v>7316014</v>
      </c>
      <c r="I12" s="35">
        <f t="shared" ref="I12:I20" si="0">SUMIF(B$26:B$542,F12,I$26:I$542)</f>
        <v>143390</v>
      </c>
    </row>
    <row r="13" spans="2:9" x14ac:dyDescent="0.25">
      <c r="B13" s="30"/>
      <c r="C13" s="31"/>
      <c r="D13" s="250" t="s">
        <v>16</v>
      </c>
      <c r="E13" s="251"/>
      <c r="F13" s="32">
        <v>810100</v>
      </c>
      <c r="G13" s="33">
        <f>IF(I13=0,"-",MAX(G$12:G12)+10)</f>
        <v>20</v>
      </c>
      <c r="H13" s="34">
        <v>7323000</v>
      </c>
      <c r="I13" s="35">
        <f t="shared" si="0"/>
        <v>579150.5</v>
      </c>
    </row>
    <row r="14" spans="2:9" x14ac:dyDescent="0.25">
      <c r="B14" s="30"/>
      <c r="C14" s="31"/>
      <c r="D14" s="250" t="s">
        <v>17</v>
      </c>
      <c r="E14" s="251"/>
      <c r="F14" s="32">
        <v>810101</v>
      </c>
      <c r="G14" s="33">
        <f>IF(I14=0,"-",MAX(G$12:G13)+10)</f>
        <v>30</v>
      </c>
      <c r="H14" s="34">
        <v>7322000</v>
      </c>
      <c r="I14" s="35">
        <f t="shared" si="0"/>
        <v>63642</v>
      </c>
    </row>
    <row r="15" spans="2:9" x14ac:dyDescent="0.25">
      <c r="B15" s="30"/>
      <c r="C15" s="31"/>
      <c r="D15" s="250" t="s">
        <v>18</v>
      </c>
      <c r="E15" s="251"/>
      <c r="F15" s="32">
        <v>810103</v>
      </c>
      <c r="G15" s="33" t="str">
        <f>IF(I15=0,"-",MAX(G$12:G14)+10)</f>
        <v>-</v>
      </c>
      <c r="H15" s="34">
        <v>7323080</v>
      </c>
      <c r="I15" s="35">
        <f t="shared" si="0"/>
        <v>0</v>
      </c>
    </row>
    <row r="16" spans="2:9" x14ac:dyDescent="0.25">
      <c r="B16" s="30"/>
      <c r="C16" s="31"/>
      <c r="D16" s="250" t="s">
        <v>19</v>
      </c>
      <c r="E16" s="251"/>
      <c r="F16" s="32">
        <v>810104</v>
      </c>
      <c r="G16" s="33">
        <f>IF(I16=0,"-",MAX(G$12:G15)+10)</f>
        <v>40</v>
      </c>
      <c r="H16" s="34">
        <v>7327031</v>
      </c>
      <c r="I16" s="35">
        <f t="shared" si="0"/>
        <v>30613</v>
      </c>
    </row>
    <row r="17" spans="2:12" x14ac:dyDescent="0.25">
      <c r="B17" s="30"/>
      <c r="C17" s="31"/>
      <c r="D17" s="250" t="s">
        <v>20</v>
      </c>
      <c r="E17" s="251"/>
      <c r="F17" s="32">
        <v>810105</v>
      </c>
      <c r="G17" s="33" t="str">
        <f>IF(I17=0,"-",MAX(G$12:G16)+10)</f>
        <v>-</v>
      </c>
      <c r="H17" s="34">
        <v>7323010</v>
      </c>
      <c r="I17" s="35">
        <f t="shared" si="0"/>
        <v>0</v>
      </c>
    </row>
    <row r="18" spans="2:12" x14ac:dyDescent="0.25">
      <c r="B18" s="30"/>
      <c r="C18" s="31"/>
      <c r="D18" s="250" t="s">
        <v>21</v>
      </c>
      <c r="E18" s="251"/>
      <c r="F18" s="32">
        <v>810144</v>
      </c>
      <c r="G18" s="33">
        <f>IF(I18=0,"-",MAX(G$12:G17)+10)</f>
        <v>50</v>
      </c>
      <c r="H18" s="34">
        <v>7327020</v>
      </c>
      <c r="I18" s="35">
        <f t="shared" si="0"/>
        <v>574604.5</v>
      </c>
    </row>
    <row r="19" spans="2:12" x14ac:dyDescent="0.25">
      <c r="B19" s="30"/>
      <c r="C19" s="31"/>
      <c r="D19" s="250" t="s">
        <v>22</v>
      </c>
      <c r="E19" s="251"/>
      <c r="F19" s="32">
        <v>810310</v>
      </c>
      <c r="G19" s="33">
        <f>IF(I19=0,"-",MAX(G$12:G18)+10)</f>
        <v>60</v>
      </c>
      <c r="H19" s="34">
        <v>7321010</v>
      </c>
      <c r="I19" s="35">
        <f t="shared" si="0"/>
        <v>8600</v>
      </c>
    </row>
    <row r="20" spans="2:12" x14ac:dyDescent="0.25">
      <c r="B20" s="30"/>
      <c r="C20" s="31"/>
      <c r="D20" s="250" t="s">
        <v>23</v>
      </c>
      <c r="E20" s="251"/>
      <c r="F20" s="32">
        <v>810312</v>
      </c>
      <c r="G20" s="33" t="str">
        <f>IF(I20=0,"-",MAX(G$12:G19)+10)</f>
        <v>-</v>
      </c>
      <c r="H20" s="34">
        <v>7321012</v>
      </c>
      <c r="I20" s="35">
        <f t="shared" si="0"/>
        <v>0</v>
      </c>
    </row>
    <row r="21" spans="2:12" x14ac:dyDescent="0.25">
      <c r="B21" s="30"/>
      <c r="C21" s="31"/>
      <c r="D21" s="252" t="s">
        <v>24</v>
      </c>
      <c r="E21" s="253"/>
      <c r="F21" s="253"/>
      <c r="G21" s="253"/>
      <c r="H21" s="254"/>
      <c r="I21" s="36">
        <f>SUM(I12:I20)</f>
        <v>1400000</v>
      </c>
    </row>
    <row r="22" spans="2:12" x14ac:dyDescent="0.25">
      <c r="B22" s="30"/>
      <c r="C22" s="31"/>
      <c r="D22" s="37"/>
      <c r="E22" s="38"/>
      <c r="F22" s="15"/>
      <c r="G22" s="38"/>
      <c r="H22" s="39"/>
      <c r="I22" s="40"/>
    </row>
    <row r="23" spans="2:12" x14ac:dyDescent="0.25">
      <c r="B23" s="255" t="s">
        <v>25</v>
      </c>
      <c r="C23" s="42"/>
      <c r="D23" s="43"/>
      <c r="E23" s="42"/>
      <c r="F23" s="42"/>
      <c r="G23" s="256" t="s">
        <v>26</v>
      </c>
      <c r="H23" s="256"/>
      <c r="I23" s="44"/>
    </row>
    <row r="24" spans="2:12" x14ac:dyDescent="0.25">
      <c r="B24" s="255"/>
      <c r="C24" s="42" t="s">
        <v>12</v>
      </c>
      <c r="D24" s="43" t="s">
        <v>10</v>
      </c>
      <c r="E24" s="257" t="s">
        <v>27</v>
      </c>
      <c r="F24" s="260" t="s">
        <v>28</v>
      </c>
      <c r="G24" s="261" t="s">
        <v>29</v>
      </c>
      <c r="H24" s="261" t="s">
        <v>30</v>
      </c>
      <c r="I24" s="45" t="s">
        <v>24</v>
      </c>
    </row>
    <row r="25" spans="2:12" x14ac:dyDescent="0.25">
      <c r="B25" s="255"/>
      <c r="C25" s="46" t="s">
        <v>31</v>
      </c>
      <c r="D25" s="47" t="s">
        <v>32</v>
      </c>
      <c r="E25" s="257"/>
      <c r="F25" s="260"/>
      <c r="G25" s="261"/>
      <c r="H25" s="261"/>
      <c r="I25" s="48">
        <f>I26+I99+I127+I158</f>
        <v>407064</v>
      </c>
    </row>
    <row r="26" spans="2:12" x14ac:dyDescent="0.25">
      <c r="B26" s="41">
        <v>810100</v>
      </c>
      <c r="C26" s="42" t="s">
        <v>33</v>
      </c>
      <c r="D26" s="49" t="s">
        <v>34</v>
      </c>
      <c r="E26" s="42"/>
      <c r="F26" s="42"/>
      <c r="G26" s="50"/>
      <c r="H26" s="50"/>
      <c r="I26" s="48">
        <f>SUM(I27:I98)</f>
        <v>258701.5</v>
      </c>
      <c r="L26" s="227"/>
    </row>
    <row r="27" spans="2:12" x14ac:dyDescent="0.25">
      <c r="B27" s="51"/>
      <c r="C27" s="52" t="s">
        <v>35</v>
      </c>
      <c r="D27" s="53" t="s">
        <v>36</v>
      </c>
      <c r="E27" s="52" t="s">
        <v>37</v>
      </c>
      <c r="F27" s="54"/>
      <c r="G27" s="55"/>
      <c r="H27" s="56"/>
      <c r="I27" s="57">
        <f t="shared" ref="I27:I90" si="1">F27*G27+F27*H27</f>
        <v>0</v>
      </c>
      <c r="L27" s="228"/>
    </row>
    <row r="28" spans="2:12" x14ac:dyDescent="0.25">
      <c r="B28" s="51"/>
      <c r="C28" s="52" t="s">
        <v>38</v>
      </c>
      <c r="D28" s="53" t="s">
        <v>39</v>
      </c>
      <c r="E28" s="52" t="s">
        <v>37</v>
      </c>
      <c r="F28" s="54"/>
      <c r="G28" s="55"/>
      <c r="H28" s="56"/>
      <c r="I28" s="57">
        <f t="shared" si="1"/>
        <v>0</v>
      </c>
    </row>
    <row r="29" spans="2:12" ht="25.5" x14ac:dyDescent="0.25">
      <c r="B29" s="51"/>
      <c r="C29" s="52" t="s">
        <v>40</v>
      </c>
      <c r="D29" s="53" t="s">
        <v>41</v>
      </c>
      <c r="E29" s="52" t="s">
        <v>37</v>
      </c>
      <c r="F29" s="88"/>
      <c r="G29" s="63"/>
      <c r="H29" s="64"/>
      <c r="I29" s="57">
        <f t="shared" si="1"/>
        <v>0</v>
      </c>
    </row>
    <row r="30" spans="2:12" ht="25.5" x14ac:dyDescent="0.25">
      <c r="B30" s="51"/>
      <c r="C30" s="52" t="s">
        <v>42</v>
      </c>
      <c r="D30" s="53" t="s">
        <v>43</v>
      </c>
      <c r="E30" s="52" t="s">
        <v>37</v>
      </c>
      <c r="F30" s="88"/>
      <c r="G30" s="222"/>
      <c r="H30" s="223"/>
      <c r="I30" s="57">
        <f t="shared" si="1"/>
        <v>0</v>
      </c>
    </row>
    <row r="31" spans="2:12" x14ac:dyDescent="0.25">
      <c r="B31" s="51"/>
      <c r="C31" s="52" t="s">
        <v>44</v>
      </c>
      <c r="D31" s="53" t="s">
        <v>45</v>
      </c>
      <c r="E31" s="52" t="s">
        <v>37</v>
      </c>
      <c r="F31" s="88"/>
      <c r="G31" s="63"/>
      <c r="H31" s="64"/>
      <c r="I31" s="57">
        <f t="shared" si="1"/>
        <v>0</v>
      </c>
    </row>
    <row r="32" spans="2:12" x14ac:dyDescent="0.25">
      <c r="B32" s="51"/>
      <c r="C32" s="52" t="s">
        <v>46</v>
      </c>
      <c r="D32" s="53" t="s">
        <v>47</v>
      </c>
      <c r="E32" s="52" t="s">
        <v>37</v>
      </c>
      <c r="F32" s="265">
        <v>420</v>
      </c>
      <c r="G32" s="63">
        <v>30</v>
      </c>
      <c r="H32" s="64">
        <v>28</v>
      </c>
      <c r="I32" s="57">
        <f t="shared" si="1"/>
        <v>24360</v>
      </c>
    </row>
    <row r="33" spans="2:9" ht="51" x14ac:dyDescent="0.25">
      <c r="B33" s="51"/>
      <c r="C33" s="52" t="s">
        <v>48</v>
      </c>
      <c r="D33" s="53" t="s">
        <v>49</v>
      </c>
      <c r="E33" s="52" t="s">
        <v>50</v>
      </c>
      <c r="F33" s="266">
        <v>1</v>
      </c>
      <c r="G33" s="63">
        <v>5300</v>
      </c>
      <c r="H33" s="64">
        <v>4200</v>
      </c>
      <c r="I33" s="57">
        <f t="shared" si="1"/>
        <v>9500</v>
      </c>
    </row>
    <row r="34" spans="2:9" x14ac:dyDescent="0.25">
      <c r="B34" s="51"/>
      <c r="C34" s="52" t="s">
        <v>51</v>
      </c>
      <c r="D34" s="53" t="s">
        <v>52</v>
      </c>
      <c r="E34" s="52" t="s">
        <v>37</v>
      </c>
      <c r="F34" s="219">
        <v>400</v>
      </c>
      <c r="G34" s="267">
        <v>23</v>
      </c>
      <c r="H34" s="268">
        <v>29</v>
      </c>
      <c r="I34" s="57">
        <f t="shared" si="1"/>
        <v>20800</v>
      </c>
    </row>
    <row r="35" spans="2:9" ht="38.25" x14ac:dyDescent="0.25">
      <c r="B35" s="51"/>
      <c r="C35" s="52" t="s">
        <v>53</v>
      </c>
      <c r="D35" s="53" t="s">
        <v>54</v>
      </c>
      <c r="E35" s="52" t="s">
        <v>50</v>
      </c>
      <c r="F35" s="219">
        <v>200</v>
      </c>
      <c r="G35" s="222">
        <v>15</v>
      </c>
      <c r="H35" s="223">
        <v>11.5</v>
      </c>
      <c r="I35" s="57">
        <f t="shared" si="1"/>
        <v>5300</v>
      </c>
    </row>
    <row r="36" spans="2:9" x14ac:dyDescent="0.25">
      <c r="B36" s="51"/>
      <c r="C36" s="52" t="s">
        <v>55</v>
      </c>
      <c r="D36" s="53" t="s">
        <v>56</v>
      </c>
      <c r="E36" s="52" t="s">
        <v>37</v>
      </c>
      <c r="F36" s="219">
        <v>112</v>
      </c>
      <c r="G36" s="63">
        <v>22</v>
      </c>
      <c r="H36" s="218">
        <v>29</v>
      </c>
      <c r="I36" s="57">
        <f t="shared" si="1"/>
        <v>5712</v>
      </c>
    </row>
    <row r="37" spans="2:9" x14ac:dyDescent="0.25">
      <c r="B37" s="51"/>
      <c r="C37" s="52" t="s">
        <v>57</v>
      </c>
      <c r="D37" s="53" t="s">
        <v>58</v>
      </c>
      <c r="E37" s="52" t="s">
        <v>37</v>
      </c>
      <c r="F37" s="219"/>
      <c r="G37" s="63"/>
      <c r="H37" s="64"/>
      <c r="I37" s="57">
        <f t="shared" si="1"/>
        <v>0</v>
      </c>
    </row>
    <row r="38" spans="2:9" x14ac:dyDescent="0.25">
      <c r="B38" s="51"/>
      <c r="C38" s="52" t="s">
        <v>59</v>
      </c>
      <c r="D38" s="53" t="s">
        <v>60</v>
      </c>
      <c r="E38" s="52" t="s">
        <v>37</v>
      </c>
      <c r="F38" s="219"/>
      <c r="G38" s="63"/>
      <c r="H38" s="64"/>
      <c r="I38" s="57">
        <f t="shared" si="1"/>
        <v>0</v>
      </c>
    </row>
    <row r="39" spans="2:9" x14ac:dyDescent="0.25">
      <c r="B39" s="51"/>
      <c r="C39" s="52" t="s">
        <v>61</v>
      </c>
      <c r="D39" s="53" t="s">
        <v>62</v>
      </c>
      <c r="E39" s="52" t="s">
        <v>37</v>
      </c>
      <c r="F39" s="219"/>
      <c r="G39" s="63"/>
      <c r="H39" s="64"/>
      <c r="I39" s="57">
        <f t="shared" si="1"/>
        <v>0</v>
      </c>
    </row>
    <row r="40" spans="2:9" x14ac:dyDescent="0.25">
      <c r="B40" s="51"/>
      <c r="C40" s="52" t="s">
        <v>63</v>
      </c>
      <c r="D40" s="53" t="s">
        <v>64</v>
      </c>
      <c r="E40" s="52" t="s">
        <v>37</v>
      </c>
      <c r="F40" s="219"/>
      <c r="G40" s="63"/>
      <c r="H40" s="64"/>
      <c r="I40" s="57">
        <f t="shared" si="1"/>
        <v>0</v>
      </c>
    </row>
    <row r="41" spans="2:9" x14ac:dyDescent="0.25">
      <c r="B41" s="51"/>
      <c r="C41" s="52" t="s">
        <v>65</v>
      </c>
      <c r="D41" s="53" t="s">
        <v>66</v>
      </c>
      <c r="E41" s="52" t="s">
        <v>37</v>
      </c>
      <c r="F41" s="219"/>
      <c r="G41" s="63"/>
      <c r="H41" s="64"/>
      <c r="I41" s="57">
        <f t="shared" si="1"/>
        <v>0</v>
      </c>
    </row>
    <row r="42" spans="2:9" x14ac:dyDescent="0.25">
      <c r="B42" s="51"/>
      <c r="C42" s="52" t="s">
        <v>67</v>
      </c>
      <c r="D42" s="53" t="s">
        <v>68</v>
      </c>
      <c r="E42" s="52" t="s">
        <v>37</v>
      </c>
      <c r="F42" s="219"/>
      <c r="G42" s="63"/>
      <c r="H42" s="64"/>
      <c r="I42" s="57">
        <f t="shared" si="1"/>
        <v>0</v>
      </c>
    </row>
    <row r="43" spans="2:9" x14ac:dyDescent="0.25">
      <c r="B43" s="51"/>
      <c r="C43" s="52" t="s">
        <v>69</v>
      </c>
      <c r="D43" s="53" t="s">
        <v>70</v>
      </c>
      <c r="E43" s="52" t="s">
        <v>37</v>
      </c>
      <c r="F43" s="219"/>
      <c r="G43" s="63"/>
      <c r="H43" s="218"/>
      <c r="I43" s="57">
        <f t="shared" si="1"/>
        <v>0</v>
      </c>
    </row>
    <row r="44" spans="2:9" x14ac:dyDescent="0.25">
      <c r="B44" s="51"/>
      <c r="C44" s="52" t="s">
        <v>71</v>
      </c>
      <c r="D44" s="53" t="s">
        <v>72</v>
      </c>
      <c r="E44" s="52" t="s">
        <v>37</v>
      </c>
      <c r="F44" s="219"/>
      <c r="G44" s="63"/>
      <c r="H44" s="64"/>
      <c r="I44" s="57">
        <f t="shared" si="1"/>
        <v>0</v>
      </c>
    </row>
    <row r="45" spans="2:9" ht="25.5" x14ac:dyDescent="0.25">
      <c r="B45" s="51"/>
      <c r="C45" s="52" t="s">
        <v>73</v>
      </c>
      <c r="D45" s="53" t="s">
        <v>74</v>
      </c>
      <c r="E45" s="52" t="s">
        <v>50</v>
      </c>
      <c r="F45" s="219">
        <v>56</v>
      </c>
      <c r="G45" s="63">
        <v>15</v>
      </c>
      <c r="H45" s="64">
        <v>11.5</v>
      </c>
      <c r="I45" s="57">
        <f t="shared" si="1"/>
        <v>1484</v>
      </c>
    </row>
    <row r="46" spans="2:9" ht="25.5" x14ac:dyDescent="0.25">
      <c r="B46" s="51"/>
      <c r="C46" s="52" t="s">
        <v>75</v>
      </c>
      <c r="D46" s="62" t="s">
        <v>76</v>
      </c>
      <c r="E46" s="52" t="s">
        <v>50</v>
      </c>
      <c r="F46" s="219">
        <v>250</v>
      </c>
      <c r="G46" s="63">
        <v>14</v>
      </c>
      <c r="H46" s="64">
        <v>11.5</v>
      </c>
      <c r="I46" s="57">
        <f t="shared" si="1"/>
        <v>6375</v>
      </c>
    </row>
    <row r="47" spans="2:9" x14ac:dyDescent="0.25">
      <c r="B47" s="51"/>
      <c r="C47" s="52" t="s">
        <v>77</v>
      </c>
      <c r="D47" s="53" t="s">
        <v>78</v>
      </c>
      <c r="E47" s="52" t="s">
        <v>79</v>
      </c>
      <c r="F47" s="219">
        <v>101</v>
      </c>
      <c r="G47" s="63">
        <v>16</v>
      </c>
      <c r="H47" s="218">
        <v>25</v>
      </c>
      <c r="I47" s="57">
        <f t="shared" si="1"/>
        <v>4141</v>
      </c>
    </row>
    <row r="48" spans="2:9" x14ac:dyDescent="0.25">
      <c r="B48" s="51"/>
      <c r="C48" s="52" t="s">
        <v>80</v>
      </c>
      <c r="D48" s="53" t="s">
        <v>81</v>
      </c>
      <c r="E48" s="52" t="s">
        <v>79</v>
      </c>
      <c r="F48" s="219"/>
      <c r="G48" s="63"/>
      <c r="H48" s="64"/>
      <c r="I48" s="57">
        <f t="shared" si="1"/>
        <v>0</v>
      </c>
    </row>
    <row r="49" spans="2:9" x14ac:dyDescent="0.25">
      <c r="B49" s="51"/>
      <c r="C49" s="52" t="s">
        <v>82</v>
      </c>
      <c r="D49" s="53" t="s">
        <v>83</v>
      </c>
      <c r="E49" s="52" t="s">
        <v>79</v>
      </c>
      <c r="F49" s="219"/>
      <c r="G49" s="63"/>
      <c r="H49" s="64"/>
      <c r="I49" s="57">
        <f t="shared" si="1"/>
        <v>0</v>
      </c>
    </row>
    <row r="50" spans="2:9" x14ac:dyDescent="0.25">
      <c r="B50" s="51"/>
      <c r="C50" s="52" t="s">
        <v>84</v>
      </c>
      <c r="D50" s="53" t="s">
        <v>85</v>
      </c>
      <c r="E50" s="52" t="s">
        <v>79</v>
      </c>
      <c r="F50" s="219"/>
      <c r="G50" s="63"/>
      <c r="H50" s="64"/>
      <c r="I50" s="57">
        <f t="shared" si="1"/>
        <v>0</v>
      </c>
    </row>
    <row r="51" spans="2:9" x14ac:dyDescent="0.25">
      <c r="B51" s="51"/>
      <c r="C51" s="52" t="s">
        <v>86</v>
      </c>
      <c r="D51" s="53" t="s">
        <v>87</v>
      </c>
      <c r="E51" s="52" t="s">
        <v>79</v>
      </c>
      <c r="F51" s="219"/>
      <c r="G51" s="63"/>
      <c r="H51" s="64"/>
      <c r="I51" s="57">
        <f t="shared" si="1"/>
        <v>0</v>
      </c>
    </row>
    <row r="52" spans="2:9" x14ac:dyDescent="0.25">
      <c r="B52" s="51"/>
      <c r="C52" s="52" t="s">
        <v>88</v>
      </c>
      <c r="D52" s="53" t="s">
        <v>89</v>
      </c>
      <c r="E52" s="52" t="s">
        <v>79</v>
      </c>
      <c r="F52" s="219"/>
      <c r="G52" s="63"/>
      <c r="H52" s="64"/>
      <c r="I52" s="57">
        <f t="shared" si="1"/>
        <v>0</v>
      </c>
    </row>
    <row r="53" spans="2:9" x14ac:dyDescent="0.25">
      <c r="B53" s="51"/>
      <c r="C53" s="52" t="s">
        <v>90</v>
      </c>
      <c r="D53" s="53" t="s">
        <v>91</v>
      </c>
      <c r="E53" s="52" t="s">
        <v>79</v>
      </c>
      <c r="F53" s="219"/>
      <c r="G53" s="63"/>
      <c r="H53" s="64"/>
      <c r="I53" s="57">
        <f t="shared" si="1"/>
        <v>0</v>
      </c>
    </row>
    <row r="54" spans="2:9" ht="25.5" x14ac:dyDescent="0.25">
      <c r="B54" s="51"/>
      <c r="C54" s="52" t="s">
        <v>92</v>
      </c>
      <c r="D54" s="62" t="s">
        <v>93</v>
      </c>
      <c r="E54" s="52" t="s">
        <v>50</v>
      </c>
      <c r="F54" s="88">
        <v>101</v>
      </c>
      <c r="G54" s="63">
        <v>15</v>
      </c>
      <c r="H54" s="64">
        <v>11.5</v>
      </c>
      <c r="I54" s="57">
        <f t="shared" si="1"/>
        <v>2676.5</v>
      </c>
    </row>
    <row r="55" spans="2:9" ht="25.5" x14ac:dyDescent="0.25">
      <c r="B55" s="51"/>
      <c r="C55" s="52" t="s">
        <v>94</v>
      </c>
      <c r="D55" s="62" t="s">
        <v>95</v>
      </c>
      <c r="E55" s="52" t="s">
        <v>50</v>
      </c>
      <c r="F55" s="88"/>
      <c r="G55" s="222"/>
      <c r="H55" s="224"/>
      <c r="I55" s="57">
        <f t="shared" si="1"/>
        <v>0</v>
      </c>
    </row>
    <row r="56" spans="2:9" x14ac:dyDescent="0.25">
      <c r="B56" s="51"/>
      <c r="C56" s="52" t="s">
        <v>96</v>
      </c>
      <c r="D56" s="53" t="s">
        <v>97</v>
      </c>
      <c r="E56" s="52" t="s">
        <v>37</v>
      </c>
      <c r="F56" s="219">
        <v>2100</v>
      </c>
      <c r="G56" s="63">
        <v>3.28</v>
      </c>
      <c r="H56" s="218">
        <v>4.75</v>
      </c>
      <c r="I56" s="57">
        <f t="shared" si="1"/>
        <v>16863</v>
      </c>
    </row>
    <row r="57" spans="2:9" x14ac:dyDescent="0.25">
      <c r="B57" s="51"/>
      <c r="C57" s="52" t="s">
        <v>98</v>
      </c>
      <c r="D57" s="87" t="s">
        <v>99</v>
      </c>
      <c r="E57" s="52" t="s">
        <v>37</v>
      </c>
      <c r="F57" s="219">
        <v>6900</v>
      </c>
      <c r="G57" s="63">
        <v>4.96</v>
      </c>
      <c r="H57" s="218">
        <v>4.75</v>
      </c>
      <c r="I57" s="57">
        <f t="shared" si="1"/>
        <v>66999</v>
      </c>
    </row>
    <row r="58" spans="2:9" x14ac:dyDescent="0.25">
      <c r="B58" s="51"/>
      <c r="C58" s="52" t="s">
        <v>100</v>
      </c>
      <c r="D58" s="53" t="s">
        <v>101</v>
      </c>
      <c r="E58" s="52" t="s">
        <v>37</v>
      </c>
      <c r="F58" s="219"/>
      <c r="G58" s="63"/>
      <c r="H58" s="218"/>
      <c r="I58" s="57">
        <f t="shared" si="1"/>
        <v>0</v>
      </c>
    </row>
    <row r="59" spans="2:9" x14ac:dyDescent="0.25">
      <c r="B59" s="51"/>
      <c r="C59" s="52" t="s">
        <v>102</v>
      </c>
      <c r="D59" s="53" t="s">
        <v>103</v>
      </c>
      <c r="E59" s="52" t="s">
        <v>37</v>
      </c>
      <c r="F59" s="88"/>
      <c r="G59" s="63"/>
      <c r="H59" s="218"/>
      <c r="I59" s="57">
        <f t="shared" si="1"/>
        <v>0</v>
      </c>
    </row>
    <row r="60" spans="2:9" x14ac:dyDescent="0.25">
      <c r="B60" s="51"/>
      <c r="C60" s="52" t="s">
        <v>104</v>
      </c>
      <c r="D60" s="53" t="s">
        <v>105</v>
      </c>
      <c r="E60" s="52" t="s">
        <v>37</v>
      </c>
      <c r="F60" s="219">
        <v>400</v>
      </c>
      <c r="G60" s="63">
        <v>8.82</v>
      </c>
      <c r="H60" s="218">
        <v>4.8</v>
      </c>
      <c r="I60" s="57">
        <f t="shared" si="1"/>
        <v>5448</v>
      </c>
    </row>
    <row r="61" spans="2:9" ht="25.5" x14ac:dyDescent="0.25">
      <c r="B61" s="51"/>
      <c r="C61" s="52" t="s">
        <v>106</v>
      </c>
      <c r="D61" s="53" t="s">
        <v>107</v>
      </c>
      <c r="E61" s="52" t="s">
        <v>50</v>
      </c>
      <c r="F61" s="219">
        <v>92</v>
      </c>
      <c r="G61" s="222">
        <v>11</v>
      </c>
      <c r="H61" s="218">
        <v>7.5</v>
      </c>
      <c r="I61" s="57">
        <f t="shared" si="1"/>
        <v>1702</v>
      </c>
    </row>
    <row r="62" spans="2:9" x14ac:dyDescent="0.25">
      <c r="B62" s="51"/>
      <c r="C62" s="52" t="s">
        <v>108</v>
      </c>
      <c r="D62" s="53" t="s">
        <v>109</v>
      </c>
      <c r="E62" s="52" t="s">
        <v>79</v>
      </c>
      <c r="F62" s="219">
        <v>150</v>
      </c>
      <c r="G62" s="63">
        <v>13</v>
      </c>
      <c r="H62" s="218">
        <v>12</v>
      </c>
      <c r="I62" s="57">
        <f t="shared" si="1"/>
        <v>3750</v>
      </c>
    </row>
    <row r="63" spans="2:9" x14ac:dyDescent="0.25">
      <c r="B63" s="51"/>
      <c r="C63" s="52" t="s">
        <v>110</v>
      </c>
      <c r="D63" s="62" t="s">
        <v>111</v>
      </c>
      <c r="E63" s="52" t="s">
        <v>79</v>
      </c>
      <c r="F63" s="88">
        <v>1005</v>
      </c>
      <c r="G63" s="222">
        <v>13</v>
      </c>
      <c r="H63" s="218">
        <v>12</v>
      </c>
      <c r="I63" s="57">
        <f t="shared" si="1"/>
        <v>25125</v>
      </c>
    </row>
    <row r="64" spans="2:9" x14ac:dyDescent="0.25">
      <c r="B64" s="51"/>
      <c r="C64" s="52" t="s">
        <v>112</v>
      </c>
      <c r="D64" s="53" t="s">
        <v>113</v>
      </c>
      <c r="E64" s="52" t="s">
        <v>79</v>
      </c>
      <c r="F64" s="219"/>
      <c r="G64" s="63"/>
      <c r="H64" s="218"/>
      <c r="I64" s="57">
        <f t="shared" si="1"/>
        <v>0</v>
      </c>
    </row>
    <row r="65" spans="2:9" x14ac:dyDescent="0.25">
      <c r="B65" s="51"/>
      <c r="C65" s="52" t="s">
        <v>114</v>
      </c>
      <c r="D65" s="53" t="s">
        <v>115</v>
      </c>
      <c r="E65" s="52" t="s">
        <v>79</v>
      </c>
      <c r="F65" s="219"/>
      <c r="G65" s="63"/>
      <c r="H65" s="64"/>
      <c r="I65" s="57">
        <f t="shared" si="1"/>
        <v>0</v>
      </c>
    </row>
    <row r="66" spans="2:9" x14ac:dyDescent="0.25">
      <c r="B66" s="51"/>
      <c r="C66" s="52" t="s">
        <v>116</v>
      </c>
      <c r="D66" s="53" t="s">
        <v>117</v>
      </c>
      <c r="E66" s="52" t="s">
        <v>79</v>
      </c>
      <c r="F66" s="219"/>
      <c r="G66" s="63"/>
      <c r="H66" s="218"/>
      <c r="I66" s="57">
        <f t="shared" si="1"/>
        <v>0</v>
      </c>
    </row>
    <row r="67" spans="2:9" x14ac:dyDescent="0.25">
      <c r="B67" s="51"/>
      <c r="C67" s="52" t="s">
        <v>118</v>
      </c>
      <c r="D67" s="53" t="s">
        <v>119</v>
      </c>
      <c r="E67" s="52" t="s">
        <v>79</v>
      </c>
      <c r="F67" s="219">
        <v>23</v>
      </c>
      <c r="G67" s="63">
        <v>220</v>
      </c>
      <c r="H67" s="218">
        <v>45</v>
      </c>
      <c r="I67" s="65">
        <f t="shared" si="1"/>
        <v>6095</v>
      </c>
    </row>
    <row r="68" spans="2:9" x14ac:dyDescent="0.25">
      <c r="B68" s="51"/>
      <c r="C68" s="52" t="s">
        <v>120</v>
      </c>
      <c r="D68" s="53" t="s">
        <v>121</v>
      </c>
      <c r="E68" s="52" t="s">
        <v>79</v>
      </c>
      <c r="F68" s="219"/>
      <c r="G68" s="63"/>
      <c r="H68" s="64"/>
      <c r="I68" s="57">
        <f t="shared" si="1"/>
        <v>0</v>
      </c>
    </row>
    <row r="69" spans="2:9" x14ac:dyDescent="0.25">
      <c r="B69" s="51"/>
      <c r="C69" s="52" t="s">
        <v>122</v>
      </c>
      <c r="D69" s="53" t="s">
        <v>123</v>
      </c>
      <c r="E69" s="52" t="s">
        <v>79</v>
      </c>
      <c r="F69" s="219"/>
      <c r="G69" s="63"/>
      <c r="H69" s="64"/>
      <c r="I69" s="57">
        <f t="shared" si="1"/>
        <v>0</v>
      </c>
    </row>
    <row r="70" spans="2:9" x14ac:dyDescent="0.25">
      <c r="B70" s="51"/>
      <c r="C70" s="52" t="s">
        <v>124</v>
      </c>
      <c r="D70" s="53" t="s">
        <v>125</v>
      </c>
      <c r="E70" s="52" t="s">
        <v>79</v>
      </c>
      <c r="F70" s="219">
        <v>58</v>
      </c>
      <c r="G70" s="63">
        <v>25</v>
      </c>
      <c r="H70" s="64">
        <v>29</v>
      </c>
      <c r="I70" s="57">
        <f t="shared" si="1"/>
        <v>3132</v>
      </c>
    </row>
    <row r="71" spans="2:9" x14ac:dyDescent="0.25">
      <c r="B71" s="51"/>
      <c r="C71" s="52" t="s">
        <v>126</v>
      </c>
      <c r="D71" s="53" t="s">
        <v>127</v>
      </c>
      <c r="E71" s="52" t="s">
        <v>79</v>
      </c>
      <c r="F71" s="219"/>
      <c r="G71" s="63"/>
      <c r="H71" s="64"/>
      <c r="I71" s="57">
        <f t="shared" si="1"/>
        <v>0</v>
      </c>
    </row>
    <row r="72" spans="2:9" x14ac:dyDescent="0.25">
      <c r="B72" s="51"/>
      <c r="C72" s="52" t="s">
        <v>128</v>
      </c>
      <c r="D72" s="53" t="s">
        <v>129</v>
      </c>
      <c r="E72" s="52" t="s">
        <v>79</v>
      </c>
      <c r="F72" s="219"/>
      <c r="G72" s="63"/>
      <c r="H72" s="64"/>
      <c r="I72" s="57">
        <f t="shared" si="1"/>
        <v>0</v>
      </c>
    </row>
    <row r="73" spans="2:9" x14ac:dyDescent="0.25">
      <c r="B73" s="51"/>
      <c r="C73" s="52" t="s">
        <v>130</v>
      </c>
      <c r="D73" s="53" t="s">
        <v>131</v>
      </c>
      <c r="E73" s="52" t="s">
        <v>79</v>
      </c>
      <c r="F73" s="219"/>
      <c r="G73" s="63"/>
      <c r="H73" s="64"/>
      <c r="I73" s="57">
        <f t="shared" si="1"/>
        <v>0</v>
      </c>
    </row>
    <row r="74" spans="2:9" x14ac:dyDescent="0.25">
      <c r="B74" s="51"/>
      <c r="C74" s="52" t="s">
        <v>132</v>
      </c>
      <c r="D74" s="53" t="s">
        <v>133</v>
      </c>
      <c r="E74" s="52" t="s">
        <v>79</v>
      </c>
      <c r="F74" s="219"/>
      <c r="G74" s="63"/>
      <c r="H74" s="64"/>
      <c r="I74" s="57">
        <f t="shared" si="1"/>
        <v>0</v>
      </c>
    </row>
    <row r="75" spans="2:9" x14ac:dyDescent="0.25">
      <c r="B75" s="51"/>
      <c r="C75" s="52" t="s">
        <v>134</v>
      </c>
      <c r="D75" s="53" t="s">
        <v>135</v>
      </c>
      <c r="E75" s="52" t="s">
        <v>79</v>
      </c>
      <c r="F75" s="219"/>
      <c r="G75" s="63"/>
      <c r="H75" s="64"/>
      <c r="I75" s="57">
        <f t="shared" si="1"/>
        <v>0</v>
      </c>
    </row>
    <row r="76" spans="2:9" x14ac:dyDescent="0.25">
      <c r="B76" s="51"/>
      <c r="C76" s="52" t="s">
        <v>136</v>
      </c>
      <c r="D76" s="53" t="s">
        <v>137</v>
      </c>
      <c r="E76" s="52" t="s">
        <v>79</v>
      </c>
      <c r="F76" s="219"/>
      <c r="G76" s="63"/>
      <c r="H76" s="218"/>
      <c r="I76" s="57">
        <f t="shared" si="1"/>
        <v>0</v>
      </c>
    </row>
    <row r="77" spans="2:9" x14ac:dyDescent="0.25">
      <c r="B77" s="51"/>
      <c r="C77" s="52" t="s">
        <v>138</v>
      </c>
      <c r="D77" s="53" t="s">
        <v>139</v>
      </c>
      <c r="E77" s="52" t="s">
        <v>79</v>
      </c>
      <c r="F77" s="219">
        <v>90</v>
      </c>
      <c r="G77" s="63">
        <v>28</v>
      </c>
      <c r="H77" s="218">
        <v>29</v>
      </c>
      <c r="I77" s="57">
        <f t="shared" si="1"/>
        <v>5130</v>
      </c>
    </row>
    <row r="78" spans="2:9" x14ac:dyDescent="0.25">
      <c r="B78" s="51"/>
      <c r="C78" s="52" t="s">
        <v>140</v>
      </c>
      <c r="D78" s="53" t="s">
        <v>141</v>
      </c>
      <c r="E78" s="52" t="s">
        <v>79</v>
      </c>
      <c r="F78" s="219"/>
      <c r="G78" s="63"/>
      <c r="H78" s="218"/>
      <c r="I78" s="57">
        <f t="shared" si="1"/>
        <v>0</v>
      </c>
    </row>
    <row r="79" spans="2:9" x14ac:dyDescent="0.25">
      <c r="B79" s="51"/>
      <c r="C79" s="52" t="s">
        <v>142</v>
      </c>
      <c r="D79" s="53" t="s">
        <v>143</v>
      </c>
      <c r="E79" s="52" t="s">
        <v>79</v>
      </c>
      <c r="F79" s="219">
        <v>6</v>
      </c>
      <c r="G79" s="63">
        <v>28</v>
      </c>
      <c r="H79" s="218">
        <v>29</v>
      </c>
      <c r="I79" s="57">
        <f t="shared" si="1"/>
        <v>342</v>
      </c>
    </row>
    <row r="80" spans="2:9" ht="25.5" x14ac:dyDescent="0.25">
      <c r="B80" s="51"/>
      <c r="C80" s="52" t="s">
        <v>144</v>
      </c>
      <c r="D80" s="53" t="s">
        <v>145</v>
      </c>
      <c r="E80" s="52" t="s">
        <v>79</v>
      </c>
      <c r="F80" s="219"/>
      <c r="G80" s="63"/>
      <c r="H80" s="64"/>
      <c r="I80" s="57">
        <f t="shared" si="1"/>
        <v>0</v>
      </c>
    </row>
    <row r="81" spans="2:9" x14ac:dyDescent="0.25">
      <c r="B81" s="51"/>
      <c r="C81" s="52" t="s">
        <v>146</v>
      </c>
      <c r="D81" s="53" t="s">
        <v>147</v>
      </c>
      <c r="E81" s="52" t="s">
        <v>79</v>
      </c>
      <c r="F81" s="219">
        <v>8</v>
      </c>
      <c r="G81" s="63">
        <v>28</v>
      </c>
      <c r="H81" s="64">
        <v>29</v>
      </c>
      <c r="I81" s="57">
        <f t="shared" si="1"/>
        <v>456</v>
      </c>
    </row>
    <row r="82" spans="2:9" x14ac:dyDescent="0.25">
      <c r="B82" s="51"/>
      <c r="C82" s="52" t="s">
        <v>148</v>
      </c>
      <c r="D82" s="53" t="s">
        <v>149</v>
      </c>
      <c r="E82" s="52" t="s">
        <v>79</v>
      </c>
      <c r="F82" s="219"/>
      <c r="G82" s="63"/>
      <c r="H82" s="64"/>
      <c r="I82" s="57">
        <f t="shared" si="1"/>
        <v>0</v>
      </c>
    </row>
    <row r="83" spans="2:9" x14ac:dyDescent="0.25">
      <c r="B83" s="51"/>
      <c r="C83" s="52" t="s">
        <v>150</v>
      </c>
      <c r="D83" s="53" t="s">
        <v>151</v>
      </c>
      <c r="E83" s="52" t="s">
        <v>79</v>
      </c>
      <c r="F83" s="219"/>
      <c r="G83" s="63"/>
      <c r="H83" s="64"/>
      <c r="I83" s="57">
        <f t="shared" si="1"/>
        <v>0</v>
      </c>
    </row>
    <row r="84" spans="2:9" x14ac:dyDescent="0.25">
      <c r="B84" s="51"/>
      <c r="C84" s="52" t="s">
        <v>152</v>
      </c>
      <c r="D84" s="53" t="s">
        <v>153</v>
      </c>
      <c r="E84" s="52" t="s">
        <v>79</v>
      </c>
      <c r="F84" s="219"/>
      <c r="G84" s="63"/>
      <c r="H84" s="64"/>
      <c r="I84" s="57">
        <f t="shared" si="1"/>
        <v>0</v>
      </c>
    </row>
    <row r="85" spans="2:9" ht="25.5" x14ac:dyDescent="0.25">
      <c r="B85" s="51"/>
      <c r="C85" s="52" t="s">
        <v>154</v>
      </c>
      <c r="D85" s="53" t="s">
        <v>155</v>
      </c>
      <c r="E85" s="52" t="s">
        <v>50</v>
      </c>
      <c r="F85" s="219">
        <v>162</v>
      </c>
      <c r="G85" s="63">
        <v>15</v>
      </c>
      <c r="H85" s="64">
        <v>11.5</v>
      </c>
      <c r="I85" s="57">
        <f t="shared" si="1"/>
        <v>4293</v>
      </c>
    </row>
    <row r="86" spans="2:9" x14ac:dyDescent="0.25">
      <c r="B86" s="51"/>
      <c r="C86" s="52" t="s">
        <v>156</v>
      </c>
      <c r="D86" s="53" t="s">
        <v>157</v>
      </c>
      <c r="E86" s="52" t="s">
        <v>79</v>
      </c>
      <c r="F86" s="219"/>
      <c r="G86" s="63"/>
      <c r="H86" s="64"/>
      <c r="I86" s="57">
        <f t="shared" si="1"/>
        <v>0</v>
      </c>
    </row>
    <row r="87" spans="2:9" x14ac:dyDescent="0.25">
      <c r="B87" s="51"/>
      <c r="C87" s="52" t="s">
        <v>158</v>
      </c>
      <c r="D87" s="53" t="s">
        <v>159</v>
      </c>
      <c r="E87" s="52" t="s">
        <v>79</v>
      </c>
      <c r="F87" s="219">
        <v>52</v>
      </c>
      <c r="G87" s="63"/>
      <c r="H87" s="64">
        <v>21</v>
      </c>
      <c r="I87" s="57">
        <f t="shared" si="1"/>
        <v>1092</v>
      </c>
    </row>
    <row r="88" spans="2:9" ht="25.5" x14ac:dyDescent="0.25">
      <c r="B88" s="51"/>
      <c r="C88" s="52" t="s">
        <v>160</v>
      </c>
      <c r="D88" s="53" t="s">
        <v>161</v>
      </c>
      <c r="E88" s="52" t="s">
        <v>79</v>
      </c>
      <c r="F88" s="219">
        <v>1436</v>
      </c>
      <c r="G88" s="63"/>
      <c r="H88" s="64">
        <v>19</v>
      </c>
      <c r="I88" s="57">
        <f t="shared" si="1"/>
        <v>27284</v>
      </c>
    </row>
    <row r="89" spans="2:9" ht="25.5" x14ac:dyDescent="0.25">
      <c r="B89" s="51"/>
      <c r="C89" s="52" t="s">
        <v>162</v>
      </c>
      <c r="D89" s="53" t="s">
        <v>163</v>
      </c>
      <c r="E89" s="52" t="s">
        <v>79</v>
      </c>
      <c r="F89" s="219"/>
      <c r="G89" s="63"/>
      <c r="H89" s="64"/>
      <c r="I89" s="57">
        <f t="shared" si="1"/>
        <v>0</v>
      </c>
    </row>
    <row r="90" spans="2:9" x14ac:dyDescent="0.25">
      <c r="B90" s="51"/>
      <c r="C90" s="52" t="s">
        <v>164</v>
      </c>
      <c r="D90" s="53" t="s">
        <v>165</v>
      </c>
      <c r="E90" s="52" t="s">
        <v>79</v>
      </c>
      <c r="F90" s="219"/>
      <c r="G90" s="63"/>
      <c r="H90" s="64"/>
      <c r="I90" s="57">
        <f t="shared" si="1"/>
        <v>0</v>
      </c>
    </row>
    <row r="91" spans="2:9" x14ac:dyDescent="0.25">
      <c r="B91" s="51"/>
      <c r="C91" s="52" t="s">
        <v>166</v>
      </c>
      <c r="D91" s="53" t="s">
        <v>167</v>
      </c>
      <c r="E91" s="52" t="s">
        <v>79</v>
      </c>
      <c r="F91" s="60"/>
      <c r="G91" s="63"/>
      <c r="H91" s="64"/>
      <c r="I91" s="65">
        <f t="shared" ref="I91:I98" si="2">F91*G91+F91*H91</f>
        <v>0</v>
      </c>
    </row>
    <row r="92" spans="2:9" ht="25.5" x14ac:dyDescent="0.25">
      <c r="B92" s="51"/>
      <c r="C92" s="52" t="s">
        <v>168</v>
      </c>
      <c r="D92" s="53" t="s">
        <v>169</v>
      </c>
      <c r="E92" s="52" t="s">
        <v>79</v>
      </c>
      <c r="F92" s="60"/>
      <c r="G92" s="63"/>
      <c r="H92" s="64"/>
      <c r="I92" s="65">
        <f t="shared" si="2"/>
        <v>0</v>
      </c>
    </row>
    <row r="93" spans="2:9" x14ac:dyDescent="0.25">
      <c r="B93" s="51"/>
      <c r="C93" s="52" t="s">
        <v>170</v>
      </c>
      <c r="D93" s="53" t="s">
        <v>171</v>
      </c>
      <c r="E93" s="52" t="s">
        <v>79</v>
      </c>
      <c r="F93" s="60"/>
      <c r="G93" s="55"/>
      <c r="H93" s="56"/>
      <c r="I93" s="57">
        <f t="shared" si="2"/>
        <v>0</v>
      </c>
    </row>
    <row r="94" spans="2:9" x14ac:dyDescent="0.25">
      <c r="B94" s="51"/>
      <c r="C94" s="52" t="s">
        <v>172</v>
      </c>
      <c r="D94" s="53" t="s">
        <v>173</v>
      </c>
      <c r="E94" s="52" t="s">
        <v>79</v>
      </c>
      <c r="F94" s="219">
        <v>118</v>
      </c>
      <c r="G94" s="63"/>
      <c r="H94" s="63">
        <v>19</v>
      </c>
      <c r="I94" s="65">
        <f t="shared" si="2"/>
        <v>2242</v>
      </c>
    </row>
    <row r="95" spans="2:9" x14ac:dyDescent="0.25">
      <c r="B95" s="51"/>
      <c r="C95" s="52" t="s">
        <v>174</v>
      </c>
      <c r="D95" s="53" t="s">
        <v>175</v>
      </c>
      <c r="E95" s="52" t="s">
        <v>79</v>
      </c>
      <c r="F95" s="60"/>
      <c r="G95" s="63"/>
      <c r="H95" s="64"/>
      <c r="I95" s="57">
        <f t="shared" si="2"/>
        <v>0</v>
      </c>
    </row>
    <row r="96" spans="2:9" ht="38.25" x14ac:dyDescent="0.25">
      <c r="B96" s="51"/>
      <c r="C96" s="52" t="s">
        <v>176</v>
      </c>
      <c r="D96" s="53" t="s">
        <v>177</v>
      </c>
      <c r="E96" s="52" t="s">
        <v>50</v>
      </c>
      <c r="F96" s="60"/>
      <c r="G96" s="58"/>
      <c r="H96" s="61"/>
      <c r="I96" s="57">
        <f t="shared" si="2"/>
        <v>0</v>
      </c>
    </row>
    <row r="97" spans="2:12" ht="25.5" x14ac:dyDescent="0.25">
      <c r="B97" s="51"/>
      <c r="C97" s="52" t="s">
        <v>178</v>
      </c>
      <c r="D97" s="53" t="s">
        <v>179</v>
      </c>
      <c r="E97" s="52" t="s">
        <v>79</v>
      </c>
      <c r="F97" s="60"/>
      <c r="G97" s="55"/>
      <c r="H97" s="61"/>
      <c r="I97" s="57">
        <f t="shared" si="2"/>
        <v>0</v>
      </c>
    </row>
    <row r="98" spans="2:12" x14ac:dyDescent="0.25">
      <c r="B98" s="51"/>
      <c r="C98" s="52" t="s">
        <v>180</v>
      </c>
      <c r="D98" s="53" t="s">
        <v>181</v>
      </c>
      <c r="E98" s="52" t="s">
        <v>50</v>
      </c>
      <c r="F98" s="60">
        <v>1</v>
      </c>
      <c r="G98" s="222">
        <v>4400</v>
      </c>
      <c r="H98" s="218">
        <v>4000</v>
      </c>
      <c r="I98" s="57">
        <f t="shared" si="2"/>
        <v>8400</v>
      </c>
    </row>
    <row r="99" spans="2:12" x14ac:dyDescent="0.25">
      <c r="B99" s="66">
        <v>810100</v>
      </c>
      <c r="C99" s="67" t="s">
        <v>182</v>
      </c>
      <c r="D99" s="68" t="s">
        <v>183</v>
      </c>
      <c r="E99" s="67"/>
      <c r="F99" s="69"/>
      <c r="G99" s="70"/>
      <c r="H99" s="71"/>
      <c r="I99" s="72">
        <f>SUM(I100:I126)</f>
        <v>58514</v>
      </c>
      <c r="L99" s="228"/>
    </row>
    <row r="100" spans="2:12" ht="25.5" x14ac:dyDescent="0.25">
      <c r="B100" s="51"/>
      <c r="C100" s="52" t="s">
        <v>184</v>
      </c>
      <c r="D100" s="53" t="s">
        <v>41</v>
      </c>
      <c r="E100" s="52" t="s">
        <v>37</v>
      </c>
      <c r="F100" s="60"/>
      <c r="G100" s="58"/>
      <c r="H100" s="59"/>
      <c r="I100" s="65">
        <f t="shared" ref="I100:I126" si="3">F100*G100+F100*H100</f>
        <v>0</v>
      </c>
    </row>
    <row r="101" spans="2:12" x14ac:dyDescent="0.25">
      <c r="B101" s="51"/>
      <c r="C101" s="52" t="s">
        <v>185</v>
      </c>
      <c r="D101" s="53" t="s">
        <v>45</v>
      </c>
      <c r="E101" s="52" t="s">
        <v>37</v>
      </c>
      <c r="F101" s="60"/>
      <c r="G101" s="58"/>
      <c r="H101" s="59"/>
      <c r="I101" s="65">
        <f t="shared" si="3"/>
        <v>0</v>
      </c>
    </row>
    <row r="102" spans="2:12" ht="51" x14ac:dyDescent="0.25">
      <c r="B102" s="51"/>
      <c r="C102" s="52" t="s">
        <v>186</v>
      </c>
      <c r="D102" s="53" t="s">
        <v>49</v>
      </c>
      <c r="E102" s="52" t="s">
        <v>50</v>
      </c>
      <c r="F102" s="219"/>
      <c r="G102" s="222"/>
      <c r="H102" s="223"/>
      <c r="I102" s="65">
        <f t="shared" si="3"/>
        <v>0</v>
      </c>
    </row>
    <row r="103" spans="2:12" x14ac:dyDescent="0.25">
      <c r="B103" s="51"/>
      <c r="C103" s="52" t="s">
        <v>187</v>
      </c>
      <c r="D103" s="53" t="s">
        <v>52</v>
      </c>
      <c r="E103" s="52" t="s">
        <v>37</v>
      </c>
      <c r="F103" s="219">
        <v>41</v>
      </c>
      <c r="G103" s="267">
        <v>23</v>
      </c>
      <c r="H103" s="268">
        <v>29</v>
      </c>
      <c r="I103" s="65">
        <f t="shared" si="3"/>
        <v>2132</v>
      </c>
    </row>
    <row r="104" spans="2:12" ht="38.25" x14ac:dyDescent="0.25">
      <c r="B104" s="51"/>
      <c r="C104" s="52" t="s">
        <v>188</v>
      </c>
      <c r="D104" s="53" t="s">
        <v>54</v>
      </c>
      <c r="E104" s="52" t="s">
        <v>50</v>
      </c>
      <c r="F104" s="219">
        <v>21</v>
      </c>
      <c r="G104" s="222">
        <v>15</v>
      </c>
      <c r="H104" s="223">
        <v>12</v>
      </c>
      <c r="I104" s="65">
        <f t="shared" si="3"/>
        <v>567</v>
      </c>
    </row>
    <row r="105" spans="2:12" x14ac:dyDescent="0.25">
      <c r="B105" s="51"/>
      <c r="C105" s="52" t="s">
        <v>189</v>
      </c>
      <c r="D105" s="53" t="s">
        <v>56</v>
      </c>
      <c r="E105" s="52" t="s">
        <v>37</v>
      </c>
      <c r="F105" s="219">
        <v>38</v>
      </c>
      <c r="G105" s="63">
        <v>22</v>
      </c>
      <c r="H105" s="218">
        <v>29</v>
      </c>
      <c r="I105" s="65">
        <f t="shared" si="3"/>
        <v>1938</v>
      </c>
    </row>
    <row r="106" spans="2:12" x14ac:dyDescent="0.25">
      <c r="B106" s="51"/>
      <c r="C106" s="52" t="s">
        <v>190</v>
      </c>
      <c r="D106" s="53" t="s">
        <v>60</v>
      </c>
      <c r="E106" s="52" t="s">
        <v>37</v>
      </c>
      <c r="F106" s="219"/>
      <c r="G106" s="222"/>
      <c r="H106" s="223"/>
      <c r="I106" s="65">
        <f t="shared" si="3"/>
        <v>0</v>
      </c>
    </row>
    <row r="107" spans="2:12" ht="25.5" x14ac:dyDescent="0.25">
      <c r="B107" s="51"/>
      <c r="C107" s="52" t="s">
        <v>191</v>
      </c>
      <c r="D107" s="53" t="s">
        <v>74</v>
      </c>
      <c r="E107" s="52" t="s">
        <v>50</v>
      </c>
      <c r="F107" s="219">
        <v>19</v>
      </c>
      <c r="G107" s="63">
        <v>15</v>
      </c>
      <c r="H107" s="64">
        <v>11.5</v>
      </c>
      <c r="I107" s="65">
        <f t="shared" si="3"/>
        <v>503.5</v>
      </c>
    </row>
    <row r="108" spans="2:12" ht="25.5" x14ac:dyDescent="0.25">
      <c r="B108" s="51"/>
      <c r="C108" s="52" t="s">
        <v>192</v>
      </c>
      <c r="D108" s="73" t="s">
        <v>76</v>
      </c>
      <c r="E108" s="52" t="s">
        <v>50</v>
      </c>
      <c r="F108" s="219">
        <v>40</v>
      </c>
      <c r="G108" s="63">
        <v>14</v>
      </c>
      <c r="H108" s="64">
        <v>11.5</v>
      </c>
      <c r="I108" s="65">
        <f t="shared" si="3"/>
        <v>1020</v>
      </c>
    </row>
    <row r="109" spans="2:12" x14ac:dyDescent="0.25">
      <c r="B109" s="51"/>
      <c r="C109" s="52" t="s">
        <v>193</v>
      </c>
      <c r="D109" s="53" t="s">
        <v>78</v>
      </c>
      <c r="E109" s="52" t="s">
        <v>79</v>
      </c>
      <c r="F109" s="219">
        <v>150</v>
      </c>
      <c r="G109" s="63">
        <v>16</v>
      </c>
      <c r="H109" s="218">
        <v>25</v>
      </c>
      <c r="I109" s="65">
        <f t="shared" si="3"/>
        <v>6150</v>
      </c>
    </row>
    <row r="110" spans="2:12" x14ac:dyDescent="0.25">
      <c r="B110" s="51"/>
      <c r="C110" s="52" t="s">
        <v>194</v>
      </c>
      <c r="D110" s="53" t="s">
        <v>195</v>
      </c>
      <c r="E110" s="52" t="s">
        <v>79</v>
      </c>
      <c r="F110" s="219"/>
      <c r="G110" s="222"/>
      <c r="H110" s="223"/>
      <c r="I110" s="65">
        <f t="shared" si="3"/>
        <v>0</v>
      </c>
    </row>
    <row r="111" spans="2:12" x14ac:dyDescent="0.25">
      <c r="B111" s="51"/>
      <c r="C111" s="52" t="s">
        <v>196</v>
      </c>
      <c r="D111" s="53" t="s">
        <v>91</v>
      </c>
      <c r="E111" s="52" t="s">
        <v>79</v>
      </c>
      <c r="F111" s="219"/>
      <c r="G111" s="63"/>
      <c r="H111" s="64"/>
      <c r="I111" s="65">
        <f t="shared" si="3"/>
        <v>0</v>
      </c>
    </row>
    <row r="112" spans="2:12" ht="25.5" x14ac:dyDescent="0.25">
      <c r="B112" s="51"/>
      <c r="C112" s="52" t="s">
        <v>197</v>
      </c>
      <c r="D112" s="62" t="s">
        <v>93</v>
      </c>
      <c r="E112" s="52" t="s">
        <v>50</v>
      </c>
      <c r="F112" s="219">
        <v>150</v>
      </c>
      <c r="G112" s="63">
        <v>15</v>
      </c>
      <c r="H112" s="64">
        <v>12</v>
      </c>
      <c r="I112" s="65">
        <f t="shared" si="3"/>
        <v>4050</v>
      </c>
    </row>
    <row r="113" spans="2:12" ht="25.5" x14ac:dyDescent="0.25">
      <c r="B113" s="51"/>
      <c r="C113" s="52" t="s">
        <v>198</v>
      </c>
      <c r="D113" s="62" t="s">
        <v>95</v>
      </c>
      <c r="E113" s="52" t="s">
        <v>50</v>
      </c>
      <c r="F113" s="219"/>
      <c r="G113" s="222"/>
      <c r="H113" s="223"/>
      <c r="I113" s="65">
        <f t="shared" si="3"/>
        <v>0</v>
      </c>
    </row>
    <row r="114" spans="2:12" x14ac:dyDescent="0.25">
      <c r="B114" s="51"/>
      <c r="C114" s="52" t="s">
        <v>199</v>
      </c>
      <c r="D114" s="53" t="s">
        <v>97</v>
      </c>
      <c r="E114" s="52" t="s">
        <v>37</v>
      </c>
      <c r="F114" s="219"/>
      <c r="G114" s="63"/>
      <c r="H114" s="218"/>
      <c r="I114" s="65">
        <f t="shared" si="3"/>
        <v>0</v>
      </c>
    </row>
    <row r="115" spans="2:12" x14ac:dyDescent="0.25">
      <c r="B115" s="51"/>
      <c r="C115" s="52" t="s">
        <v>200</v>
      </c>
      <c r="D115" s="87" t="s">
        <v>99</v>
      </c>
      <c r="E115" s="52" t="s">
        <v>37</v>
      </c>
      <c r="F115" s="219">
        <v>2000</v>
      </c>
      <c r="G115" s="63">
        <v>4.96</v>
      </c>
      <c r="H115" s="218">
        <v>4.8</v>
      </c>
      <c r="I115" s="65">
        <f t="shared" si="3"/>
        <v>19520</v>
      </c>
      <c r="J115" s="258"/>
      <c r="K115" s="259"/>
    </row>
    <row r="116" spans="2:12" ht="25.5" x14ac:dyDescent="0.25">
      <c r="B116" s="51"/>
      <c r="C116" s="52" t="s">
        <v>201</v>
      </c>
      <c r="D116" s="53" t="s">
        <v>107</v>
      </c>
      <c r="E116" s="52" t="s">
        <v>50</v>
      </c>
      <c r="F116" s="219">
        <v>20</v>
      </c>
      <c r="G116" s="222">
        <v>11</v>
      </c>
      <c r="H116" s="218">
        <v>7.5</v>
      </c>
      <c r="I116" s="65">
        <f t="shared" si="3"/>
        <v>370</v>
      </c>
      <c r="J116" s="258"/>
      <c r="K116" s="259"/>
    </row>
    <row r="117" spans="2:12" ht="25.5" x14ac:dyDescent="0.25">
      <c r="B117" s="51"/>
      <c r="C117" s="52" t="s">
        <v>202</v>
      </c>
      <c r="D117" s="53" t="s">
        <v>203</v>
      </c>
      <c r="E117" s="52" t="s">
        <v>79</v>
      </c>
      <c r="F117" s="219"/>
      <c r="G117" s="269"/>
      <c r="H117" s="269"/>
      <c r="I117" s="65">
        <f t="shared" si="3"/>
        <v>0</v>
      </c>
      <c r="J117" s="258"/>
      <c r="K117" s="259"/>
    </row>
    <row r="118" spans="2:12" ht="25.5" x14ac:dyDescent="0.25">
      <c r="B118" s="51"/>
      <c r="C118" s="52" t="s">
        <v>204</v>
      </c>
      <c r="D118" s="53" t="s">
        <v>205</v>
      </c>
      <c r="E118" s="52" t="s">
        <v>79</v>
      </c>
      <c r="F118" s="219">
        <v>217</v>
      </c>
      <c r="G118" s="63">
        <v>30</v>
      </c>
      <c r="H118" s="218">
        <v>29</v>
      </c>
      <c r="I118" s="65">
        <f t="shared" si="3"/>
        <v>12803</v>
      </c>
      <c r="J118" s="258"/>
      <c r="K118" s="259"/>
    </row>
    <row r="119" spans="2:12" ht="25.5" x14ac:dyDescent="0.25">
      <c r="B119" s="51"/>
      <c r="C119" s="52" t="s">
        <v>206</v>
      </c>
      <c r="D119" s="53" t="s">
        <v>207</v>
      </c>
      <c r="E119" s="52" t="s">
        <v>79</v>
      </c>
      <c r="F119" s="219"/>
      <c r="G119" s="63"/>
      <c r="H119" s="218"/>
      <c r="I119" s="65">
        <f t="shared" si="3"/>
        <v>0</v>
      </c>
      <c r="J119" s="258"/>
      <c r="K119" s="259"/>
    </row>
    <row r="120" spans="2:12" ht="25.5" x14ac:dyDescent="0.25">
      <c r="B120" s="51"/>
      <c r="C120" s="52" t="s">
        <v>208</v>
      </c>
      <c r="D120" s="53" t="s">
        <v>209</v>
      </c>
      <c r="E120" s="52" t="s">
        <v>79</v>
      </c>
      <c r="F120" s="219">
        <v>20</v>
      </c>
      <c r="G120" s="63">
        <v>30</v>
      </c>
      <c r="H120" s="218">
        <v>29</v>
      </c>
      <c r="I120" s="65">
        <f t="shared" si="3"/>
        <v>1180</v>
      </c>
      <c r="J120" s="258"/>
      <c r="K120" s="259"/>
    </row>
    <row r="121" spans="2:12" ht="25.5" x14ac:dyDescent="0.25">
      <c r="B121" s="51"/>
      <c r="C121" s="52" t="s">
        <v>210</v>
      </c>
      <c r="D121" s="53" t="s">
        <v>211</v>
      </c>
      <c r="E121" s="52" t="s">
        <v>79</v>
      </c>
      <c r="F121" s="219"/>
      <c r="G121" s="63"/>
      <c r="H121" s="64"/>
      <c r="I121" s="65">
        <f t="shared" si="3"/>
        <v>0</v>
      </c>
      <c r="J121" s="258"/>
      <c r="K121" s="259"/>
    </row>
    <row r="122" spans="2:12" ht="25.5" x14ac:dyDescent="0.25">
      <c r="B122" s="51"/>
      <c r="C122" s="52" t="s">
        <v>212</v>
      </c>
      <c r="D122" s="53" t="s">
        <v>213</v>
      </c>
      <c r="E122" s="52" t="s">
        <v>79</v>
      </c>
      <c r="F122" s="219"/>
      <c r="G122" s="63"/>
      <c r="H122" s="64"/>
      <c r="I122" s="65">
        <f t="shared" si="3"/>
        <v>0</v>
      </c>
    </row>
    <row r="123" spans="2:12" ht="25.5" x14ac:dyDescent="0.25">
      <c r="B123" s="51"/>
      <c r="C123" s="52" t="s">
        <v>214</v>
      </c>
      <c r="D123" s="53" t="s">
        <v>215</v>
      </c>
      <c r="E123" s="52" t="s">
        <v>79</v>
      </c>
      <c r="F123" s="219"/>
      <c r="G123" s="63"/>
      <c r="H123" s="64"/>
      <c r="I123" s="65">
        <f t="shared" si="3"/>
        <v>0</v>
      </c>
    </row>
    <row r="124" spans="2:12" ht="25.5" x14ac:dyDescent="0.25">
      <c r="B124" s="51"/>
      <c r="C124" s="52" t="s">
        <v>216</v>
      </c>
      <c r="D124" s="53" t="s">
        <v>217</v>
      </c>
      <c r="E124" s="52" t="s">
        <v>79</v>
      </c>
      <c r="F124" s="219"/>
      <c r="G124" s="63"/>
      <c r="H124" s="64"/>
      <c r="I124" s="65">
        <f t="shared" si="3"/>
        <v>0</v>
      </c>
    </row>
    <row r="125" spans="2:12" ht="25.5" x14ac:dyDescent="0.25">
      <c r="B125" s="51"/>
      <c r="C125" s="52" t="s">
        <v>218</v>
      </c>
      <c r="D125" s="53" t="s">
        <v>219</v>
      </c>
      <c r="E125" s="52" t="s">
        <v>50</v>
      </c>
      <c r="F125" s="219">
        <v>237</v>
      </c>
      <c r="G125" s="63">
        <v>15</v>
      </c>
      <c r="H125" s="64">
        <v>11.5</v>
      </c>
      <c r="I125" s="65">
        <f t="shared" si="3"/>
        <v>6280.5</v>
      </c>
    </row>
    <row r="126" spans="2:12" x14ac:dyDescent="0.25">
      <c r="B126" s="51"/>
      <c r="C126" s="52" t="s">
        <v>220</v>
      </c>
      <c r="D126" s="53" t="s">
        <v>181</v>
      </c>
      <c r="E126" s="52" t="s">
        <v>50</v>
      </c>
      <c r="F126" s="219">
        <v>1</v>
      </c>
      <c r="G126" s="222">
        <v>1100</v>
      </c>
      <c r="H126" s="223">
        <v>900</v>
      </c>
      <c r="I126" s="65">
        <f t="shared" si="3"/>
        <v>2000</v>
      </c>
    </row>
    <row r="127" spans="2:12" x14ac:dyDescent="0.25">
      <c r="B127" s="66">
        <v>810100</v>
      </c>
      <c r="C127" s="67" t="s">
        <v>221</v>
      </c>
      <c r="D127" s="68" t="s">
        <v>222</v>
      </c>
      <c r="E127" s="67"/>
      <c r="F127" s="69"/>
      <c r="G127" s="70"/>
      <c r="H127" s="71"/>
      <c r="I127" s="72">
        <f>SUM(I128:I157)</f>
        <v>0</v>
      </c>
      <c r="L127" s="228"/>
    </row>
    <row r="128" spans="2:12" x14ac:dyDescent="0.25">
      <c r="B128" s="51"/>
      <c r="C128" s="52" t="s">
        <v>223</v>
      </c>
      <c r="D128" s="53" t="s">
        <v>224</v>
      </c>
      <c r="E128" s="52" t="s">
        <v>37</v>
      </c>
      <c r="F128" s="54"/>
      <c r="G128" s="55"/>
      <c r="H128" s="56"/>
      <c r="I128" s="57">
        <f t="shared" ref="I128:I157" si="4">F128*G128+F128*H128</f>
        <v>0</v>
      </c>
    </row>
    <row r="129" spans="2:9" ht="25.5" x14ac:dyDescent="0.25">
      <c r="B129" s="51"/>
      <c r="C129" s="52" t="s">
        <v>225</v>
      </c>
      <c r="D129" s="53" t="s">
        <v>41</v>
      </c>
      <c r="E129" s="52" t="s">
        <v>37</v>
      </c>
      <c r="F129" s="54"/>
      <c r="G129" s="55"/>
      <c r="H129" s="56"/>
      <c r="I129" s="57">
        <f t="shared" si="4"/>
        <v>0</v>
      </c>
    </row>
    <row r="130" spans="2:9" ht="25.5" x14ac:dyDescent="0.25">
      <c r="B130" s="51"/>
      <c r="C130" s="52" t="s">
        <v>226</v>
      </c>
      <c r="D130" s="53" t="s">
        <v>43</v>
      </c>
      <c r="E130" s="52" t="s">
        <v>37</v>
      </c>
      <c r="F130" s="54"/>
      <c r="G130" s="55"/>
      <c r="H130" s="61"/>
      <c r="I130" s="57">
        <f t="shared" si="4"/>
        <v>0</v>
      </c>
    </row>
    <row r="131" spans="2:9" x14ac:dyDescent="0.25">
      <c r="B131" s="51"/>
      <c r="C131" s="52" t="s">
        <v>227</v>
      </c>
      <c r="D131" s="53" t="s">
        <v>47</v>
      </c>
      <c r="E131" s="52" t="s">
        <v>37</v>
      </c>
      <c r="F131" s="54"/>
      <c r="G131" s="55"/>
      <c r="H131" s="56"/>
      <c r="I131" s="57">
        <f t="shared" si="4"/>
        <v>0</v>
      </c>
    </row>
    <row r="132" spans="2:9" ht="51" x14ac:dyDescent="0.25">
      <c r="B132" s="51"/>
      <c r="C132" s="52" t="s">
        <v>228</v>
      </c>
      <c r="D132" s="53" t="s">
        <v>49</v>
      </c>
      <c r="E132" s="52" t="s">
        <v>50</v>
      </c>
      <c r="F132" s="54"/>
      <c r="G132" s="55"/>
      <c r="H132" s="56"/>
      <c r="I132" s="57">
        <f t="shared" si="4"/>
        <v>0</v>
      </c>
    </row>
    <row r="133" spans="2:9" x14ac:dyDescent="0.25">
      <c r="B133" s="51"/>
      <c r="C133" s="52" t="s">
        <v>229</v>
      </c>
      <c r="D133" s="53" t="s">
        <v>52</v>
      </c>
      <c r="E133" s="52" t="s">
        <v>37</v>
      </c>
      <c r="F133" s="54"/>
      <c r="G133" s="55"/>
      <c r="H133" s="61"/>
      <c r="I133" s="57">
        <f t="shared" si="4"/>
        <v>0</v>
      </c>
    </row>
    <row r="134" spans="2:9" ht="38.25" x14ac:dyDescent="0.25">
      <c r="B134" s="51"/>
      <c r="C134" s="52" t="s">
        <v>230</v>
      </c>
      <c r="D134" s="53" t="s">
        <v>54</v>
      </c>
      <c r="E134" s="52" t="s">
        <v>50</v>
      </c>
      <c r="F134" s="54"/>
      <c r="G134" s="58"/>
      <c r="H134" s="59"/>
      <c r="I134" s="57">
        <f t="shared" si="4"/>
        <v>0</v>
      </c>
    </row>
    <row r="135" spans="2:9" x14ac:dyDescent="0.25">
      <c r="B135" s="51"/>
      <c r="C135" s="52" t="s">
        <v>231</v>
      </c>
      <c r="D135" s="53" t="s">
        <v>56</v>
      </c>
      <c r="E135" s="52" t="s">
        <v>37</v>
      </c>
      <c r="F135" s="54"/>
      <c r="G135" s="55"/>
      <c r="H135" s="56"/>
      <c r="I135" s="57">
        <f t="shared" si="4"/>
        <v>0</v>
      </c>
    </row>
    <row r="136" spans="2:9" x14ac:dyDescent="0.25">
      <c r="B136" s="51"/>
      <c r="C136" s="52" t="s">
        <v>232</v>
      </c>
      <c r="D136" s="53" t="s">
        <v>58</v>
      </c>
      <c r="E136" s="52" t="s">
        <v>37</v>
      </c>
      <c r="F136" s="54"/>
      <c r="G136" s="55"/>
      <c r="H136" s="61"/>
      <c r="I136" s="57">
        <f t="shared" si="4"/>
        <v>0</v>
      </c>
    </row>
    <row r="137" spans="2:9" x14ac:dyDescent="0.25">
      <c r="B137" s="51"/>
      <c r="C137" s="52" t="s">
        <v>233</v>
      </c>
      <c r="D137" s="53" t="s">
        <v>62</v>
      </c>
      <c r="E137" s="52" t="s">
        <v>37</v>
      </c>
      <c r="F137" s="54"/>
      <c r="G137" s="55"/>
      <c r="H137" s="56"/>
      <c r="I137" s="57">
        <f t="shared" si="4"/>
        <v>0</v>
      </c>
    </row>
    <row r="138" spans="2:9" x14ac:dyDescent="0.25">
      <c r="B138" s="51"/>
      <c r="C138" s="52" t="s">
        <v>234</v>
      </c>
      <c r="D138" s="53" t="s">
        <v>64</v>
      </c>
      <c r="E138" s="52" t="s">
        <v>37</v>
      </c>
      <c r="F138" s="54"/>
      <c r="G138" s="55"/>
      <c r="H138" s="56"/>
      <c r="I138" s="57">
        <f t="shared" si="4"/>
        <v>0</v>
      </c>
    </row>
    <row r="139" spans="2:9" ht="25.5" x14ac:dyDescent="0.25">
      <c r="B139" s="51"/>
      <c r="C139" s="52" t="s">
        <v>235</v>
      </c>
      <c r="D139" s="53" t="s">
        <v>74</v>
      </c>
      <c r="E139" s="52" t="s">
        <v>50</v>
      </c>
      <c r="F139" s="54"/>
      <c r="G139" s="55"/>
      <c r="H139" s="56"/>
      <c r="I139" s="57">
        <f t="shared" si="4"/>
        <v>0</v>
      </c>
    </row>
    <row r="140" spans="2:9" ht="25.5" x14ac:dyDescent="0.25">
      <c r="B140" s="51"/>
      <c r="C140" s="52" t="s">
        <v>236</v>
      </c>
      <c r="D140" s="62" t="s">
        <v>76</v>
      </c>
      <c r="E140" s="52" t="s">
        <v>50</v>
      </c>
      <c r="F140" s="54"/>
      <c r="G140" s="55"/>
      <c r="H140" s="56"/>
      <c r="I140" s="57">
        <f t="shared" si="4"/>
        <v>0</v>
      </c>
    </row>
    <row r="141" spans="2:9" x14ac:dyDescent="0.25">
      <c r="B141" s="51"/>
      <c r="C141" s="52" t="s">
        <v>237</v>
      </c>
      <c r="D141" s="53" t="s">
        <v>238</v>
      </c>
      <c r="E141" s="52" t="s">
        <v>79</v>
      </c>
      <c r="F141" s="54"/>
      <c r="G141" s="55"/>
      <c r="H141" s="56"/>
      <c r="I141" s="57">
        <f t="shared" si="4"/>
        <v>0</v>
      </c>
    </row>
    <row r="142" spans="2:9" x14ac:dyDescent="0.25">
      <c r="B142" s="51"/>
      <c r="C142" s="52" t="s">
        <v>239</v>
      </c>
      <c r="D142" s="53" t="s">
        <v>195</v>
      </c>
      <c r="E142" s="52" t="s">
        <v>79</v>
      </c>
      <c r="F142" s="54"/>
      <c r="G142" s="55"/>
      <c r="H142" s="61"/>
      <c r="I142" s="57">
        <f t="shared" si="4"/>
        <v>0</v>
      </c>
    </row>
    <row r="143" spans="2:9" x14ac:dyDescent="0.25">
      <c r="B143" s="51"/>
      <c r="C143" s="52" t="s">
        <v>240</v>
      </c>
      <c r="D143" s="53" t="s">
        <v>83</v>
      </c>
      <c r="E143" s="52" t="s">
        <v>79</v>
      </c>
      <c r="F143" s="54"/>
      <c r="G143" s="55"/>
      <c r="H143" s="56"/>
      <c r="I143" s="57">
        <f t="shared" si="4"/>
        <v>0</v>
      </c>
    </row>
    <row r="144" spans="2:9" x14ac:dyDescent="0.25">
      <c r="B144" s="51"/>
      <c r="C144" s="52" t="s">
        <v>241</v>
      </c>
      <c r="D144" s="53" t="s">
        <v>85</v>
      </c>
      <c r="E144" s="52" t="s">
        <v>79</v>
      </c>
      <c r="F144" s="54"/>
      <c r="G144" s="55"/>
      <c r="H144" s="56"/>
      <c r="I144" s="57">
        <f t="shared" si="4"/>
        <v>0</v>
      </c>
    </row>
    <row r="145" spans="2:12" ht="25.5" x14ac:dyDescent="0.25">
      <c r="B145" s="51"/>
      <c r="C145" s="52" t="s">
        <v>242</v>
      </c>
      <c r="D145" s="53" t="s">
        <v>93</v>
      </c>
      <c r="E145" s="52" t="s">
        <v>50</v>
      </c>
      <c r="F145" s="54"/>
      <c r="G145" s="55"/>
      <c r="H145" s="56"/>
      <c r="I145" s="57">
        <f t="shared" si="4"/>
        <v>0</v>
      </c>
    </row>
    <row r="146" spans="2:12" x14ac:dyDescent="0.25">
      <c r="B146" s="51"/>
      <c r="C146" s="52" t="s">
        <v>243</v>
      </c>
      <c r="D146" s="53" t="s">
        <v>244</v>
      </c>
      <c r="E146" s="52" t="s">
        <v>79</v>
      </c>
      <c r="F146" s="54"/>
      <c r="G146" s="55"/>
      <c r="H146" s="56"/>
      <c r="I146" s="57">
        <f t="shared" si="4"/>
        <v>0</v>
      </c>
    </row>
    <row r="147" spans="2:12" ht="25.5" x14ac:dyDescent="0.25">
      <c r="B147" s="51"/>
      <c r="C147" s="52" t="s">
        <v>245</v>
      </c>
      <c r="D147" s="53" t="s">
        <v>95</v>
      </c>
      <c r="E147" s="52" t="s">
        <v>50</v>
      </c>
      <c r="F147" s="54"/>
      <c r="G147" s="55"/>
      <c r="H147" s="56"/>
      <c r="I147" s="57">
        <f t="shared" si="4"/>
        <v>0</v>
      </c>
    </row>
    <row r="148" spans="2:12" x14ac:dyDescent="0.25">
      <c r="B148" s="51"/>
      <c r="C148" s="52" t="s">
        <v>246</v>
      </c>
      <c r="D148" s="53" t="s">
        <v>247</v>
      </c>
      <c r="E148" s="52" t="s">
        <v>79</v>
      </c>
      <c r="F148" s="54"/>
      <c r="G148" s="55"/>
      <c r="H148" s="56"/>
      <c r="I148" s="57">
        <f t="shared" si="4"/>
        <v>0</v>
      </c>
    </row>
    <row r="149" spans="2:12" x14ac:dyDescent="0.25">
      <c r="B149" s="51"/>
      <c r="C149" s="52" t="s">
        <v>248</v>
      </c>
      <c r="D149" s="53" t="s">
        <v>249</v>
      </c>
      <c r="E149" s="52" t="s">
        <v>79</v>
      </c>
      <c r="F149" s="54"/>
      <c r="G149" s="55"/>
      <c r="H149" s="56"/>
      <c r="I149" s="57">
        <f t="shared" si="4"/>
        <v>0</v>
      </c>
    </row>
    <row r="150" spans="2:12" ht="25.5" x14ac:dyDescent="0.25">
      <c r="B150" s="51"/>
      <c r="C150" s="52" t="s">
        <v>250</v>
      </c>
      <c r="D150" s="53" t="s">
        <v>251</v>
      </c>
      <c r="E150" s="52" t="s">
        <v>50</v>
      </c>
      <c r="F150" s="54"/>
      <c r="G150" s="55"/>
      <c r="H150" s="56"/>
      <c r="I150" s="57">
        <f t="shared" si="4"/>
        <v>0</v>
      </c>
    </row>
    <row r="151" spans="2:12" x14ac:dyDescent="0.25">
      <c r="B151" s="51"/>
      <c r="C151" s="52" t="s">
        <v>252</v>
      </c>
      <c r="D151" s="53" t="s">
        <v>253</v>
      </c>
      <c r="E151" s="52" t="s">
        <v>37</v>
      </c>
      <c r="F151" s="54"/>
      <c r="G151" s="220"/>
      <c r="H151" s="221"/>
      <c r="I151" s="57">
        <f t="shared" si="4"/>
        <v>0</v>
      </c>
    </row>
    <row r="152" spans="2:12" x14ac:dyDescent="0.25">
      <c r="B152" s="51"/>
      <c r="C152" s="52" t="s">
        <v>254</v>
      </c>
      <c r="D152" s="53" t="s">
        <v>255</v>
      </c>
      <c r="E152" s="52" t="s">
        <v>37</v>
      </c>
      <c r="F152" s="54"/>
      <c r="G152" s="55"/>
      <c r="H152" s="56"/>
      <c r="I152" s="57">
        <f t="shared" si="4"/>
        <v>0</v>
      </c>
    </row>
    <row r="153" spans="2:12" ht="25.5" x14ac:dyDescent="0.25">
      <c r="B153" s="51"/>
      <c r="C153" s="52" t="s">
        <v>256</v>
      </c>
      <c r="D153" s="53" t="s">
        <v>107</v>
      </c>
      <c r="E153" s="52" t="s">
        <v>50</v>
      </c>
      <c r="F153" s="54"/>
      <c r="G153" s="55"/>
      <c r="H153" s="56"/>
      <c r="I153" s="57">
        <f t="shared" si="4"/>
        <v>0</v>
      </c>
    </row>
    <row r="154" spans="2:12" x14ac:dyDescent="0.25">
      <c r="B154" s="51"/>
      <c r="C154" s="52" t="s">
        <v>257</v>
      </c>
      <c r="D154" s="53" t="s">
        <v>258</v>
      </c>
      <c r="E154" s="52" t="s">
        <v>79</v>
      </c>
      <c r="F154" s="54"/>
      <c r="G154" s="55"/>
      <c r="H154" s="61"/>
      <c r="I154" s="57">
        <f t="shared" si="4"/>
        <v>0</v>
      </c>
    </row>
    <row r="155" spans="2:12" x14ac:dyDescent="0.25">
      <c r="B155" s="51"/>
      <c r="C155" s="52" t="s">
        <v>259</v>
      </c>
      <c r="D155" s="53" t="s">
        <v>260</v>
      </c>
      <c r="E155" s="52" t="s">
        <v>79</v>
      </c>
      <c r="F155" s="88"/>
      <c r="G155" s="63"/>
      <c r="H155" s="218"/>
      <c r="I155" s="57">
        <f t="shared" si="4"/>
        <v>0</v>
      </c>
    </row>
    <row r="156" spans="2:12" ht="25.5" x14ac:dyDescent="0.25">
      <c r="B156" s="51"/>
      <c r="C156" s="52" t="s">
        <v>261</v>
      </c>
      <c r="D156" s="53" t="s">
        <v>219</v>
      </c>
      <c r="E156" s="52" t="s">
        <v>50</v>
      </c>
      <c r="F156" s="54"/>
      <c r="G156" s="55"/>
      <c r="H156" s="56"/>
      <c r="I156" s="57">
        <f t="shared" si="4"/>
        <v>0</v>
      </c>
    </row>
    <row r="157" spans="2:12" x14ac:dyDescent="0.25">
      <c r="B157" s="51"/>
      <c r="C157" s="74" t="s">
        <v>262</v>
      </c>
      <c r="D157" s="53" t="s">
        <v>181</v>
      </c>
      <c r="E157" s="52" t="s">
        <v>50</v>
      </c>
      <c r="F157" s="54"/>
      <c r="G157" s="55"/>
      <c r="H157" s="56"/>
      <c r="I157" s="57">
        <f t="shared" si="4"/>
        <v>0</v>
      </c>
    </row>
    <row r="158" spans="2:12" x14ac:dyDescent="0.25">
      <c r="B158" s="66">
        <v>810100</v>
      </c>
      <c r="C158" s="67" t="s">
        <v>263</v>
      </c>
      <c r="D158" s="68" t="s">
        <v>264</v>
      </c>
      <c r="E158" s="67"/>
      <c r="F158" s="69"/>
      <c r="G158" s="70"/>
      <c r="H158" s="71"/>
      <c r="I158" s="72">
        <f>SUM(I159:I189)</f>
        <v>89848.5</v>
      </c>
      <c r="L158" s="228"/>
    </row>
    <row r="159" spans="2:12" x14ac:dyDescent="0.25">
      <c r="B159" s="51"/>
      <c r="C159" s="52" t="s">
        <v>265</v>
      </c>
      <c r="D159" s="53" t="s">
        <v>224</v>
      </c>
      <c r="E159" s="52" t="s">
        <v>37</v>
      </c>
      <c r="F159" s="54"/>
      <c r="G159" s="55"/>
      <c r="H159" s="61"/>
      <c r="I159" s="57">
        <f t="shared" ref="I159:I189" si="5">F159*G159+F159*H159</f>
        <v>0</v>
      </c>
    </row>
    <row r="160" spans="2:12" ht="25.5" x14ac:dyDescent="0.25">
      <c r="B160" s="51"/>
      <c r="C160" s="52" t="s">
        <v>266</v>
      </c>
      <c r="D160" s="53" t="s">
        <v>41</v>
      </c>
      <c r="E160" s="52" t="s">
        <v>37</v>
      </c>
      <c r="F160" s="54"/>
      <c r="G160" s="63"/>
      <c r="H160" s="64"/>
      <c r="I160" s="57">
        <f t="shared" si="5"/>
        <v>0</v>
      </c>
    </row>
    <row r="161" spans="2:9" ht="25.5" x14ac:dyDescent="0.25">
      <c r="B161" s="51"/>
      <c r="C161" s="52" t="s">
        <v>267</v>
      </c>
      <c r="D161" s="53" t="s">
        <v>43</v>
      </c>
      <c r="E161" s="52" t="s">
        <v>37</v>
      </c>
      <c r="F161" s="54">
        <v>80</v>
      </c>
      <c r="G161" s="63">
        <v>44</v>
      </c>
      <c r="H161" s="64">
        <v>29</v>
      </c>
      <c r="I161" s="57">
        <f t="shared" si="5"/>
        <v>5840</v>
      </c>
    </row>
    <row r="162" spans="2:9" x14ac:dyDescent="0.25">
      <c r="B162" s="51"/>
      <c r="C162" s="52" t="s">
        <v>268</v>
      </c>
      <c r="D162" s="53" t="s">
        <v>47</v>
      </c>
      <c r="E162" s="52" t="s">
        <v>37</v>
      </c>
      <c r="F162" s="54"/>
      <c r="G162" s="63"/>
      <c r="H162" s="64"/>
      <c r="I162" s="57">
        <f t="shared" si="5"/>
        <v>0</v>
      </c>
    </row>
    <row r="163" spans="2:9" ht="51" x14ac:dyDescent="0.25">
      <c r="B163" s="51"/>
      <c r="C163" s="52" t="s">
        <v>269</v>
      </c>
      <c r="D163" s="53" t="s">
        <v>49</v>
      </c>
      <c r="E163" s="52" t="s">
        <v>50</v>
      </c>
      <c r="F163" s="54">
        <v>40</v>
      </c>
      <c r="G163" s="63">
        <v>26</v>
      </c>
      <c r="H163" s="64">
        <v>24</v>
      </c>
      <c r="I163" s="57">
        <f t="shared" si="5"/>
        <v>2000</v>
      </c>
    </row>
    <row r="164" spans="2:9" x14ac:dyDescent="0.25">
      <c r="B164" s="51"/>
      <c r="C164" s="52" t="s">
        <v>270</v>
      </c>
      <c r="D164" s="53" t="s">
        <v>52</v>
      </c>
      <c r="E164" s="52" t="s">
        <v>37</v>
      </c>
      <c r="F164" s="54"/>
      <c r="G164" s="63"/>
      <c r="H164" s="218"/>
      <c r="I164" s="57">
        <f t="shared" si="5"/>
        <v>0</v>
      </c>
    </row>
    <row r="165" spans="2:9" ht="38.25" x14ac:dyDescent="0.25">
      <c r="B165" s="51"/>
      <c r="C165" s="52" t="s">
        <v>271</v>
      </c>
      <c r="D165" s="53" t="s">
        <v>54</v>
      </c>
      <c r="E165" s="52" t="s">
        <v>50</v>
      </c>
      <c r="F165" s="54"/>
      <c r="G165" s="222"/>
      <c r="H165" s="223"/>
      <c r="I165" s="57">
        <f t="shared" si="5"/>
        <v>0</v>
      </c>
    </row>
    <row r="166" spans="2:9" x14ac:dyDescent="0.25">
      <c r="B166" s="51"/>
      <c r="C166" s="52" t="s">
        <v>272</v>
      </c>
      <c r="D166" s="53" t="s">
        <v>273</v>
      </c>
      <c r="E166" s="52" t="s">
        <v>37</v>
      </c>
      <c r="F166" s="54"/>
      <c r="G166" s="63"/>
      <c r="H166" s="218"/>
      <c r="I166" s="57">
        <f t="shared" si="5"/>
        <v>0</v>
      </c>
    </row>
    <row r="167" spans="2:9" x14ac:dyDescent="0.25">
      <c r="B167" s="51"/>
      <c r="C167" s="52" t="s">
        <v>274</v>
      </c>
      <c r="D167" s="53" t="s">
        <v>60</v>
      </c>
      <c r="E167" s="52" t="s">
        <v>37</v>
      </c>
      <c r="F167" s="54">
        <v>60</v>
      </c>
      <c r="G167" s="63">
        <v>24</v>
      </c>
      <c r="H167" s="218">
        <v>29</v>
      </c>
      <c r="I167" s="57">
        <f t="shared" si="5"/>
        <v>3180</v>
      </c>
    </row>
    <row r="168" spans="2:9" x14ac:dyDescent="0.25">
      <c r="B168" s="51"/>
      <c r="C168" s="52" t="s">
        <v>275</v>
      </c>
      <c r="D168" s="53" t="s">
        <v>62</v>
      </c>
      <c r="E168" s="52" t="s">
        <v>37</v>
      </c>
      <c r="F168" s="54"/>
      <c r="G168" s="63"/>
      <c r="H168" s="218"/>
      <c r="I168" s="57">
        <f t="shared" si="5"/>
        <v>0</v>
      </c>
    </row>
    <row r="169" spans="2:9" x14ac:dyDescent="0.25">
      <c r="B169" s="51"/>
      <c r="C169" s="52" t="s">
        <v>276</v>
      </c>
      <c r="D169" s="53" t="s">
        <v>64</v>
      </c>
      <c r="E169" s="52" t="s">
        <v>37</v>
      </c>
      <c r="F169" s="54"/>
      <c r="G169" s="63"/>
      <c r="H169" s="218"/>
      <c r="I169" s="57">
        <f t="shared" si="5"/>
        <v>0</v>
      </c>
    </row>
    <row r="170" spans="2:9" ht="25.5" x14ac:dyDescent="0.25">
      <c r="B170" s="51"/>
      <c r="C170" s="52" t="s">
        <v>277</v>
      </c>
      <c r="D170" s="53" t="s">
        <v>74</v>
      </c>
      <c r="E170" s="52" t="s">
        <v>50</v>
      </c>
      <c r="F170" s="54">
        <v>30</v>
      </c>
      <c r="G170" s="63">
        <v>15</v>
      </c>
      <c r="H170" s="64">
        <v>12</v>
      </c>
      <c r="I170" s="57">
        <f t="shared" si="5"/>
        <v>810</v>
      </c>
    </row>
    <row r="171" spans="2:9" ht="25.5" x14ac:dyDescent="0.25">
      <c r="B171" s="51"/>
      <c r="C171" s="52" t="s">
        <v>278</v>
      </c>
      <c r="D171" s="53" t="s">
        <v>76</v>
      </c>
      <c r="E171" s="52" t="s">
        <v>50</v>
      </c>
      <c r="F171" s="54">
        <v>70</v>
      </c>
      <c r="G171" s="63">
        <v>14</v>
      </c>
      <c r="H171" s="64">
        <v>12</v>
      </c>
      <c r="I171" s="57">
        <f t="shared" si="5"/>
        <v>1820</v>
      </c>
    </row>
    <row r="172" spans="2:9" x14ac:dyDescent="0.25">
      <c r="B172" s="51"/>
      <c r="C172" s="52" t="s">
        <v>279</v>
      </c>
      <c r="D172" s="53" t="s">
        <v>238</v>
      </c>
      <c r="E172" s="52" t="s">
        <v>79</v>
      </c>
      <c r="F172" s="54"/>
      <c r="G172" s="63"/>
      <c r="H172" s="218"/>
      <c r="I172" s="57">
        <f t="shared" si="5"/>
        <v>0</v>
      </c>
    </row>
    <row r="173" spans="2:9" x14ac:dyDescent="0.25">
      <c r="B173" s="51"/>
      <c r="C173" s="52" t="s">
        <v>280</v>
      </c>
      <c r="D173" s="53" t="s">
        <v>81</v>
      </c>
      <c r="E173" s="52" t="s">
        <v>79</v>
      </c>
      <c r="F173" s="54">
        <v>63</v>
      </c>
      <c r="G173" s="63">
        <v>18</v>
      </c>
      <c r="H173" s="218">
        <v>25</v>
      </c>
      <c r="I173" s="57">
        <f t="shared" si="5"/>
        <v>2709</v>
      </c>
    </row>
    <row r="174" spans="2:9" x14ac:dyDescent="0.25">
      <c r="B174" s="51"/>
      <c r="C174" s="52" t="s">
        <v>281</v>
      </c>
      <c r="D174" s="53" t="s">
        <v>83</v>
      </c>
      <c r="E174" s="52" t="s">
        <v>79</v>
      </c>
      <c r="F174" s="54"/>
      <c r="G174" s="63"/>
      <c r="H174" s="218"/>
      <c r="I174" s="57">
        <f t="shared" si="5"/>
        <v>0</v>
      </c>
    </row>
    <row r="175" spans="2:9" x14ac:dyDescent="0.25">
      <c r="B175" s="51"/>
      <c r="C175" s="52" t="s">
        <v>282</v>
      </c>
      <c r="D175" s="53" t="s">
        <v>244</v>
      </c>
      <c r="E175" s="52" t="s">
        <v>79</v>
      </c>
      <c r="F175" s="54"/>
      <c r="G175" s="55"/>
      <c r="H175" s="61"/>
      <c r="I175" s="57">
        <f t="shared" si="5"/>
        <v>0</v>
      </c>
    </row>
    <row r="176" spans="2:9" x14ac:dyDescent="0.25">
      <c r="B176" s="51"/>
      <c r="C176" s="52" t="s">
        <v>283</v>
      </c>
      <c r="D176" s="53" t="s">
        <v>284</v>
      </c>
      <c r="E176" s="52" t="s">
        <v>79</v>
      </c>
      <c r="F176" s="88"/>
      <c r="G176" s="63"/>
      <c r="H176" s="218"/>
      <c r="I176" s="57">
        <f t="shared" si="5"/>
        <v>0</v>
      </c>
    </row>
    <row r="177" spans="2:12" x14ac:dyDescent="0.25">
      <c r="B177" s="51"/>
      <c r="C177" s="52" t="s">
        <v>285</v>
      </c>
      <c r="D177" s="53" t="s">
        <v>85</v>
      </c>
      <c r="E177" s="52" t="s">
        <v>79</v>
      </c>
      <c r="F177" s="88"/>
      <c r="G177" s="63"/>
      <c r="H177" s="218"/>
      <c r="I177" s="57">
        <f t="shared" si="5"/>
        <v>0</v>
      </c>
    </row>
    <row r="178" spans="2:12" ht="25.5" x14ac:dyDescent="0.25">
      <c r="B178" s="51"/>
      <c r="C178" s="52" t="s">
        <v>286</v>
      </c>
      <c r="D178" s="53" t="s">
        <v>93</v>
      </c>
      <c r="E178" s="52" t="s">
        <v>50</v>
      </c>
      <c r="F178" s="88">
        <v>63</v>
      </c>
      <c r="G178" s="63">
        <v>15</v>
      </c>
      <c r="H178" s="64">
        <v>11.5</v>
      </c>
      <c r="I178" s="57">
        <f t="shared" si="5"/>
        <v>1669.5</v>
      </c>
    </row>
    <row r="179" spans="2:12" ht="25.5" x14ac:dyDescent="0.25">
      <c r="B179" s="51"/>
      <c r="C179" s="52" t="s">
        <v>287</v>
      </c>
      <c r="D179" s="53" t="s">
        <v>95</v>
      </c>
      <c r="E179" s="52" t="s">
        <v>50</v>
      </c>
      <c r="F179" s="88"/>
      <c r="G179" s="63"/>
      <c r="H179" s="218"/>
      <c r="I179" s="57">
        <f t="shared" si="5"/>
        <v>0</v>
      </c>
    </row>
    <row r="180" spans="2:12" x14ac:dyDescent="0.25">
      <c r="B180" s="51"/>
      <c r="C180" s="52" t="s">
        <v>288</v>
      </c>
      <c r="D180" s="53" t="s">
        <v>289</v>
      </c>
      <c r="E180" s="52" t="s">
        <v>37</v>
      </c>
      <c r="F180" s="88"/>
      <c r="G180" s="63"/>
      <c r="H180" s="218"/>
      <c r="I180" s="57">
        <f t="shared" si="5"/>
        <v>0</v>
      </c>
    </row>
    <row r="181" spans="2:12" x14ac:dyDescent="0.25">
      <c r="B181" s="51"/>
      <c r="C181" s="52" t="s">
        <v>290</v>
      </c>
      <c r="D181" s="53" t="s">
        <v>291</v>
      </c>
      <c r="E181" s="52" t="s">
        <v>37</v>
      </c>
      <c r="F181" s="88"/>
      <c r="G181" s="63"/>
      <c r="H181" s="218"/>
      <c r="I181" s="57">
        <f t="shared" si="5"/>
        <v>0</v>
      </c>
    </row>
    <row r="182" spans="2:12" x14ac:dyDescent="0.25">
      <c r="B182" s="51"/>
      <c r="C182" s="52" t="s">
        <v>292</v>
      </c>
      <c r="D182" s="53" t="s">
        <v>293</v>
      </c>
      <c r="E182" s="52" t="s">
        <v>294</v>
      </c>
      <c r="F182" s="88">
        <v>8</v>
      </c>
      <c r="G182" s="218">
        <v>1360</v>
      </c>
      <c r="H182" s="218">
        <v>900</v>
      </c>
      <c r="I182" s="57">
        <f t="shared" si="5"/>
        <v>18080</v>
      </c>
    </row>
    <row r="183" spans="2:12" x14ac:dyDescent="0.25">
      <c r="B183" s="51"/>
      <c r="C183" s="52" t="s">
        <v>295</v>
      </c>
      <c r="D183" s="53" t="s">
        <v>296</v>
      </c>
      <c r="E183" s="52" t="s">
        <v>79</v>
      </c>
      <c r="F183" s="88"/>
      <c r="G183" s="63"/>
      <c r="H183" s="218"/>
      <c r="I183" s="57">
        <f t="shared" si="5"/>
        <v>0</v>
      </c>
    </row>
    <row r="184" spans="2:12" x14ac:dyDescent="0.25">
      <c r="B184" s="51"/>
      <c r="C184" s="52" t="s">
        <v>297</v>
      </c>
      <c r="D184" s="53" t="s">
        <v>298</v>
      </c>
      <c r="E184" s="52" t="s">
        <v>79</v>
      </c>
      <c r="F184" s="88"/>
      <c r="G184" s="63"/>
      <c r="H184" s="218"/>
      <c r="I184" s="57">
        <f t="shared" si="5"/>
        <v>0</v>
      </c>
    </row>
    <row r="185" spans="2:12" x14ac:dyDescent="0.25">
      <c r="B185" s="51"/>
      <c r="C185" s="52" t="s">
        <v>299</v>
      </c>
      <c r="D185" s="53" t="s">
        <v>300</v>
      </c>
      <c r="E185" s="52" t="s">
        <v>79</v>
      </c>
      <c r="F185" s="88"/>
      <c r="G185" s="63"/>
      <c r="H185" s="218"/>
      <c r="I185" s="57">
        <f t="shared" si="5"/>
        <v>0</v>
      </c>
    </row>
    <row r="186" spans="2:12" x14ac:dyDescent="0.25">
      <c r="B186" s="51"/>
      <c r="C186" s="52" t="s">
        <v>301</v>
      </c>
      <c r="D186" s="53" t="s">
        <v>302</v>
      </c>
      <c r="E186" s="52" t="s">
        <v>79</v>
      </c>
      <c r="F186" s="88"/>
      <c r="G186" s="63"/>
      <c r="H186" s="218"/>
      <c r="I186" s="57">
        <f t="shared" si="5"/>
        <v>0</v>
      </c>
    </row>
    <row r="187" spans="2:12" x14ac:dyDescent="0.25">
      <c r="B187" s="51"/>
      <c r="C187" s="52" t="s">
        <v>303</v>
      </c>
      <c r="D187" s="87" t="s">
        <v>304</v>
      </c>
      <c r="E187" s="52" t="s">
        <v>305</v>
      </c>
      <c r="F187" s="88">
        <v>53</v>
      </c>
      <c r="G187" s="63">
        <v>600</v>
      </c>
      <c r="H187" s="218">
        <v>380</v>
      </c>
      <c r="I187" s="57">
        <f t="shared" si="5"/>
        <v>51940</v>
      </c>
    </row>
    <row r="188" spans="2:12" x14ac:dyDescent="0.25">
      <c r="B188" s="51"/>
      <c r="C188" s="52" t="s">
        <v>306</v>
      </c>
      <c r="D188" s="53" t="s">
        <v>307</v>
      </c>
      <c r="E188" s="52" t="s">
        <v>79</v>
      </c>
      <c r="F188" s="270"/>
      <c r="G188" s="271"/>
      <c r="H188" s="272"/>
      <c r="I188" s="57">
        <f t="shared" si="5"/>
        <v>0</v>
      </c>
    </row>
    <row r="189" spans="2:12" x14ac:dyDescent="0.25">
      <c r="B189" s="51"/>
      <c r="C189" s="52" t="s">
        <v>308</v>
      </c>
      <c r="D189" s="53" t="s">
        <v>309</v>
      </c>
      <c r="E189" s="52" t="s">
        <v>50</v>
      </c>
      <c r="F189" s="88">
        <v>1</v>
      </c>
      <c r="G189" s="63">
        <v>1000</v>
      </c>
      <c r="H189" s="218">
        <v>800</v>
      </c>
      <c r="I189" s="57">
        <f t="shared" si="5"/>
        <v>1800</v>
      </c>
    </row>
    <row r="190" spans="2:12" x14ac:dyDescent="0.25">
      <c r="B190" s="75"/>
      <c r="C190" s="76" t="s">
        <v>310</v>
      </c>
      <c r="D190" s="77" t="s">
        <v>311</v>
      </c>
      <c r="E190" s="78"/>
      <c r="F190" s="79"/>
      <c r="G190" s="71"/>
      <c r="H190" s="71"/>
      <c r="I190" s="72">
        <f>I191+I218+I230</f>
        <v>63642</v>
      </c>
    </row>
    <row r="191" spans="2:12" x14ac:dyDescent="0.25">
      <c r="B191" s="66">
        <v>810101</v>
      </c>
      <c r="C191" s="67" t="s">
        <v>312</v>
      </c>
      <c r="D191" s="68" t="s">
        <v>313</v>
      </c>
      <c r="E191" s="67"/>
      <c r="F191" s="69"/>
      <c r="G191" s="70"/>
      <c r="H191" s="71"/>
      <c r="I191" s="72">
        <f>SUM(I192:I217)</f>
        <v>15714</v>
      </c>
      <c r="L191" s="228"/>
    </row>
    <row r="192" spans="2:12" x14ac:dyDescent="0.25">
      <c r="B192" s="51"/>
      <c r="C192" s="52" t="s">
        <v>314</v>
      </c>
      <c r="D192" s="53" t="s">
        <v>315</v>
      </c>
      <c r="E192" s="52" t="s">
        <v>37</v>
      </c>
      <c r="F192" s="54">
        <v>55</v>
      </c>
      <c r="G192" s="63">
        <v>36</v>
      </c>
      <c r="H192" s="218">
        <v>27</v>
      </c>
      <c r="I192" s="57">
        <f t="shared" ref="I192:I217" si="6">F192*G192+F192*H192</f>
        <v>3465</v>
      </c>
    </row>
    <row r="193" spans="2:9" x14ac:dyDescent="0.25">
      <c r="B193" s="51"/>
      <c r="C193" s="52" t="s">
        <v>316</v>
      </c>
      <c r="D193" s="53" t="s">
        <v>317</v>
      </c>
      <c r="E193" s="52" t="s">
        <v>37</v>
      </c>
      <c r="F193" s="54">
        <v>63</v>
      </c>
      <c r="G193" s="63">
        <v>38</v>
      </c>
      <c r="H193" s="218">
        <v>27</v>
      </c>
      <c r="I193" s="57">
        <f t="shared" si="6"/>
        <v>4095</v>
      </c>
    </row>
    <row r="194" spans="2:9" x14ac:dyDescent="0.25">
      <c r="B194" s="51"/>
      <c r="C194" s="52" t="s">
        <v>318</v>
      </c>
      <c r="D194" s="53" t="s">
        <v>319</v>
      </c>
      <c r="E194" s="52" t="s">
        <v>37</v>
      </c>
      <c r="F194" s="54"/>
      <c r="G194" s="63"/>
      <c r="H194" s="218"/>
      <c r="I194" s="57">
        <f t="shared" si="6"/>
        <v>0</v>
      </c>
    </row>
    <row r="195" spans="2:9" x14ac:dyDescent="0.25">
      <c r="B195" s="51"/>
      <c r="C195" s="52" t="s">
        <v>320</v>
      </c>
      <c r="D195" s="53" t="s">
        <v>321</v>
      </c>
      <c r="E195" s="52" t="s">
        <v>37</v>
      </c>
      <c r="F195" s="54"/>
      <c r="G195" s="63"/>
      <c r="H195" s="218"/>
      <c r="I195" s="57">
        <f t="shared" si="6"/>
        <v>0</v>
      </c>
    </row>
    <row r="196" spans="2:9" x14ac:dyDescent="0.25">
      <c r="B196" s="51"/>
      <c r="C196" s="52" t="s">
        <v>322</v>
      </c>
      <c r="D196" s="53" t="s">
        <v>323</v>
      </c>
      <c r="E196" s="52" t="s">
        <v>37</v>
      </c>
      <c r="F196" s="54"/>
      <c r="G196" s="55"/>
      <c r="H196" s="61"/>
      <c r="I196" s="57">
        <f t="shared" si="6"/>
        <v>0</v>
      </c>
    </row>
    <row r="197" spans="2:9" x14ac:dyDescent="0.25">
      <c r="B197" s="51"/>
      <c r="C197" s="52" t="s">
        <v>324</v>
      </c>
      <c r="D197" s="53" t="s">
        <v>325</v>
      </c>
      <c r="E197" s="52" t="s">
        <v>79</v>
      </c>
      <c r="F197" s="54"/>
      <c r="G197" s="55"/>
      <c r="H197" s="61"/>
      <c r="I197" s="57">
        <f t="shared" si="6"/>
        <v>0</v>
      </c>
    </row>
    <row r="198" spans="2:9" x14ac:dyDescent="0.25">
      <c r="B198" s="51"/>
      <c r="C198" s="52" t="s">
        <v>326</v>
      </c>
      <c r="D198" s="53" t="s">
        <v>327</v>
      </c>
      <c r="E198" s="52" t="s">
        <v>79</v>
      </c>
      <c r="F198" s="54"/>
      <c r="G198" s="55"/>
      <c r="H198" s="61"/>
      <c r="I198" s="57">
        <f t="shared" si="6"/>
        <v>0</v>
      </c>
    </row>
    <row r="199" spans="2:9" x14ac:dyDescent="0.25">
      <c r="B199" s="51"/>
      <c r="C199" s="52" t="s">
        <v>328</v>
      </c>
      <c r="D199" s="53" t="s">
        <v>329</v>
      </c>
      <c r="E199" s="52" t="s">
        <v>79</v>
      </c>
      <c r="F199" s="54"/>
      <c r="G199" s="55"/>
      <c r="H199" s="61"/>
      <c r="I199" s="57">
        <f t="shared" si="6"/>
        <v>0</v>
      </c>
    </row>
    <row r="200" spans="2:9" x14ac:dyDescent="0.25">
      <c r="B200" s="51"/>
      <c r="C200" s="52" t="s">
        <v>330</v>
      </c>
      <c r="D200" s="53" t="s">
        <v>331</v>
      </c>
      <c r="E200" s="52" t="s">
        <v>79</v>
      </c>
      <c r="F200" s="54"/>
      <c r="G200" s="55"/>
      <c r="H200" s="61"/>
      <c r="I200" s="57">
        <f t="shared" si="6"/>
        <v>0</v>
      </c>
    </row>
    <row r="201" spans="2:9" x14ac:dyDescent="0.25">
      <c r="B201" s="51"/>
      <c r="C201" s="52" t="s">
        <v>332</v>
      </c>
      <c r="D201" s="53" t="s">
        <v>333</v>
      </c>
      <c r="E201" s="52" t="s">
        <v>79</v>
      </c>
      <c r="F201" s="54"/>
      <c r="G201" s="55"/>
      <c r="H201" s="61"/>
      <c r="I201" s="57">
        <f t="shared" si="6"/>
        <v>0</v>
      </c>
    </row>
    <row r="202" spans="2:9" x14ac:dyDescent="0.25">
      <c r="B202" s="51"/>
      <c r="C202" s="52" t="s">
        <v>334</v>
      </c>
      <c r="D202" s="53" t="s">
        <v>335</v>
      </c>
      <c r="E202" s="52" t="s">
        <v>79</v>
      </c>
      <c r="F202" s="54"/>
      <c r="G202" s="55"/>
      <c r="H202" s="61"/>
      <c r="I202" s="57">
        <f t="shared" si="6"/>
        <v>0</v>
      </c>
    </row>
    <row r="203" spans="2:9" x14ac:dyDescent="0.25">
      <c r="B203" s="51"/>
      <c r="C203" s="52" t="s">
        <v>336</v>
      </c>
      <c r="D203" s="53" t="s">
        <v>337</v>
      </c>
      <c r="E203" s="52" t="s">
        <v>79</v>
      </c>
      <c r="F203" s="54"/>
      <c r="G203" s="55"/>
      <c r="H203" s="61"/>
      <c r="I203" s="57">
        <f t="shared" si="6"/>
        <v>0</v>
      </c>
    </row>
    <row r="204" spans="2:9" x14ac:dyDescent="0.25">
      <c r="B204" s="51"/>
      <c r="C204" s="52" t="s">
        <v>338</v>
      </c>
      <c r="D204" s="53" t="s">
        <v>339</v>
      </c>
      <c r="E204" s="52" t="s">
        <v>79</v>
      </c>
      <c r="F204" s="54"/>
      <c r="G204" s="55"/>
      <c r="H204" s="61"/>
      <c r="I204" s="57">
        <f t="shared" si="6"/>
        <v>0</v>
      </c>
    </row>
    <row r="205" spans="2:9" x14ac:dyDescent="0.25">
      <c r="B205" s="51"/>
      <c r="C205" s="52" t="s">
        <v>340</v>
      </c>
      <c r="D205" s="53" t="s">
        <v>341</v>
      </c>
      <c r="E205" s="52" t="s">
        <v>79</v>
      </c>
      <c r="F205" s="54"/>
      <c r="G205" s="55"/>
      <c r="H205" s="61"/>
      <c r="I205" s="57">
        <f t="shared" si="6"/>
        <v>0</v>
      </c>
    </row>
    <row r="206" spans="2:9" x14ac:dyDescent="0.25">
      <c r="B206" s="51"/>
      <c r="C206" s="52" t="s">
        <v>342</v>
      </c>
      <c r="D206" s="53" t="s">
        <v>343</v>
      </c>
      <c r="E206" s="52" t="s">
        <v>79</v>
      </c>
      <c r="F206" s="54"/>
      <c r="G206" s="55"/>
      <c r="H206" s="61"/>
      <c r="I206" s="57">
        <f t="shared" si="6"/>
        <v>0</v>
      </c>
    </row>
    <row r="207" spans="2:9" x14ac:dyDescent="0.25">
      <c r="B207" s="51"/>
      <c r="C207" s="52" t="s">
        <v>344</v>
      </c>
      <c r="D207" s="53" t="s">
        <v>345</v>
      </c>
      <c r="E207" s="52" t="s">
        <v>79</v>
      </c>
      <c r="F207" s="54"/>
      <c r="G207" s="63"/>
      <c r="H207" s="218"/>
      <c r="I207" s="57">
        <f t="shared" si="6"/>
        <v>0</v>
      </c>
    </row>
    <row r="208" spans="2:9" x14ac:dyDescent="0.25">
      <c r="B208" s="51"/>
      <c r="C208" s="52" t="s">
        <v>346</v>
      </c>
      <c r="D208" s="53" t="s">
        <v>347</v>
      </c>
      <c r="E208" s="52" t="s">
        <v>79</v>
      </c>
      <c r="F208" s="54"/>
      <c r="G208" s="63"/>
      <c r="H208" s="218"/>
      <c r="I208" s="57">
        <f t="shared" si="6"/>
        <v>0</v>
      </c>
    </row>
    <row r="209" spans="2:12" x14ac:dyDescent="0.25">
      <c r="B209" s="51"/>
      <c r="C209" s="52" t="s">
        <v>348</v>
      </c>
      <c r="D209" s="53" t="s">
        <v>349</v>
      </c>
      <c r="E209" s="52" t="s">
        <v>350</v>
      </c>
      <c r="F209" s="54"/>
      <c r="G209" s="63"/>
      <c r="H209" s="218"/>
      <c r="I209" s="57">
        <f t="shared" si="6"/>
        <v>0</v>
      </c>
    </row>
    <row r="210" spans="2:12" ht="25.5" x14ac:dyDescent="0.25">
      <c r="B210" s="51"/>
      <c r="C210" s="52" t="s">
        <v>351</v>
      </c>
      <c r="D210" s="53" t="s">
        <v>352</v>
      </c>
      <c r="E210" s="52" t="s">
        <v>50</v>
      </c>
      <c r="F210" s="54">
        <v>110</v>
      </c>
      <c r="G210" s="222">
        <v>14.5</v>
      </c>
      <c r="H210" s="223">
        <v>12</v>
      </c>
      <c r="I210" s="57">
        <f t="shared" si="6"/>
        <v>2915</v>
      </c>
    </row>
    <row r="211" spans="2:12" ht="25.5" x14ac:dyDescent="0.25">
      <c r="B211" s="51"/>
      <c r="C211" s="52" t="s">
        <v>353</v>
      </c>
      <c r="D211" s="53" t="s">
        <v>354</v>
      </c>
      <c r="E211" s="52" t="s">
        <v>50</v>
      </c>
      <c r="F211" s="54">
        <v>126</v>
      </c>
      <c r="G211" s="222">
        <v>14.5</v>
      </c>
      <c r="H211" s="223">
        <v>12</v>
      </c>
      <c r="I211" s="57">
        <f t="shared" si="6"/>
        <v>3339</v>
      </c>
    </row>
    <row r="212" spans="2:12" ht="25.5" x14ac:dyDescent="0.25">
      <c r="B212" s="51"/>
      <c r="C212" s="52" t="s">
        <v>355</v>
      </c>
      <c r="D212" s="53" t="s">
        <v>356</v>
      </c>
      <c r="E212" s="52" t="s">
        <v>50</v>
      </c>
      <c r="F212" s="54"/>
      <c r="G212" s="63"/>
      <c r="H212" s="218"/>
      <c r="I212" s="57">
        <f t="shared" si="6"/>
        <v>0</v>
      </c>
    </row>
    <row r="213" spans="2:12" ht="25.5" x14ac:dyDescent="0.25">
      <c r="B213" s="51"/>
      <c r="C213" s="52" t="s">
        <v>357</v>
      </c>
      <c r="D213" s="53" t="s">
        <v>358</v>
      </c>
      <c r="E213" s="52" t="s">
        <v>50</v>
      </c>
      <c r="F213" s="54"/>
      <c r="G213" s="55"/>
      <c r="H213" s="61"/>
      <c r="I213" s="57">
        <f t="shared" si="6"/>
        <v>0</v>
      </c>
    </row>
    <row r="214" spans="2:12" ht="25.5" x14ac:dyDescent="0.25">
      <c r="B214" s="51"/>
      <c r="C214" s="52" t="s">
        <v>359</v>
      </c>
      <c r="D214" s="53" t="s">
        <v>360</v>
      </c>
      <c r="E214" s="52" t="s">
        <v>50</v>
      </c>
      <c r="F214" s="54"/>
      <c r="G214" s="55"/>
      <c r="H214" s="61"/>
      <c r="I214" s="57">
        <f t="shared" si="6"/>
        <v>0</v>
      </c>
    </row>
    <row r="215" spans="2:12" ht="25.5" x14ac:dyDescent="0.25">
      <c r="B215" s="51"/>
      <c r="C215" s="52" t="s">
        <v>361</v>
      </c>
      <c r="D215" s="53" t="s">
        <v>362</v>
      </c>
      <c r="E215" s="52" t="s">
        <v>50</v>
      </c>
      <c r="F215" s="54">
        <v>1</v>
      </c>
      <c r="G215" s="63">
        <v>300</v>
      </c>
      <c r="H215" s="218">
        <v>200</v>
      </c>
      <c r="I215" s="57">
        <f t="shared" si="6"/>
        <v>500</v>
      </c>
    </row>
    <row r="216" spans="2:12" ht="25.5" x14ac:dyDescent="0.25">
      <c r="B216" s="51"/>
      <c r="C216" s="52" t="s">
        <v>363</v>
      </c>
      <c r="D216" s="53" t="s">
        <v>364</v>
      </c>
      <c r="E216" s="52" t="s">
        <v>50</v>
      </c>
      <c r="F216" s="54">
        <v>1</v>
      </c>
      <c r="G216" s="63">
        <v>400</v>
      </c>
      <c r="H216" s="218">
        <v>200</v>
      </c>
      <c r="I216" s="57">
        <f t="shared" si="6"/>
        <v>600</v>
      </c>
    </row>
    <row r="217" spans="2:12" x14ac:dyDescent="0.25">
      <c r="B217" s="51"/>
      <c r="C217" s="52" t="s">
        <v>365</v>
      </c>
      <c r="D217" s="53" t="s">
        <v>366</v>
      </c>
      <c r="E217" s="52" t="s">
        <v>50</v>
      </c>
      <c r="F217" s="54">
        <v>1</v>
      </c>
      <c r="G217" s="63">
        <v>500</v>
      </c>
      <c r="H217" s="218">
        <v>300</v>
      </c>
      <c r="I217" s="57">
        <f t="shared" si="6"/>
        <v>800</v>
      </c>
    </row>
    <row r="218" spans="2:12" x14ac:dyDescent="0.25">
      <c r="B218" s="66">
        <v>810101</v>
      </c>
      <c r="C218" s="67" t="s">
        <v>367</v>
      </c>
      <c r="D218" s="68" t="s">
        <v>368</v>
      </c>
      <c r="E218" s="67"/>
      <c r="F218" s="69"/>
      <c r="G218" s="70"/>
      <c r="H218" s="71"/>
      <c r="I218" s="72">
        <f>SUM(I219:I229)</f>
        <v>43828</v>
      </c>
      <c r="L218" s="228"/>
    </row>
    <row r="219" spans="2:12" ht="25.5" x14ac:dyDescent="0.25">
      <c r="B219" s="51"/>
      <c r="C219" s="52" t="s">
        <v>369</v>
      </c>
      <c r="D219" s="53" t="s">
        <v>370</v>
      </c>
      <c r="E219" s="52" t="s">
        <v>79</v>
      </c>
      <c r="F219" s="88">
        <v>4</v>
      </c>
      <c r="G219" s="63">
        <v>862</v>
      </c>
      <c r="H219" s="218">
        <v>800</v>
      </c>
      <c r="I219" s="65">
        <f t="shared" ref="I219:I229" si="7">F219*G219+F219*H219</f>
        <v>6648</v>
      </c>
    </row>
    <row r="220" spans="2:12" ht="25.5" x14ac:dyDescent="0.25">
      <c r="B220" s="51"/>
      <c r="C220" s="52" t="s">
        <v>371</v>
      </c>
      <c r="D220" s="53" t="s">
        <v>372</v>
      </c>
      <c r="E220" s="52" t="s">
        <v>79</v>
      </c>
      <c r="F220" s="88">
        <v>6</v>
      </c>
      <c r="G220" s="63">
        <v>1500</v>
      </c>
      <c r="H220" s="218">
        <v>900</v>
      </c>
      <c r="I220" s="65">
        <f t="shared" si="7"/>
        <v>14400</v>
      </c>
    </row>
    <row r="221" spans="2:12" x14ac:dyDescent="0.25">
      <c r="B221" s="51"/>
      <c r="C221" s="52" t="s">
        <v>373</v>
      </c>
      <c r="D221" s="53" t="s">
        <v>374</v>
      </c>
      <c r="E221" s="52" t="s">
        <v>79</v>
      </c>
      <c r="F221" s="88">
        <v>1</v>
      </c>
      <c r="G221" s="63">
        <v>1850</v>
      </c>
      <c r="H221" s="218">
        <v>500</v>
      </c>
      <c r="I221" s="65">
        <f t="shared" si="7"/>
        <v>2350</v>
      </c>
    </row>
    <row r="222" spans="2:12" x14ac:dyDescent="0.25">
      <c r="B222" s="51"/>
      <c r="C222" s="52" t="s">
        <v>375</v>
      </c>
      <c r="D222" s="53" t="s">
        <v>376</v>
      </c>
      <c r="E222" s="52" t="s">
        <v>79</v>
      </c>
      <c r="F222" s="88">
        <v>2</v>
      </c>
      <c r="G222" s="63">
        <v>510</v>
      </c>
      <c r="H222" s="218">
        <v>430</v>
      </c>
      <c r="I222" s="65">
        <f t="shared" si="7"/>
        <v>1880</v>
      </c>
    </row>
    <row r="223" spans="2:12" x14ac:dyDescent="0.25">
      <c r="B223" s="51"/>
      <c r="C223" s="52" t="s">
        <v>377</v>
      </c>
      <c r="D223" s="53" t="s">
        <v>378</v>
      </c>
      <c r="E223" s="52" t="s">
        <v>79</v>
      </c>
      <c r="F223" s="88">
        <v>2</v>
      </c>
      <c r="G223" s="63">
        <v>1800</v>
      </c>
      <c r="H223" s="218">
        <v>800</v>
      </c>
      <c r="I223" s="65">
        <f t="shared" si="7"/>
        <v>5200</v>
      </c>
    </row>
    <row r="224" spans="2:12" x14ac:dyDescent="0.25">
      <c r="B224" s="51"/>
      <c r="C224" s="52" t="s">
        <v>379</v>
      </c>
      <c r="D224" s="53" t="s">
        <v>380</v>
      </c>
      <c r="E224" s="52" t="s">
        <v>79</v>
      </c>
      <c r="F224" s="88"/>
      <c r="G224" s="63"/>
      <c r="H224" s="218"/>
      <c r="I224" s="65">
        <f t="shared" si="7"/>
        <v>0</v>
      </c>
    </row>
    <row r="225" spans="2:12" x14ac:dyDescent="0.25">
      <c r="B225" s="51"/>
      <c r="C225" s="52" t="s">
        <v>381</v>
      </c>
      <c r="D225" s="53" t="s">
        <v>382</v>
      </c>
      <c r="E225" s="52" t="s">
        <v>79</v>
      </c>
      <c r="F225" s="88">
        <v>1</v>
      </c>
      <c r="G225" s="63">
        <v>1120</v>
      </c>
      <c r="H225" s="218">
        <v>800</v>
      </c>
      <c r="I225" s="65">
        <f t="shared" si="7"/>
        <v>1920</v>
      </c>
    </row>
    <row r="226" spans="2:12" x14ac:dyDescent="0.25">
      <c r="B226" s="51"/>
      <c r="C226" s="52" t="s">
        <v>383</v>
      </c>
      <c r="D226" s="53" t="s">
        <v>384</v>
      </c>
      <c r="E226" s="52" t="s">
        <v>79</v>
      </c>
      <c r="F226" s="88">
        <v>1</v>
      </c>
      <c r="G226" s="63">
        <v>680</v>
      </c>
      <c r="H226" s="218">
        <v>320</v>
      </c>
      <c r="I226" s="65">
        <f t="shared" si="7"/>
        <v>1000</v>
      </c>
    </row>
    <row r="227" spans="2:12" ht="25.5" x14ac:dyDescent="0.25">
      <c r="B227" s="51"/>
      <c r="C227" s="52" t="s">
        <v>385</v>
      </c>
      <c r="D227" s="53" t="s">
        <v>386</v>
      </c>
      <c r="E227" s="52" t="s">
        <v>79</v>
      </c>
      <c r="F227" s="88">
        <v>1</v>
      </c>
      <c r="G227" s="63"/>
      <c r="H227" s="218">
        <v>650</v>
      </c>
      <c r="I227" s="65">
        <f t="shared" si="7"/>
        <v>650</v>
      </c>
    </row>
    <row r="228" spans="2:12" x14ac:dyDescent="0.25">
      <c r="B228" s="51"/>
      <c r="C228" s="52" t="s">
        <v>387</v>
      </c>
      <c r="D228" s="53" t="s">
        <v>388</v>
      </c>
      <c r="E228" s="52" t="s">
        <v>79</v>
      </c>
      <c r="F228" s="88">
        <v>6</v>
      </c>
      <c r="G228" s="63">
        <v>710</v>
      </c>
      <c r="H228" s="218">
        <v>300</v>
      </c>
      <c r="I228" s="65">
        <f t="shared" si="7"/>
        <v>6060</v>
      </c>
    </row>
    <row r="229" spans="2:12" x14ac:dyDescent="0.25">
      <c r="B229" s="51"/>
      <c r="C229" s="52" t="s">
        <v>389</v>
      </c>
      <c r="D229" s="53" t="s">
        <v>390</v>
      </c>
      <c r="E229" s="52" t="s">
        <v>79</v>
      </c>
      <c r="F229" s="88">
        <v>4</v>
      </c>
      <c r="G229" s="222">
        <v>650</v>
      </c>
      <c r="H229" s="218">
        <v>280</v>
      </c>
      <c r="I229" s="65">
        <f t="shared" si="7"/>
        <v>3720</v>
      </c>
    </row>
    <row r="230" spans="2:12" x14ac:dyDescent="0.25">
      <c r="B230" s="66">
        <v>810101</v>
      </c>
      <c r="C230" s="67" t="s">
        <v>391</v>
      </c>
      <c r="D230" s="68" t="s">
        <v>392</v>
      </c>
      <c r="E230" s="67"/>
      <c r="F230" s="69"/>
      <c r="G230" s="70"/>
      <c r="H230" s="71"/>
      <c r="I230" s="72">
        <f>SUM(I231:I247)</f>
        <v>4100</v>
      </c>
      <c r="L230" s="228"/>
    </row>
    <row r="231" spans="2:12" ht="25.5" x14ac:dyDescent="0.25">
      <c r="B231" s="51"/>
      <c r="C231" s="52" t="s">
        <v>393</v>
      </c>
      <c r="D231" s="53" t="s">
        <v>394</v>
      </c>
      <c r="E231" s="52" t="s">
        <v>37</v>
      </c>
      <c r="F231" s="54"/>
      <c r="G231" s="63"/>
      <c r="H231" s="218"/>
      <c r="I231" s="57">
        <f t="shared" ref="I231:I247" si="8">F231*G231+F231*H231</f>
        <v>0</v>
      </c>
    </row>
    <row r="232" spans="2:12" ht="25.5" x14ac:dyDescent="0.25">
      <c r="B232" s="51"/>
      <c r="C232" s="52" t="s">
        <v>395</v>
      </c>
      <c r="D232" s="53" t="s">
        <v>396</v>
      </c>
      <c r="E232" s="52" t="s">
        <v>37</v>
      </c>
      <c r="F232" s="54">
        <v>48</v>
      </c>
      <c r="G232" s="63">
        <v>40</v>
      </c>
      <c r="H232" s="218">
        <v>27</v>
      </c>
      <c r="I232" s="57">
        <f t="shared" si="8"/>
        <v>3216</v>
      </c>
    </row>
    <row r="233" spans="2:12" ht="25.5" x14ac:dyDescent="0.25">
      <c r="B233" s="51"/>
      <c r="C233" s="52" t="s">
        <v>397</v>
      </c>
      <c r="D233" s="53" t="s">
        <v>398</v>
      </c>
      <c r="E233" s="52" t="s">
        <v>37</v>
      </c>
      <c r="F233" s="54"/>
      <c r="G233" s="63"/>
      <c r="H233" s="218"/>
      <c r="I233" s="57">
        <f t="shared" si="8"/>
        <v>0</v>
      </c>
    </row>
    <row r="234" spans="2:12" ht="25.5" x14ac:dyDescent="0.25">
      <c r="B234" s="51"/>
      <c r="C234" s="52" t="s">
        <v>399</v>
      </c>
      <c r="D234" s="53" t="s">
        <v>400</v>
      </c>
      <c r="E234" s="52" t="s">
        <v>37</v>
      </c>
      <c r="F234" s="54"/>
      <c r="G234" s="63"/>
      <c r="H234" s="218"/>
      <c r="I234" s="57">
        <f t="shared" si="8"/>
        <v>0</v>
      </c>
    </row>
    <row r="235" spans="2:12" ht="25.5" x14ac:dyDescent="0.25">
      <c r="B235" s="51"/>
      <c r="C235" s="52" t="s">
        <v>401</v>
      </c>
      <c r="D235" s="53" t="s">
        <v>402</v>
      </c>
      <c r="E235" s="52" t="s">
        <v>37</v>
      </c>
      <c r="F235" s="54"/>
      <c r="G235" s="63"/>
      <c r="H235" s="218"/>
      <c r="I235" s="57">
        <f t="shared" si="8"/>
        <v>0</v>
      </c>
    </row>
    <row r="236" spans="2:12" ht="25.5" x14ac:dyDescent="0.25">
      <c r="B236" s="51"/>
      <c r="C236" s="52" t="s">
        <v>403</v>
      </c>
      <c r="D236" s="53" t="s">
        <v>404</v>
      </c>
      <c r="E236" s="52" t="s">
        <v>50</v>
      </c>
      <c r="F236" s="54"/>
      <c r="G236" s="63"/>
      <c r="H236" s="218"/>
      <c r="I236" s="57">
        <f t="shared" si="8"/>
        <v>0</v>
      </c>
    </row>
    <row r="237" spans="2:12" ht="25.5" x14ac:dyDescent="0.25">
      <c r="B237" s="51"/>
      <c r="C237" s="52" t="s">
        <v>405</v>
      </c>
      <c r="D237" s="53" t="s">
        <v>406</v>
      </c>
      <c r="E237" s="52" t="s">
        <v>50</v>
      </c>
      <c r="F237" s="54">
        <v>24</v>
      </c>
      <c r="G237" s="63">
        <v>17</v>
      </c>
      <c r="H237" s="218">
        <v>11.5</v>
      </c>
      <c r="I237" s="57">
        <f t="shared" si="8"/>
        <v>684</v>
      </c>
    </row>
    <row r="238" spans="2:12" ht="25.5" x14ac:dyDescent="0.25">
      <c r="B238" s="51"/>
      <c r="C238" s="52" t="s">
        <v>407</v>
      </c>
      <c r="D238" s="53" t="s">
        <v>408</v>
      </c>
      <c r="E238" s="52" t="s">
        <v>50</v>
      </c>
      <c r="F238" s="54"/>
      <c r="G238" s="63"/>
      <c r="H238" s="218"/>
      <c r="I238" s="57">
        <f t="shared" si="8"/>
        <v>0</v>
      </c>
    </row>
    <row r="239" spans="2:12" ht="25.5" x14ac:dyDescent="0.25">
      <c r="B239" s="51"/>
      <c r="C239" s="52" t="s">
        <v>409</v>
      </c>
      <c r="D239" s="53" t="s">
        <v>410</v>
      </c>
      <c r="E239" s="52" t="s">
        <v>50</v>
      </c>
      <c r="F239" s="54"/>
      <c r="G239" s="63"/>
      <c r="H239" s="218"/>
      <c r="I239" s="57">
        <f t="shared" si="8"/>
        <v>0</v>
      </c>
    </row>
    <row r="240" spans="2:12" ht="25.5" x14ac:dyDescent="0.25">
      <c r="B240" s="51"/>
      <c r="C240" s="52" t="s">
        <v>411</v>
      </c>
      <c r="D240" s="53" t="s">
        <v>412</v>
      </c>
      <c r="E240" s="52" t="s">
        <v>50</v>
      </c>
      <c r="F240" s="54"/>
      <c r="G240" s="63"/>
      <c r="H240" s="218"/>
      <c r="I240" s="57">
        <f t="shared" si="8"/>
        <v>0</v>
      </c>
    </row>
    <row r="241" spans="2:12" x14ac:dyDescent="0.25">
      <c r="B241" s="51"/>
      <c r="C241" s="52" t="s">
        <v>413</v>
      </c>
      <c r="D241" s="53" t="s">
        <v>414</v>
      </c>
      <c r="E241" s="52" t="s">
        <v>50</v>
      </c>
      <c r="F241" s="54"/>
      <c r="G241" s="63"/>
      <c r="H241" s="218"/>
      <c r="I241" s="57">
        <f t="shared" si="8"/>
        <v>0</v>
      </c>
    </row>
    <row r="242" spans="2:12" x14ac:dyDescent="0.25">
      <c r="B242" s="51"/>
      <c r="C242" s="52" t="s">
        <v>415</v>
      </c>
      <c r="D242" s="53" t="s">
        <v>416</v>
      </c>
      <c r="E242" s="52" t="s">
        <v>79</v>
      </c>
      <c r="F242" s="54"/>
      <c r="G242" s="63"/>
      <c r="H242" s="218"/>
      <c r="I242" s="57">
        <f t="shared" si="8"/>
        <v>0</v>
      </c>
    </row>
    <row r="243" spans="2:12" x14ac:dyDescent="0.25">
      <c r="B243" s="51"/>
      <c r="C243" s="52" t="s">
        <v>417</v>
      </c>
      <c r="D243" s="53" t="s">
        <v>418</v>
      </c>
      <c r="E243" s="52" t="s">
        <v>79</v>
      </c>
      <c r="F243" s="54"/>
      <c r="G243" s="63"/>
      <c r="H243" s="218"/>
      <c r="I243" s="57">
        <f t="shared" si="8"/>
        <v>0</v>
      </c>
    </row>
    <row r="244" spans="2:12" x14ac:dyDescent="0.25">
      <c r="B244" s="51"/>
      <c r="C244" s="52" t="s">
        <v>419</v>
      </c>
      <c r="D244" s="53" t="s">
        <v>420</v>
      </c>
      <c r="E244" s="52" t="s">
        <v>79</v>
      </c>
      <c r="F244" s="54"/>
      <c r="G244" s="63"/>
      <c r="H244" s="218"/>
      <c r="I244" s="57">
        <f t="shared" si="8"/>
        <v>0</v>
      </c>
    </row>
    <row r="245" spans="2:12" x14ac:dyDescent="0.25">
      <c r="B245" s="51"/>
      <c r="C245" s="52" t="s">
        <v>421</v>
      </c>
      <c r="D245" s="53" t="s">
        <v>422</v>
      </c>
      <c r="E245" s="52" t="s">
        <v>79</v>
      </c>
      <c r="F245" s="54"/>
      <c r="G245" s="63"/>
      <c r="H245" s="218"/>
      <c r="I245" s="57">
        <f t="shared" si="8"/>
        <v>0</v>
      </c>
    </row>
    <row r="246" spans="2:12" x14ac:dyDescent="0.25">
      <c r="B246" s="51"/>
      <c r="C246" s="52" t="s">
        <v>423</v>
      </c>
      <c r="D246" s="53" t="s">
        <v>424</v>
      </c>
      <c r="E246" s="52" t="s">
        <v>50</v>
      </c>
      <c r="F246" s="54"/>
      <c r="G246" s="63"/>
      <c r="H246" s="218"/>
      <c r="I246" s="57">
        <f t="shared" si="8"/>
        <v>0</v>
      </c>
    </row>
    <row r="247" spans="2:12" x14ac:dyDescent="0.25">
      <c r="B247" s="51"/>
      <c r="C247" s="52" t="s">
        <v>425</v>
      </c>
      <c r="D247" s="53" t="s">
        <v>366</v>
      </c>
      <c r="E247" s="52" t="s">
        <v>50</v>
      </c>
      <c r="F247" s="54">
        <v>1</v>
      </c>
      <c r="G247" s="63">
        <v>100</v>
      </c>
      <c r="H247" s="218">
        <v>100</v>
      </c>
      <c r="I247" s="57">
        <f t="shared" si="8"/>
        <v>200</v>
      </c>
    </row>
    <row r="248" spans="2:12" x14ac:dyDescent="0.25">
      <c r="B248" s="75"/>
      <c r="C248" s="76" t="s">
        <v>426</v>
      </c>
      <c r="D248" s="77" t="s">
        <v>427</v>
      </c>
      <c r="E248" s="78"/>
      <c r="F248" s="79"/>
      <c r="G248" s="71"/>
      <c r="H248" s="71"/>
      <c r="I248" s="72">
        <f>I249</f>
        <v>0</v>
      </c>
    </row>
    <row r="249" spans="2:12" x14ac:dyDescent="0.25">
      <c r="B249" s="66">
        <v>810103</v>
      </c>
      <c r="C249" s="67" t="s">
        <v>428</v>
      </c>
      <c r="D249" s="68" t="s">
        <v>429</v>
      </c>
      <c r="E249" s="67"/>
      <c r="F249" s="69"/>
      <c r="G249" s="70"/>
      <c r="H249" s="71"/>
      <c r="I249" s="72">
        <f>SUM(I250:I260)</f>
        <v>0</v>
      </c>
      <c r="L249" s="228"/>
    </row>
    <row r="250" spans="2:12" x14ac:dyDescent="0.25">
      <c r="B250" s="51"/>
      <c r="C250" s="52" t="s">
        <v>430</v>
      </c>
      <c r="D250" s="53" t="s">
        <v>56</v>
      </c>
      <c r="E250" s="52" t="s">
        <v>37</v>
      </c>
      <c r="F250" s="88"/>
      <c r="G250" s="63"/>
      <c r="H250" s="64"/>
      <c r="I250" s="65">
        <f t="shared" ref="I250:I260" si="9">G250*F250+H250*F250</f>
        <v>0</v>
      </c>
    </row>
    <row r="251" spans="2:12" x14ac:dyDescent="0.25">
      <c r="B251" s="51"/>
      <c r="C251" s="52" t="s">
        <v>431</v>
      </c>
      <c r="D251" s="53" t="s">
        <v>58</v>
      </c>
      <c r="E251" s="52" t="s">
        <v>37</v>
      </c>
      <c r="F251" s="88"/>
      <c r="G251" s="63"/>
      <c r="H251" s="64"/>
      <c r="I251" s="65">
        <f t="shared" si="9"/>
        <v>0</v>
      </c>
    </row>
    <row r="252" spans="2:12" ht="25.5" x14ac:dyDescent="0.25">
      <c r="B252" s="51"/>
      <c r="C252" s="52" t="s">
        <v>432</v>
      </c>
      <c r="D252" s="53" t="s">
        <v>74</v>
      </c>
      <c r="E252" s="52" t="s">
        <v>50</v>
      </c>
      <c r="F252" s="88"/>
      <c r="G252" s="63"/>
      <c r="H252" s="64"/>
      <c r="I252" s="65">
        <f t="shared" si="9"/>
        <v>0</v>
      </c>
    </row>
    <row r="253" spans="2:12" ht="25.5" x14ac:dyDescent="0.25">
      <c r="B253" s="51"/>
      <c r="C253" s="52" t="s">
        <v>433</v>
      </c>
      <c r="D253" s="62" t="s">
        <v>434</v>
      </c>
      <c r="E253" s="52" t="s">
        <v>50</v>
      </c>
      <c r="F253" s="88"/>
      <c r="G253" s="63"/>
      <c r="H253" s="64"/>
      <c r="I253" s="65">
        <f t="shared" si="9"/>
        <v>0</v>
      </c>
    </row>
    <row r="254" spans="2:12" x14ac:dyDescent="0.25">
      <c r="B254" s="51"/>
      <c r="C254" s="52" t="s">
        <v>435</v>
      </c>
      <c r="D254" s="53" t="s">
        <v>78</v>
      </c>
      <c r="E254" s="52" t="s">
        <v>79</v>
      </c>
      <c r="F254" s="88"/>
      <c r="G254" s="63"/>
      <c r="H254" s="64"/>
      <c r="I254" s="65">
        <f t="shared" si="9"/>
        <v>0</v>
      </c>
    </row>
    <row r="255" spans="2:12" x14ac:dyDescent="0.25">
      <c r="B255" s="51"/>
      <c r="C255" s="52" t="s">
        <v>436</v>
      </c>
      <c r="D255" s="53" t="s">
        <v>195</v>
      </c>
      <c r="E255" s="52" t="s">
        <v>79</v>
      </c>
      <c r="F255" s="88"/>
      <c r="G255" s="63"/>
      <c r="H255" s="64"/>
      <c r="I255" s="65">
        <f t="shared" si="9"/>
        <v>0</v>
      </c>
    </row>
    <row r="256" spans="2:12" ht="25.5" x14ac:dyDescent="0.25">
      <c r="B256" s="51"/>
      <c r="C256" s="52" t="s">
        <v>437</v>
      </c>
      <c r="D256" s="62" t="s">
        <v>93</v>
      </c>
      <c r="E256" s="52" t="s">
        <v>50</v>
      </c>
      <c r="F256" s="88"/>
      <c r="G256" s="63"/>
      <c r="H256" s="64"/>
      <c r="I256" s="65">
        <f t="shared" si="9"/>
        <v>0</v>
      </c>
    </row>
    <row r="257" spans="2:12" ht="25.5" x14ac:dyDescent="0.25">
      <c r="B257" s="51"/>
      <c r="C257" s="52" t="s">
        <v>438</v>
      </c>
      <c r="D257" s="73" t="s">
        <v>95</v>
      </c>
      <c r="E257" s="52" t="s">
        <v>50</v>
      </c>
      <c r="F257" s="88"/>
      <c r="G257" s="63"/>
      <c r="H257" s="64"/>
      <c r="I257" s="65">
        <f t="shared" si="9"/>
        <v>0</v>
      </c>
    </row>
    <row r="258" spans="2:12" x14ac:dyDescent="0.25">
      <c r="B258" s="51"/>
      <c r="C258" s="52" t="s">
        <v>439</v>
      </c>
      <c r="D258" s="53" t="s">
        <v>440</v>
      </c>
      <c r="E258" s="52" t="s">
        <v>37</v>
      </c>
      <c r="F258" s="88"/>
      <c r="G258" s="63"/>
      <c r="H258" s="64"/>
      <c r="I258" s="65">
        <f t="shared" si="9"/>
        <v>0</v>
      </c>
    </row>
    <row r="259" spans="2:12" x14ac:dyDescent="0.25">
      <c r="B259" s="51"/>
      <c r="C259" s="52" t="s">
        <v>441</v>
      </c>
      <c r="D259" s="53" t="s">
        <v>97</v>
      </c>
      <c r="E259" s="52" t="s">
        <v>37</v>
      </c>
      <c r="F259" s="88"/>
      <c r="G259" s="63"/>
      <c r="H259" s="64"/>
      <c r="I259" s="65">
        <f t="shared" si="9"/>
        <v>0</v>
      </c>
    </row>
    <row r="260" spans="2:12" x14ac:dyDescent="0.25">
      <c r="B260" s="51"/>
      <c r="C260" s="52" t="s">
        <v>442</v>
      </c>
      <c r="D260" s="80" t="s">
        <v>309</v>
      </c>
      <c r="E260" s="52" t="s">
        <v>50</v>
      </c>
      <c r="F260" s="88"/>
      <c r="G260" s="63"/>
      <c r="H260" s="64"/>
      <c r="I260" s="65">
        <f t="shared" si="9"/>
        <v>0</v>
      </c>
    </row>
    <row r="261" spans="2:12" x14ac:dyDescent="0.25">
      <c r="B261" s="75"/>
      <c r="C261" s="76" t="s">
        <v>443</v>
      </c>
      <c r="D261" s="77" t="s">
        <v>444</v>
      </c>
      <c r="E261" s="78"/>
      <c r="F261" s="79"/>
      <c r="G261" s="71"/>
      <c r="H261" s="71"/>
      <c r="I261" s="72">
        <f>I262+I315+I360</f>
        <v>30613</v>
      </c>
    </row>
    <row r="262" spans="2:12" x14ac:dyDescent="0.25">
      <c r="B262" s="66">
        <v>810104</v>
      </c>
      <c r="C262" s="67" t="s">
        <v>445</v>
      </c>
      <c r="D262" s="81" t="s">
        <v>446</v>
      </c>
      <c r="E262" s="67"/>
      <c r="F262" s="69"/>
      <c r="G262" s="70"/>
      <c r="H262" s="71"/>
      <c r="I262" s="72">
        <f>SUM(I263:I314)</f>
        <v>0</v>
      </c>
      <c r="L262" s="228"/>
    </row>
    <row r="263" spans="2:12" ht="25.5" x14ac:dyDescent="0.25">
      <c r="B263" s="51"/>
      <c r="C263" s="52" t="s">
        <v>447</v>
      </c>
      <c r="D263" s="53" t="s">
        <v>448</v>
      </c>
      <c r="E263" s="52" t="s">
        <v>37</v>
      </c>
      <c r="F263" s="54"/>
      <c r="G263" s="55"/>
      <c r="H263" s="56"/>
      <c r="I263" s="65">
        <f t="shared" ref="I263:I314" si="10">G263*F263+H263*F263</f>
        <v>0</v>
      </c>
    </row>
    <row r="264" spans="2:12" ht="25.5" x14ac:dyDescent="0.25">
      <c r="B264" s="51"/>
      <c r="C264" s="52" t="s">
        <v>449</v>
      </c>
      <c r="D264" s="53" t="s">
        <v>450</v>
      </c>
      <c r="E264" s="52" t="s">
        <v>37</v>
      </c>
      <c r="F264" s="54"/>
      <c r="G264" s="55"/>
      <c r="H264" s="56"/>
      <c r="I264" s="65">
        <f t="shared" si="10"/>
        <v>0</v>
      </c>
    </row>
    <row r="265" spans="2:12" ht="25.5" x14ac:dyDescent="0.25">
      <c r="B265" s="51"/>
      <c r="C265" s="52" t="s">
        <v>451</v>
      </c>
      <c r="D265" s="53" t="s">
        <v>452</v>
      </c>
      <c r="E265" s="52" t="s">
        <v>37</v>
      </c>
      <c r="F265" s="54"/>
      <c r="G265" s="55"/>
      <c r="H265" s="56"/>
      <c r="I265" s="65">
        <f t="shared" si="10"/>
        <v>0</v>
      </c>
    </row>
    <row r="266" spans="2:12" ht="25.5" x14ac:dyDescent="0.25">
      <c r="B266" s="51"/>
      <c r="C266" s="52" t="s">
        <v>453</v>
      </c>
      <c r="D266" s="53" t="s">
        <v>41</v>
      </c>
      <c r="E266" s="52" t="s">
        <v>37</v>
      </c>
      <c r="F266" s="54"/>
      <c r="G266" s="55"/>
      <c r="H266" s="56"/>
      <c r="I266" s="65">
        <f t="shared" si="10"/>
        <v>0</v>
      </c>
    </row>
    <row r="267" spans="2:12" ht="25.5" x14ac:dyDescent="0.25">
      <c r="B267" s="51"/>
      <c r="C267" s="52" t="s">
        <v>454</v>
      </c>
      <c r="D267" s="53" t="s">
        <v>43</v>
      </c>
      <c r="E267" s="52" t="s">
        <v>37</v>
      </c>
      <c r="F267" s="54"/>
      <c r="G267" s="55"/>
      <c r="H267" s="56"/>
      <c r="I267" s="65">
        <f t="shared" si="10"/>
        <v>0</v>
      </c>
    </row>
    <row r="268" spans="2:12" ht="51" x14ac:dyDescent="0.25">
      <c r="B268" s="51"/>
      <c r="C268" s="52" t="s">
        <v>455</v>
      </c>
      <c r="D268" s="53" t="s">
        <v>49</v>
      </c>
      <c r="E268" s="52" t="s">
        <v>50</v>
      </c>
      <c r="F268" s="54"/>
      <c r="G268" s="55"/>
      <c r="H268" s="56"/>
      <c r="I268" s="65">
        <f t="shared" si="10"/>
        <v>0</v>
      </c>
    </row>
    <row r="269" spans="2:12" x14ac:dyDescent="0.25">
      <c r="B269" s="51"/>
      <c r="C269" s="52" t="s">
        <v>456</v>
      </c>
      <c r="D269" s="53" t="s">
        <v>52</v>
      </c>
      <c r="E269" s="52" t="s">
        <v>37</v>
      </c>
      <c r="F269" s="54"/>
      <c r="G269" s="55"/>
      <c r="H269" s="56"/>
      <c r="I269" s="65">
        <f t="shared" si="10"/>
        <v>0</v>
      </c>
    </row>
    <row r="270" spans="2:12" ht="38.25" x14ac:dyDescent="0.25">
      <c r="B270" s="51"/>
      <c r="C270" s="52" t="s">
        <v>457</v>
      </c>
      <c r="D270" s="53" t="s">
        <v>54</v>
      </c>
      <c r="E270" s="52" t="s">
        <v>50</v>
      </c>
      <c r="F270" s="54"/>
      <c r="G270" s="55"/>
      <c r="H270" s="56"/>
      <c r="I270" s="65">
        <f t="shared" si="10"/>
        <v>0</v>
      </c>
    </row>
    <row r="271" spans="2:12" x14ac:dyDescent="0.25">
      <c r="B271" s="51"/>
      <c r="C271" s="52" t="s">
        <v>458</v>
      </c>
      <c r="D271" s="53" t="s">
        <v>56</v>
      </c>
      <c r="E271" s="52" t="s">
        <v>37</v>
      </c>
      <c r="F271" s="54"/>
      <c r="G271" s="55"/>
      <c r="H271" s="61"/>
      <c r="I271" s="65">
        <f t="shared" si="10"/>
        <v>0</v>
      </c>
    </row>
    <row r="272" spans="2:12" x14ac:dyDescent="0.25">
      <c r="B272" s="51"/>
      <c r="C272" s="52" t="s">
        <v>459</v>
      </c>
      <c r="D272" s="53" t="s">
        <v>58</v>
      </c>
      <c r="E272" s="52" t="s">
        <v>37</v>
      </c>
      <c r="F272" s="54"/>
      <c r="G272" s="55"/>
      <c r="H272" s="56"/>
      <c r="I272" s="65">
        <f t="shared" si="10"/>
        <v>0</v>
      </c>
    </row>
    <row r="273" spans="2:9" x14ac:dyDescent="0.25">
      <c r="B273" s="51"/>
      <c r="C273" s="52" t="s">
        <v>460</v>
      </c>
      <c r="D273" s="53" t="s">
        <v>60</v>
      </c>
      <c r="E273" s="52" t="s">
        <v>37</v>
      </c>
      <c r="F273" s="54"/>
      <c r="G273" s="55"/>
      <c r="H273" s="56"/>
      <c r="I273" s="65">
        <f t="shared" si="10"/>
        <v>0</v>
      </c>
    </row>
    <row r="274" spans="2:9" x14ac:dyDescent="0.25">
      <c r="B274" s="51"/>
      <c r="C274" s="52" t="s">
        <v>461</v>
      </c>
      <c r="D274" s="53" t="s">
        <v>62</v>
      </c>
      <c r="E274" s="52" t="s">
        <v>37</v>
      </c>
      <c r="F274" s="54"/>
      <c r="G274" s="55"/>
      <c r="H274" s="56"/>
      <c r="I274" s="65">
        <f t="shared" si="10"/>
        <v>0</v>
      </c>
    </row>
    <row r="275" spans="2:9" x14ac:dyDescent="0.25">
      <c r="B275" s="51"/>
      <c r="C275" s="52" t="s">
        <v>462</v>
      </c>
      <c r="D275" s="53" t="s">
        <v>64</v>
      </c>
      <c r="E275" s="52" t="s">
        <v>37</v>
      </c>
      <c r="F275" s="54"/>
      <c r="G275" s="55"/>
      <c r="H275" s="61"/>
      <c r="I275" s="65">
        <f t="shared" si="10"/>
        <v>0</v>
      </c>
    </row>
    <row r="276" spans="2:9" x14ac:dyDescent="0.25">
      <c r="B276" s="51"/>
      <c r="C276" s="52" t="s">
        <v>463</v>
      </c>
      <c r="D276" s="53" t="s">
        <v>66</v>
      </c>
      <c r="E276" s="52" t="s">
        <v>37</v>
      </c>
      <c r="F276" s="54"/>
      <c r="G276" s="55"/>
      <c r="H276" s="56"/>
      <c r="I276" s="65">
        <f t="shared" si="10"/>
        <v>0</v>
      </c>
    </row>
    <row r="277" spans="2:9" x14ac:dyDescent="0.25">
      <c r="B277" s="51"/>
      <c r="C277" s="52" t="s">
        <v>464</v>
      </c>
      <c r="D277" s="53" t="s">
        <v>68</v>
      </c>
      <c r="E277" s="52" t="s">
        <v>37</v>
      </c>
      <c r="F277" s="54"/>
      <c r="G277" s="55"/>
      <c r="H277" s="56"/>
      <c r="I277" s="65">
        <f t="shared" si="10"/>
        <v>0</v>
      </c>
    </row>
    <row r="278" spans="2:9" ht="25.5" x14ac:dyDescent="0.25">
      <c r="B278" s="51"/>
      <c r="C278" s="52" t="s">
        <v>465</v>
      </c>
      <c r="D278" s="53" t="s">
        <v>74</v>
      </c>
      <c r="E278" s="52" t="s">
        <v>50</v>
      </c>
      <c r="F278" s="54"/>
      <c r="G278" s="55"/>
      <c r="H278" s="56"/>
      <c r="I278" s="65">
        <f t="shared" si="10"/>
        <v>0</v>
      </c>
    </row>
    <row r="279" spans="2:9" ht="25.5" x14ac:dyDescent="0.25">
      <c r="B279" s="51"/>
      <c r="C279" s="52" t="s">
        <v>466</v>
      </c>
      <c r="D279" s="73" t="s">
        <v>76</v>
      </c>
      <c r="E279" s="52" t="s">
        <v>50</v>
      </c>
      <c r="F279" s="54"/>
      <c r="G279" s="55"/>
      <c r="H279" s="56"/>
      <c r="I279" s="65">
        <f t="shared" si="10"/>
        <v>0</v>
      </c>
    </row>
    <row r="280" spans="2:9" x14ac:dyDescent="0.25">
      <c r="B280" s="51"/>
      <c r="C280" s="52" t="s">
        <v>467</v>
      </c>
      <c r="D280" s="53" t="s">
        <v>78</v>
      </c>
      <c r="E280" s="52" t="s">
        <v>79</v>
      </c>
      <c r="F280" s="54"/>
      <c r="G280" s="55"/>
      <c r="H280" s="61"/>
      <c r="I280" s="65">
        <f t="shared" si="10"/>
        <v>0</v>
      </c>
    </row>
    <row r="281" spans="2:9" x14ac:dyDescent="0.25">
      <c r="B281" s="51"/>
      <c r="C281" s="52" t="s">
        <v>468</v>
      </c>
      <c r="D281" s="53" t="s">
        <v>195</v>
      </c>
      <c r="E281" s="52" t="s">
        <v>79</v>
      </c>
      <c r="F281" s="54"/>
      <c r="G281" s="55"/>
      <c r="H281" s="56"/>
      <c r="I281" s="65">
        <f t="shared" si="10"/>
        <v>0</v>
      </c>
    </row>
    <row r="282" spans="2:9" x14ac:dyDescent="0.25">
      <c r="B282" s="51"/>
      <c r="C282" s="52" t="s">
        <v>469</v>
      </c>
      <c r="D282" s="53" t="s">
        <v>81</v>
      </c>
      <c r="E282" s="52" t="s">
        <v>79</v>
      </c>
      <c r="F282" s="54"/>
      <c r="G282" s="55"/>
      <c r="H282" s="56"/>
      <c r="I282" s="65">
        <f t="shared" si="10"/>
        <v>0</v>
      </c>
    </row>
    <row r="283" spans="2:9" x14ac:dyDescent="0.25">
      <c r="B283" s="51"/>
      <c r="C283" s="52" t="s">
        <v>470</v>
      </c>
      <c r="D283" s="53" t="s">
        <v>83</v>
      </c>
      <c r="E283" s="52" t="s">
        <v>79</v>
      </c>
      <c r="F283" s="54"/>
      <c r="G283" s="55"/>
      <c r="H283" s="61"/>
      <c r="I283" s="65">
        <f t="shared" si="10"/>
        <v>0</v>
      </c>
    </row>
    <row r="284" spans="2:9" x14ac:dyDescent="0.25">
      <c r="B284" s="51"/>
      <c r="C284" s="52" t="s">
        <v>471</v>
      </c>
      <c r="D284" s="53" t="s">
        <v>85</v>
      </c>
      <c r="E284" s="52" t="s">
        <v>79</v>
      </c>
      <c r="F284" s="54"/>
      <c r="G284" s="55"/>
      <c r="H284" s="61"/>
      <c r="I284" s="65">
        <f t="shared" si="10"/>
        <v>0</v>
      </c>
    </row>
    <row r="285" spans="2:9" x14ac:dyDescent="0.25">
      <c r="B285" s="51"/>
      <c r="C285" s="52" t="s">
        <v>472</v>
      </c>
      <c r="D285" s="53" t="s">
        <v>87</v>
      </c>
      <c r="E285" s="52" t="s">
        <v>79</v>
      </c>
      <c r="F285" s="54"/>
      <c r="G285" s="55"/>
      <c r="H285" s="56"/>
      <c r="I285" s="65">
        <f t="shared" si="10"/>
        <v>0</v>
      </c>
    </row>
    <row r="286" spans="2:9" ht="25.5" x14ac:dyDescent="0.25">
      <c r="B286" s="51"/>
      <c r="C286" s="52" t="s">
        <v>473</v>
      </c>
      <c r="D286" s="73" t="s">
        <v>93</v>
      </c>
      <c r="E286" s="52" t="s">
        <v>50</v>
      </c>
      <c r="F286" s="54"/>
      <c r="G286" s="55"/>
      <c r="H286" s="56"/>
      <c r="I286" s="65">
        <f t="shared" si="10"/>
        <v>0</v>
      </c>
    </row>
    <row r="287" spans="2:9" ht="25.5" x14ac:dyDescent="0.25">
      <c r="B287" s="51"/>
      <c r="C287" s="52" t="s">
        <v>474</v>
      </c>
      <c r="D287" s="73" t="s">
        <v>95</v>
      </c>
      <c r="E287" s="52" t="s">
        <v>50</v>
      </c>
      <c r="F287" s="54"/>
      <c r="G287" s="55"/>
      <c r="H287" s="56"/>
      <c r="I287" s="65">
        <f t="shared" si="10"/>
        <v>0</v>
      </c>
    </row>
    <row r="288" spans="2:9" x14ac:dyDescent="0.25">
      <c r="B288" s="51"/>
      <c r="C288" s="52" t="s">
        <v>475</v>
      </c>
      <c r="D288" s="53" t="s">
        <v>476</v>
      </c>
      <c r="E288" s="52" t="s">
        <v>37</v>
      </c>
      <c r="F288" s="54"/>
      <c r="G288" s="55"/>
      <c r="H288" s="56"/>
      <c r="I288" s="65">
        <f t="shared" si="10"/>
        <v>0</v>
      </c>
    </row>
    <row r="289" spans="2:9" x14ac:dyDescent="0.25">
      <c r="B289" s="51"/>
      <c r="C289" s="52" t="s">
        <v>477</v>
      </c>
      <c r="D289" s="53" t="s">
        <v>478</v>
      </c>
      <c r="E289" s="52" t="s">
        <v>37</v>
      </c>
      <c r="F289" s="54"/>
      <c r="G289" s="55"/>
      <c r="H289" s="56"/>
      <c r="I289" s="65">
        <f t="shared" si="10"/>
        <v>0</v>
      </c>
    </row>
    <row r="290" spans="2:9" x14ac:dyDescent="0.25">
      <c r="B290" s="51"/>
      <c r="C290" s="52" t="s">
        <v>479</v>
      </c>
      <c r="D290" s="53" t="s">
        <v>480</v>
      </c>
      <c r="E290" s="52" t="s">
        <v>37</v>
      </c>
      <c r="F290" s="54"/>
      <c r="G290" s="55"/>
      <c r="H290" s="56"/>
      <c r="I290" s="65">
        <f t="shared" si="10"/>
        <v>0</v>
      </c>
    </row>
    <row r="291" spans="2:9" x14ac:dyDescent="0.25">
      <c r="B291" s="51"/>
      <c r="C291" s="52" t="s">
        <v>481</v>
      </c>
      <c r="D291" s="53" t="s">
        <v>482</v>
      </c>
      <c r="E291" s="52" t="s">
        <v>37</v>
      </c>
      <c r="F291" s="54"/>
      <c r="G291" s="55"/>
      <c r="H291" s="56"/>
      <c r="I291" s="65">
        <f t="shared" si="10"/>
        <v>0</v>
      </c>
    </row>
    <row r="292" spans="2:9" x14ac:dyDescent="0.25">
      <c r="B292" s="51"/>
      <c r="C292" s="52" t="s">
        <v>483</v>
      </c>
      <c r="D292" s="53" t="s">
        <v>484</v>
      </c>
      <c r="E292" s="52" t="s">
        <v>37</v>
      </c>
      <c r="F292" s="54"/>
      <c r="G292" s="55"/>
      <c r="H292" s="56"/>
      <c r="I292" s="65">
        <f t="shared" si="10"/>
        <v>0</v>
      </c>
    </row>
    <row r="293" spans="2:9" x14ac:dyDescent="0.25">
      <c r="B293" s="51"/>
      <c r="C293" s="52" t="s">
        <v>485</v>
      </c>
      <c r="D293" s="53" t="s">
        <v>486</v>
      </c>
      <c r="E293" s="52" t="s">
        <v>37</v>
      </c>
      <c r="F293" s="54"/>
      <c r="G293" s="55"/>
      <c r="H293" s="56"/>
      <c r="I293" s="65">
        <f t="shared" si="10"/>
        <v>0</v>
      </c>
    </row>
    <row r="294" spans="2:9" x14ac:dyDescent="0.25">
      <c r="B294" s="51"/>
      <c r="C294" s="52" t="s">
        <v>487</v>
      </c>
      <c r="D294" s="53" t="s">
        <v>488</v>
      </c>
      <c r="E294" s="52" t="s">
        <v>37</v>
      </c>
      <c r="F294" s="54"/>
      <c r="G294" s="55"/>
      <c r="H294" s="56"/>
      <c r="I294" s="65">
        <f t="shared" si="10"/>
        <v>0</v>
      </c>
    </row>
    <row r="295" spans="2:9" x14ac:dyDescent="0.25">
      <c r="B295" s="51"/>
      <c r="C295" s="52" t="s">
        <v>489</v>
      </c>
      <c r="D295" s="53" t="s">
        <v>490</v>
      </c>
      <c r="E295" s="52" t="s">
        <v>37</v>
      </c>
      <c r="F295" s="54"/>
      <c r="G295" s="55"/>
      <c r="H295" s="56"/>
      <c r="I295" s="65">
        <f t="shared" si="10"/>
        <v>0</v>
      </c>
    </row>
    <row r="296" spans="2:9" x14ac:dyDescent="0.25">
      <c r="B296" s="51"/>
      <c r="C296" s="52" t="s">
        <v>491</v>
      </c>
      <c r="D296" s="53" t="s">
        <v>492</v>
      </c>
      <c r="E296" s="52" t="s">
        <v>37</v>
      </c>
      <c r="F296" s="54"/>
      <c r="G296" s="55"/>
      <c r="H296" s="56"/>
      <c r="I296" s="65">
        <f t="shared" si="10"/>
        <v>0</v>
      </c>
    </row>
    <row r="297" spans="2:9" x14ac:dyDescent="0.25">
      <c r="B297" s="51"/>
      <c r="C297" s="52" t="s">
        <v>493</v>
      </c>
      <c r="D297" s="53" t="s">
        <v>494</v>
      </c>
      <c r="E297" s="52" t="s">
        <v>37</v>
      </c>
      <c r="F297" s="54"/>
      <c r="G297" s="55"/>
      <c r="H297" s="56"/>
      <c r="I297" s="65">
        <f t="shared" si="10"/>
        <v>0</v>
      </c>
    </row>
    <row r="298" spans="2:9" x14ac:dyDescent="0.25">
      <c r="B298" s="51"/>
      <c r="C298" s="52" t="s">
        <v>495</v>
      </c>
      <c r="D298" s="53" t="s">
        <v>496</v>
      </c>
      <c r="E298" s="52" t="s">
        <v>37</v>
      </c>
      <c r="F298" s="54"/>
      <c r="G298" s="55"/>
      <c r="H298" s="56"/>
      <c r="I298" s="65">
        <f t="shared" si="10"/>
        <v>0</v>
      </c>
    </row>
    <row r="299" spans="2:9" x14ac:dyDescent="0.25">
      <c r="B299" s="51"/>
      <c r="C299" s="52" t="s">
        <v>497</v>
      </c>
      <c r="D299" s="53" t="s">
        <v>498</v>
      </c>
      <c r="E299" s="52" t="s">
        <v>37</v>
      </c>
      <c r="F299" s="54"/>
      <c r="G299" s="55"/>
      <c r="H299" s="56"/>
      <c r="I299" s="65">
        <f t="shared" si="10"/>
        <v>0</v>
      </c>
    </row>
    <row r="300" spans="2:9" x14ac:dyDescent="0.25">
      <c r="B300" s="51"/>
      <c r="C300" s="52" t="s">
        <v>499</v>
      </c>
      <c r="D300" s="53" t="s">
        <v>500</v>
      </c>
      <c r="E300" s="52" t="s">
        <v>37</v>
      </c>
      <c r="F300" s="54"/>
      <c r="G300" s="55"/>
      <c r="H300" s="56"/>
      <c r="I300" s="65">
        <f t="shared" si="10"/>
        <v>0</v>
      </c>
    </row>
    <row r="301" spans="2:9" x14ac:dyDescent="0.25">
      <c r="B301" s="51"/>
      <c r="C301" s="52" t="s">
        <v>501</v>
      </c>
      <c r="D301" s="53" t="s">
        <v>502</v>
      </c>
      <c r="E301" s="52" t="s">
        <v>37</v>
      </c>
      <c r="F301" s="54"/>
      <c r="G301" s="55"/>
      <c r="H301" s="56"/>
      <c r="I301" s="65">
        <f t="shared" si="10"/>
        <v>0</v>
      </c>
    </row>
    <row r="302" spans="2:9" x14ac:dyDescent="0.25">
      <c r="B302" s="51"/>
      <c r="C302" s="52" t="s">
        <v>503</v>
      </c>
      <c r="D302" s="53" t="s">
        <v>504</v>
      </c>
      <c r="E302" s="52" t="s">
        <v>37</v>
      </c>
      <c r="F302" s="54"/>
      <c r="G302" s="55"/>
      <c r="H302" s="56"/>
      <c r="I302" s="65">
        <f t="shared" si="10"/>
        <v>0</v>
      </c>
    </row>
    <row r="303" spans="2:9" x14ac:dyDescent="0.25">
      <c r="B303" s="51"/>
      <c r="C303" s="52" t="s">
        <v>505</v>
      </c>
      <c r="D303" s="53" t="s">
        <v>506</v>
      </c>
      <c r="E303" s="52" t="s">
        <v>37</v>
      </c>
      <c r="F303" s="54"/>
      <c r="G303" s="55"/>
      <c r="H303" s="56"/>
      <c r="I303" s="65">
        <f t="shared" si="10"/>
        <v>0</v>
      </c>
    </row>
    <row r="304" spans="2:9" x14ac:dyDescent="0.25">
      <c r="B304" s="51"/>
      <c r="C304" s="52" t="s">
        <v>507</v>
      </c>
      <c r="D304" s="53" t="s">
        <v>508</v>
      </c>
      <c r="E304" s="52" t="s">
        <v>37</v>
      </c>
      <c r="F304" s="54"/>
      <c r="G304" s="55"/>
      <c r="H304" s="56"/>
      <c r="I304" s="65">
        <f t="shared" si="10"/>
        <v>0</v>
      </c>
    </row>
    <row r="305" spans="2:12" x14ac:dyDescent="0.25">
      <c r="B305" s="51"/>
      <c r="C305" s="52" t="s">
        <v>509</v>
      </c>
      <c r="D305" s="53" t="s">
        <v>510</v>
      </c>
      <c r="E305" s="52" t="s">
        <v>37</v>
      </c>
      <c r="F305" s="54"/>
      <c r="G305" s="55"/>
      <c r="H305" s="56"/>
      <c r="I305" s="65">
        <f t="shared" si="10"/>
        <v>0</v>
      </c>
    </row>
    <row r="306" spans="2:12" x14ac:dyDescent="0.25">
      <c r="B306" s="51"/>
      <c r="C306" s="52" t="s">
        <v>511</v>
      </c>
      <c r="D306" s="53" t="s">
        <v>512</v>
      </c>
      <c r="E306" s="52" t="s">
        <v>37</v>
      </c>
      <c r="F306" s="54"/>
      <c r="G306" s="55"/>
      <c r="H306" s="56"/>
      <c r="I306" s="65">
        <f t="shared" si="10"/>
        <v>0</v>
      </c>
    </row>
    <row r="307" spans="2:12" x14ac:dyDescent="0.25">
      <c r="B307" s="51"/>
      <c r="C307" s="52" t="s">
        <v>513</v>
      </c>
      <c r="D307" s="53" t="s">
        <v>514</v>
      </c>
      <c r="E307" s="52" t="s">
        <v>37</v>
      </c>
      <c r="F307" s="54"/>
      <c r="G307" s="55"/>
      <c r="H307" s="56"/>
      <c r="I307" s="65">
        <f t="shared" si="10"/>
        <v>0</v>
      </c>
    </row>
    <row r="308" spans="2:12" x14ac:dyDescent="0.25">
      <c r="B308" s="51"/>
      <c r="C308" s="52" t="s">
        <v>515</v>
      </c>
      <c r="D308" s="53" t="s">
        <v>516</v>
      </c>
      <c r="E308" s="52" t="s">
        <v>37</v>
      </c>
      <c r="F308" s="54"/>
      <c r="G308" s="55"/>
      <c r="H308" s="56"/>
      <c r="I308" s="65">
        <f t="shared" si="10"/>
        <v>0</v>
      </c>
    </row>
    <row r="309" spans="2:12" x14ac:dyDescent="0.25">
      <c r="B309" s="51"/>
      <c r="C309" s="52" t="s">
        <v>517</v>
      </c>
      <c r="D309" s="53" t="s">
        <v>518</v>
      </c>
      <c r="E309" s="52" t="s">
        <v>37</v>
      </c>
      <c r="F309" s="54"/>
      <c r="G309" s="55"/>
      <c r="H309" s="56"/>
      <c r="I309" s="65">
        <f t="shared" si="10"/>
        <v>0</v>
      </c>
    </row>
    <row r="310" spans="2:12" x14ac:dyDescent="0.25">
      <c r="B310" s="51"/>
      <c r="C310" s="52" t="s">
        <v>519</v>
      </c>
      <c r="D310" s="53" t="s">
        <v>520</v>
      </c>
      <c r="E310" s="52" t="s">
        <v>37</v>
      </c>
      <c r="F310" s="54"/>
      <c r="G310" s="55"/>
      <c r="H310" s="56"/>
      <c r="I310" s="65">
        <f t="shared" si="10"/>
        <v>0</v>
      </c>
    </row>
    <row r="311" spans="2:12" x14ac:dyDescent="0.25">
      <c r="B311" s="51"/>
      <c r="C311" s="52" t="s">
        <v>521</v>
      </c>
      <c r="D311" s="53" t="s">
        <v>522</v>
      </c>
      <c r="E311" s="52" t="s">
        <v>37</v>
      </c>
      <c r="F311" s="54"/>
      <c r="G311" s="55"/>
      <c r="H311" s="56"/>
      <c r="I311" s="65">
        <f t="shared" si="10"/>
        <v>0</v>
      </c>
    </row>
    <row r="312" spans="2:12" x14ac:dyDescent="0.25">
      <c r="B312" s="51"/>
      <c r="C312" s="52" t="s">
        <v>523</v>
      </c>
      <c r="D312" s="53" t="s">
        <v>524</v>
      </c>
      <c r="E312" s="52" t="s">
        <v>37</v>
      </c>
      <c r="F312" s="54"/>
      <c r="G312" s="55"/>
      <c r="H312" s="56"/>
      <c r="I312" s="65">
        <f t="shared" si="10"/>
        <v>0</v>
      </c>
    </row>
    <row r="313" spans="2:12" ht="25.5" x14ac:dyDescent="0.25">
      <c r="B313" s="51"/>
      <c r="C313" s="52" t="s">
        <v>525</v>
      </c>
      <c r="D313" s="53" t="s">
        <v>526</v>
      </c>
      <c r="E313" s="52" t="s">
        <v>50</v>
      </c>
      <c r="F313" s="54"/>
      <c r="G313" s="55"/>
      <c r="H313" s="56"/>
      <c r="I313" s="65">
        <f t="shared" si="10"/>
        <v>0</v>
      </c>
    </row>
    <row r="314" spans="2:12" x14ac:dyDescent="0.25">
      <c r="B314" s="51"/>
      <c r="C314" s="52" t="s">
        <v>527</v>
      </c>
      <c r="D314" s="53" t="s">
        <v>181</v>
      </c>
      <c r="E314" s="52" t="s">
        <v>50</v>
      </c>
      <c r="F314" s="54"/>
      <c r="G314" s="55"/>
      <c r="H314" s="56"/>
      <c r="I314" s="65">
        <f t="shared" si="10"/>
        <v>0</v>
      </c>
    </row>
    <row r="315" spans="2:12" x14ac:dyDescent="0.25">
      <c r="B315" s="66">
        <v>810104</v>
      </c>
      <c r="C315" s="67" t="s">
        <v>528</v>
      </c>
      <c r="D315" s="68" t="s">
        <v>529</v>
      </c>
      <c r="E315" s="67"/>
      <c r="F315" s="69"/>
      <c r="G315" s="70"/>
      <c r="H315" s="71"/>
      <c r="I315" s="72">
        <f>SUM(I316:I359)</f>
        <v>26758</v>
      </c>
      <c r="L315" s="228"/>
    </row>
    <row r="316" spans="2:12" ht="25.5" x14ac:dyDescent="0.25">
      <c r="B316" s="51"/>
      <c r="C316" s="52" t="s">
        <v>530</v>
      </c>
      <c r="D316" s="53" t="s">
        <v>448</v>
      </c>
      <c r="E316" s="52" t="s">
        <v>37</v>
      </c>
      <c r="F316" s="54"/>
      <c r="G316" s="55"/>
      <c r="H316" s="61"/>
      <c r="I316" s="65">
        <f t="shared" ref="I316:I359" si="11">G316*F316+H316*F316</f>
        <v>0</v>
      </c>
    </row>
    <row r="317" spans="2:12" ht="25.5" x14ac:dyDescent="0.25">
      <c r="B317" s="51"/>
      <c r="C317" s="52" t="s">
        <v>531</v>
      </c>
      <c r="D317" s="53" t="s">
        <v>450</v>
      </c>
      <c r="E317" s="52" t="s">
        <v>37</v>
      </c>
      <c r="F317" s="54"/>
      <c r="G317" s="55"/>
      <c r="H317" s="61"/>
      <c r="I317" s="65">
        <f t="shared" si="11"/>
        <v>0</v>
      </c>
    </row>
    <row r="318" spans="2:12" ht="25.5" x14ac:dyDescent="0.25">
      <c r="B318" s="51"/>
      <c r="C318" s="52" t="s">
        <v>532</v>
      </c>
      <c r="D318" s="53" t="s">
        <v>452</v>
      </c>
      <c r="E318" s="52" t="s">
        <v>37</v>
      </c>
      <c r="F318" s="54"/>
      <c r="G318" s="63"/>
      <c r="H318" s="64"/>
      <c r="I318" s="65">
        <f t="shared" si="11"/>
        <v>0</v>
      </c>
    </row>
    <row r="319" spans="2:12" ht="25.5" x14ac:dyDescent="0.25">
      <c r="B319" s="51"/>
      <c r="C319" s="52" t="s">
        <v>533</v>
      </c>
      <c r="D319" s="53" t="s">
        <v>41</v>
      </c>
      <c r="E319" s="52" t="s">
        <v>37</v>
      </c>
      <c r="F319" s="54">
        <v>15</v>
      </c>
      <c r="G319" s="63">
        <v>51</v>
      </c>
      <c r="H319" s="64">
        <v>29</v>
      </c>
      <c r="I319" s="65">
        <f t="shared" si="11"/>
        <v>1200</v>
      </c>
    </row>
    <row r="320" spans="2:12" ht="25.5" x14ac:dyDescent="0.25">
      <c r="B320" s="51"/>
      <c r="C320" s="52" t="s">
        <v>534</v>
      </c>
      <c r="D320" s="53" t="s">
        <v>43</v>
      </c>
      <c r="E320" s="52" t="s">
        <v>37</v>
      </c>
      <c r="F320" s="54"/>
      <c r="G320" s="63"/>
      <c r="H320" s="64"/>
      <c r="I320" s="65">
        <f t="shared" si="11"/>
        <v>0</v>
      </c>
    </row>
    <row r="321" spans="2:9" ht="51" x14ac:dyDescent="0.25">
      <c r="B321" s="51"/>
      <c r="C321" s="52" t="s">
        <v>535</v>
      </c>
      <c r="D321" s="53" t="s">
        <v>49</v>
      </c>
      <c r="E321" s="52" t="s">
        <v>50</v>
      </c>
      <c r="F321" s="54">
        <v>9</v>
      </c>
      <c r="G321" s="63">
        <v>26</v>
      </c>
      <c r="H321" s="64">
        <v>24</v>
      </c>
      <c r="I321" s="65">
        <f t="shared" si="11"/>
        <v>450</v>
      </c>
    </row>
    <row r="322" spans="2:9" x14ac:dyDescent="0.25">
      <c r="B322" s="51"/>
      <c r="C322" s="52" t="s">
        <v>536</v>
      </c>
      <c r="D322" s="53" t="s">
        <v>52</v>
      </c>
      <c r="E322" s="52" t="s">
        <v>37</v>
      </c>
      <c r="F322" s="54"/>
      <c r="G322" s="63"/>
      <c r="H322" s="218"/>
      <c r="I322" s="65">
        <f t="shared" si="11"/>
        <v>0</v>
      </c>
    </row>
    <row r="323" spans="2:9" ht="38.25" x14ac:dyDescent="0.25">
      <c r="B323" s="51"/>
      <c r="C323" s="52" t="s">
        <v>537</v>
      </c>
      <c r="D323" s="53" t="s">
        <v>54</v>
      </c>
      <c r="E323" s="52" t="s">
        <v>50</v>
      </c>
      <c r="F323" s="54"/>
      <c r="G323" s="63"/>
      <c r="H323" s="218"/>
      <c r="I323" s="65">
        <f t="shared" si="11"/>
        <v>0</v>
      </c>
    </row>
    <row r="324" spans="2:9" x14ac:dyDescent="0.25">
      <c r="B324" s="51"/>
      <c r="C324" s="52" t="s">
        <v>538</v>
      </c>
      <c r="D324" s="53" t="s">
        <v>56</v>
      </c>
      <c r="E324" s="52" t="s">
        <v>37</v>
      </c>
      <c r="F324" s="54"/>
      <c r="G324" s="55"/>
      <c r="H324" s="61"/>
      <c r="I324" s="65">
        <f t="shared" si="11"/>
        <v>0</v>
      </c>
    </row>
    <row r="325" spans="2:9" x14ac:dyDescent="0.25">
      <c r="B325" s="51"/>
      <c r="C325" s="52" t="s">
        <v>539</v>
      </c>
      <c r="D325" s="53" t="s">
        <v>58</v>
      </c>
      <c r="E325" s="52" t="s">
        <v>37</v>
      </c>
      <c r="F325" s="54"/>
      <c r="G325" s="55"/>
      <c r="H325" s="61"/>
      <c r="I325" s="65">
        <f t="shared" si="11"/>
        <v>0</v>
      </c>
    </row>
    <row r="326" spans="2:9" x14ac:dyDescent="0.25">
      <c r="B326" s="51"/>
      <c r="C326" s="52" t="s">
        <v>540</v>
      </c>
      <c r="D326" s="53" t="s">
        <v>60</v>
      </c>
      <c r="E326" s="52" t="s">
        <v>37</v>
      </c>
      <c r="F326" s="54"/>
      <c r="G326" s="55"/>
      <c r="H326" s="61"/>
      <c r="I326" s="65">
        <f t="shared" si="11"/>
        <v>0</v>
      </c>
    </row>
    <row r="327" spans="2:9" x14ac:dyDescent="0.25">
      <c r="B327" s="51"/>
      <c r="C327" s="52" t="s">
        <v>541</v>
      </c>
      <c r="D327" s="53" t="s">
        <v>62</v>
      </c>
      <c r="E327" s="52" t="s">
        <v>37</v>
      </c>
      <c r="F327" s="54"/>
      <c r="G327" s="55"/>
      <c r="H327" s="61"/>
      <c r="I327" s="65">
        <f t="shared" si="11"/>
        <v>0</v>
      </c>
    </row>
    <row r="328" spans="2:9" x14ac:dyDescent="0.25">
      <c r="B328" s="51"/>
      <c r="C328" s="52" t="s">
        <v>542</v>
      </c>
      <c r="D328" s="53" t="s">
        <v>64</v>
      </c>
      <c r="E328" s="52" t="s">
        <v>37</v>
      </c>
      <c r="F328" s="54"/>
      <c r="G328" s="55"/>
      <c r="H328" s="61"/>
      <c r="I328" s="65">
        <f t="shared" si="11"/>
        <v>0</v>
      </c>
    </row>
    <row r="329" spans="2:9" x14ac:dyDescent="0.25">
      <c r="B329" s="51"/>
      <c r="C329" s="52" t="s">
        <v>543</v>
      </c>
      <c r="D329" s="53" t="s">
        <v>66</v>
      </c>
      <c r="E329" s="52" t="s">
        <v>37</v>
      </c>
      <c r="F329" s="54"/>
      <c r="G329" s="55"/>
      <c r="H329" s="61"/>
      <c r="I329" s="65">
        <f t="shared" si="11"/>
        <v>0</v>
      </c>
    </row>
    <row r="330" spans="2:9" x14ac:dyDescent="0.25">
      <c r="B330" s="51"/>
      <c r="C330" s="52" t="s">
        <v>544</v>
      </c>
      <c r="D330" s="53" t="s">
        <v>68</v>
      </c>
      <c r="E330" s="52" t="s">
        <v>37</v>
      </c>
      <c r="F330" s="54"/>
      <c r="G330" s="55"/>
      <c r="H330" s="61"/>
      <c r="I330" s="65">
        <f t="shared" si="11"/>
        <v>0</v>
      </c>
    </row>
    <row r="331" spans="2:9" ht="25.5" x14ac:dyDescent="0.25">
      <c r="B331" s="51"/>
      <c r="C331" s="52" t="s">
        <v>545</v>
      </c>
      <c r="D331" s="53" t="s">
        <v>74</v>
      </c>
      <c r="E331" s="52" t="s">
        <v>50</v>
      </c>
      <c r="F331" s="54"/>
      <c r="G331" s="63"/>
      <c r="H331" s="64"/>
      <c r="I331" s="65">
        <f t="shared" si="11"/>
        <v>0</v>
      </c>
    </row>
    <row r="332" spans="2:9" ht="25.5" x14ac:dyDescent="0.25">
      <c r="B332" s="51"/>
      <c r="C332" s="52" t="s">
        <v>546</v>
      </c>
      <c r="D332" s="73" t="s">
        <v>76</v>
      </c>
      <c r="E332" s="52" t="s">
        <v>50</v>
      </c>
      <c r="F332" s="54">
        <v>9</v>
      </c>
      <c r="G332" s="63">
        <v>14</v>
      </c>
      <c r="H332" s="64">
        <v>11.5</v>
      </c>
      <c r="I332" s="65">
        <f t="shared" si="11"/>
        <v>229.5</v>
      </c>
    </row>
    <row r="333" spans="2:9" x14ac:dyDescent="0.25">
      <c r="B333" s="51"/>
      <c r="C333" s="52" t="s">
        <v>547</v>
      </c>
      <c r="D333" s="53" t="s">
        <v>78</v>
      </c>
      <c r="E333" s="52" t="s">
        <v>79</v>
      </c>
      <c r="F333" s="54"/>
      <c r="G333" s="63"/>
      <c r="H333" s="218"/>
      <c r="I333" s="65">
        <f t="shared" si="11"/>
        <v>0</v>
      </c>
    </row>
    <row r="334" spans="2:9" x14ac:dyDescent="0.25">
      <c r="B334" s="51"/>
      <c r="C334" s="52" t="s">
        <v>548</v>
      </c>
      <c r="D334" s="53" t="s">
        <v>195</v>
      </c>
      <c r="E334" s="52" t="s">
        <v>79</v>
      </c>
      <c r="F334" s="54"/>
      <c r="G334" s="63"/>
      <c r="H334" s="218"/>
      <c r="I334" s="65">
        <f t="shared" si="11"/>
        <v>0</v>
      </c>
    </row>
    <row r="335" spans="2:9" x14ac:dyDescent="0.25">
      <c r="B335" s="51"/>
      <c r="C335" s="52" t="s">
        <v>549</v>
      </c>
      <c r="D335" s="53" t="s">
        <v>81</v>
      </c>
      <c r="E335" s="52" t="s">
        <v>79</v>
      </c>
      <c r="F335" s="54"/>
      <c r="G335" s="55"/>
      <c r="H335" s="61"/>
      <c r="I335" s="65">
        <f t="shared" si="11"/>
        <v>0</v>
      </c>
    </row>
    <row r="336" spans="2:9" x14ac:dyDescent="0.25">
      <c r="B336" s="51"/>
      <c r="C336" s="52" t="s">
        <v>550</v>
      </c>
      <c r="D336" s="53" t="s">
        <v>83</v>
      </c>
      <c r="E336" s="52" t="s">
        <v>79</v>
      </c>
      <c r="F336" s="54"/>
      <c r="G336" s="55"/>
      <c r="H336" s="61"/>
      <c r="I336" s="65">
        <f t="shared" si="11"/>
        <v>0</v>
      </c>
    </row>
    <row r="337" spans="2:9" x14ac:dyDescent="0.25">
      <c r="B337" s="51"/>
      <c r="C337" s="52" t="s">
        <v>551</v>
      </c>
      <c r="D337" s="53" t="s">
        <v>85</v>
      </c>
      <c r="E337" s="52" t="s">
        <v>79</v>
      </c>
      <c r="F337" s="54"/>
      <c r="G337" s="55"/>
      <c r="H337" s="61"/>
      <c r="I337" s="65">
        <f t="shared" si="11"/>
        <v>0</v>
      </c>
    </row>
    <row r="338" spans="2:9" x14ac:dyDescent="0.25">
      <c r="B338" s="51"/>
      <c r="C338" s="52" t="s">
        <v>552</v>
      </c>
      <c r="D338" s="53" t="s">
        <v>87</v>
      </c>
      <c r="E338" s="52" t="s">
        <v>79</v>
      </c>
      <c r="F338" s="54"/>
      <c r="G338" s="55"/>
      <c r="H338" s="61"/>
      <c r="I338" s="65">
        <f t="shared" si="11"/>
        <v>0</v>
      </c>
    </row>
    <row r="339" spans="2:9" ht="25.5" x14ac:dyDescent="0.25">
      <c r="B339" s="51"/>
      <c r="C339" s="52" t="s">
        <v>553</v>
      </c>
      <c r="D339" s="73" t="s">
        <v>93</v>
      </c>
      <c r="E339" s="52" t="s">
        <v>50</v>
      </c>
      <c r="F339" s="54"/>
      <c r="G339" s="55"/>
      <c r="H339" s="56"/>
      <c r="I339" s="65">
        <f t="shared" si="11"/>
        <v>0</v>
      </c>
    </row>
    <row r="340" spans="2:9" ht="25.5" x14ac:dyDescent="0.25">
      <c r="B340" s="51"/>
      <c r="C340" s="52" t="s">
        <v>554</v>
      </c>
      <c r="D340" s="73" t="s">
        <v>95</v>
      </c>
      <c r="E340" s="52" t="s">
        <v>50</v>
      </c>
      <c r="F340" s="54"/>
      <c r="G340" s="55"/>
      <c r="H340" s="61"/>
      <c r="I340" s="65">
        <f t="shared" si="11"/>
        <v>0</v>
      </c>
    </row>
    <row r="341" spans="2:9" x14ac:dyDescent="0.25">
      <c r="B341" s="51"/>
      <c r="C341" s="52" t="s">
        <v>555</v>
      </c>
      <c r="D341" s="53" t="s">
        <v>476</v>
      </c>
      <c r="E341" s="52" t="s">
        <v>37</v>
      </c>
      <c r="F341" s="54"/>
      <c r="G341" s="55"/>
      <c r="H341" s="61"/>
      <c r="I341" s="65">
        <f t="shared" si="11"/>
        <v>0</v>
      </c>
    </row>
    <row r="342" spans="2:9" x14ac:dyDescent="0.25">
      <c r="B342" s="51"/>
      <c r="C342" s="52" t="s">
        <v>556</v>
      </c>
      <c r="D342" s="53" t="s">
        <v>478</v>
      </c>
      <c r="E342" s="52" t="s">
        <v>37</v>
      </c>
      <c r="F342" s="54"/>
      <c r="G342" s="55"/>
      <c r="H342" s="61"/>
      <c r="I342" s="65">
        <f t="shared" si="11"/>
        <v>0</v>
      </c>
    </row>
    <row r="343" spans="2:9" x14ac:dyDescent="0.25">
      <c r="B343" s="51"/>
      <c r="C343" s="52" t="s">
        <v>557</v>
      </c>
      <c r="D343" s="53" t="s">
        <v>480</v>
      </c>
      <c r="E343" s="52" t="s">
        <v>37</v>
      </c>
      <c r="F343" s="54"/>
      <c r="G343" s="55"/>
      <c r="H343" s="61"/>
      <c r="I343" s="65">
        <f t="shared" si="11"/>
        <v>0</v>
      </c>
    </row>
    <row r="344" spans="2:9" x14ac:dyDescent="0.25">
      <c r="B344" s="51"/>
      <c r="C344" s="52" t="s">
        <v>558</v>
      </c>
      <c r="D344" s="53" t="s">
        <v>482</v>
      </c>
      <c r="E344" s="52" t="s">
        <v>37</v>
      </c>
      <c r="F344" s="54"/>
      <c r="G344" s="55"/>
      <c r="H344" s="61"/>
      <c r="I344" s="65">
        <f t="shared" si="11"/>
        <v>0</v>
      </c>
    </row>
    <row r="345" spans="2:9" x14ac:dyDescent="0.25">
      <c r="B345" s="51"/>
      <c r="C345" s="52" t="s">
        <v>559</v>
      </c>
      <c r="D345" s="53" t="s">
        <v>484</v>
      </c>
      <c r="E345" s="52" t="s">
        <v>37</v>
      </c>
      <c r="F345" s="54"/>
      <c r="G345" s="55"/>
      <c r="H345" s="56"/>
      <c r="I345" s="65">
        <f t="shared" si="11"/>
        <v>0</v>
      </c>
    </row>
    <row r="346" spans="2:9" x14ac:dyDescent="0.25">
      <c r="B346" s="51"/>
      <c r="C346" s="52" t="s">
        <v>560</v>
      </c>
      <c r="D346" s="53" t="s">
        <v>486</v>
      </c>
      <c r="E346" s="52" t="s">
        <v>37</v>
      </c>
      <c r="F346" s="54"/>
      <c r="G346" s="55"/>
      <c r="H346" s="56"/>
      <c r="I346" s="65">
        <f t="shared" si="11"/>
        <v>0</v>
      </c>
    </row>
    <row r="347" spans="2:9" x14ac:dyDescent="0.25">
      <c r="B347" s="51"/>
      <c r="C347" s="52" t="s">
        <v>561</v>
      </c>
      <c r="D347" s="53" t="s">
        <v>488</v>
      </c>
      <c r="E347" s="52" t="s">
        <v>37</v>
      </c>
      <c r="F347" s="54"/>
      <c r="G347" s="55"/>
      <c r="H347" s="56"/>
      <c r="I347" s="65">
        <f t="shared" si="11"/>
        <v>0</v>
      </c>
    </row>
    <row r="348" spans="2:9" x14ac:dyDescent="0.25">
      <c r="B348" s="51"/>
      <c r="C348" s="52" t="s">
        <v>562</v>
      </c>
      <c r="D348" s="53" t="s">
        <v>490</v>
      </c>
      <c r="E348" s="52" t="s">
        <v>37</v>
      </c>
      <c r="F348" s="54"/>
      <c r="G348" s="63"/>
      <c r="H348" s="218"/>
      <c r="I348" s="65">
        <f t="shared" si="11"/>
        <v>0</v>
      </c>
    </row>
    <row r="349" spans="2:9" x14ac:dyDescent="0.25">
      <c r="B349" s="51"/>
      <c r="C349" s="52" t="s">
        <v>563</v>
      </c>
      <c r="D349" s="53" t="s">
        <v>498</v>
      </c>
      <c r="E349" s="52" t="s">
        <v>37</v>
      </c>
      <c r="F349" s="54"/>
      <c r="G349" s="63"/>
      <c r="H349" s="218"/>
      <c r="I349" s="65">
        <f t="shared" si="11"/>
        <v>0</v>
      </c>
    </row>
    <row r="350" spans="2:9" x14ac:dyDescent="0.25">
      <c r="B350" s="51"/>
      <c r="C350" s="52" t="s">
        <v>564</v>
      </c>
      <c r="D350" s="53" t="s">
        <v>500</v>
      </c>
      <c r="E350" s="52" t="s">
        <v>37</v>
      </c>
      <c r="F350" s="54">
        <v>300</v>
      </c>
      <c r="G350" s="63">
        <v>4.96</v>
      </c>
      <c r="H350" s="218">
        <v>4.75</v>
      </c>
      <c r="I350" s="65">
        <f t="shared" si="11"/>
        <v>2913</v>
      </c>
    </row>
    <row r="351" spans="2:9" x14ac:dyDescent="0.25">
      <c r="B351" s="51"/>
      <c r="C351" s="52" t="s">
        <v>565</v>
      </c>
      <c r="D351" s="53" t="s">
        <v>502</v>
      </c>
      <c r="E351" s="52" t="s">
        <v>37</v>
      </c>
      <c r="F351" s="54"/>
      <c r="G351" s="63"/>
      <c r="H351" s="64"/>
      <c r="I351" s="65">
        <f t="shared" si="11"/>
        <v>0</v>
      </c>
    </row>
    <row r="352" spans="2:9" x14ac:dyDescent="0.25">
      <c r="B352" s="51"/>
      <c r="C352" s="52" t="s">
        <v>566</v>
      </c>
      <c r="D352" s="53" t="s">
        <v>504</v>
      </c>
      <c r="E352" s="52" t="s">
        <v>37</v>
      </c>
      <c r="F352" s="54"/>
      <c r="G352" s="63"/>
      <c r="H352" s="64"/>
      <c r="I352" s="65">
        <f t="shared" si="11"/>
        <v>0</v>
      </c>
    </row>
    <row r="353" spans="2:11" x14ac:dyDescent="0.25">
      <c r="B353" s="51"/>
      <c r="C353" s="52" t="s">
        <v>567</v>
      </c>
      <c r="D353" s="53" t="s">
        <v>506</v>
      </c>
      <c r="E353" s="52" t="s">
        <v>37</v>
      </c>
      <c r="F353" s="54">
        <v>150</v>
      </c>
      <c r="G353" s="63">
        <v>22</v>
      </c>
      <c r="H353" s="64">
        <v>8</v>
      </c>
      <c r="I353" s="65">
        <f t="shared" si="11"/>
        <v>4500</v>
      </c>
    </row>
    <row r="354" spans="2:11" x14ac:dyDescent="0.25">
      <c r="B354" s="51"/>
      <c r="C354" s="52" t="s">
        <v>568</v>
      </c>
      <c r="D354" s="53" t="s">
        <v>508</v>
      </c>
      <c r="E354" s="52" t="s">
        <v>37</v>
      </c>
      <c r="F354" s="54"/>
      <c r="G354" s="63"/>
      <c r="H354" s="64"/>
      <c r="I354" s="65">
        <f t="shared" si="11"/>
        <v>0</v>
      </c>
    </row>
    <row r="355" spans="2:11" x14ac:dyDescent="0.25">
      <c r="B355" s="51"/>
      <c r="C355" s="52" t="s">
        <v>569</v>
      </c>
      <c r="D355" s="53" t="s">
        <v>510</v>
      </c>
      <c r="E355" s="52" t="s">
        <v>37</v>
      </c>
      <c r="F355" s="54">
        <v>300</v>
      </c>
      <c r="G355" s="63">
        <v>42.12</v>
      </c>
      <c r="H355" s="64">
        <v>10</v>
      </c>
      <c r="I355" s="65">
        <f t="shared" si="11"/>
        <v>15636</v>
      </c>
    </row>
    <row r="356" spans="2:11" x14ac:dyDescent="0.25">
      <c r="B356" s="51"/>
      <c r="C356" s="52" t="s">
        <v>570</v>
      </c>
      <c r="D356" s="53" t="s">
        <v>512</v>
      </c>
      <c r="E356" s="52" t="s">
        <v>37</v>
      </c>
      <c r="F356" s="54"/>
      <c r="G356" s="63"/>
      <c r="H356" s="218"/>
      <c r="I356" s="65">
        <f t="shared" si="11"/>
        <v>0</v>
      </c>
    </row>
    <row r="357" spans="2:11" x14ac:dyDescent="0.25">
      <c r="B357" s="51"/>
      <c r="C357" s="52" t="s">
        <v>571</v>
      </c>
      <c r="D357" s="53" t="s">
        <v>514</v>
      </c>
      <c r="E357" s="52" t="s">
        <v>37</v>
      </c>
      <c r="F357" s="54"/>
      <c r="G357" s="63"/>
      <c r="H357" s="64"/>
      <c r="I357" s="65">
        <f t="shared" si="11"/>
        <v>0</v>
      </c>
    </row>
    <row r="358" spans="2:11" ht="25.5" x14ac:dyDescent="0.25">
      <c r="B358" s="51"/>
      <c r="C358" s="52" t="s">
        <v>572</v>
      </c>
      <c r="D358" s="53" t="s">
        <v>526</v>
      </c>
      <c r="E358" s="52" t="s">
        <v>50</v>
      </c>
      <c r="F358" s="54">
        <v>7</v>
      </c>
      <c r="G358" s="222">
        <v>11</v>
      </c>
      <c r="H358" s="218">
        <v>7.5</v>
      </c>
      <c r="I358" s="65">
        <f t="shared" si="11"/>
        <v>129.5</v>
      </c>
    </row>
    <row r="359" spans="2:11" x14ac:dyDescent="0.25">
      <c r="B359" s="51"/>
      <c r="C359" s="52" t="s">
        <v>573</v>
      </c>
      <c r="D359" s="53" t="s">
        <v>181</v>
      </c>
      <c r="E359" s="52" t="s">
        <v>50</v>
      </c>
      <c r="F359" s="54">
        <v>1</v>
      </c>
      <c r="G359" s="63">
        <v>900</v>
      </c>
      <c r="H359" s="218">
        <v>800</v>
      </c>
      <c r="I359" s="65">
        <f t="shared" si="11"/>
        <v>1700</v>
      </c>
    </row>
    <row r="360" spans="2:11" x14ac:dyDescent="0.25">
      <c r="B360" s="66">
        <v>810104</v>
      </c>
      <c r="C360" s="67" t="s">
        <v>574</v>
      </c>
      <c r="D360" s="68" t="s">
        <v>575</v>
      </c>
      <c r="E360" s="67"/>
      <c r="F360" s="69"/>
      <c r="G360" s="70"/>
      <c r="H360" s="71"/>
      <c r="I360" s="225">
        <f>SUM(I361:I378)</f>
        <v>3855</v>
      </c>
      <c r="J360" s="263" t="s">
        <v>942</v>
      </c>
      <c r="K360" s="263"/>
    </row>
    <row r="361" spans="2:11" ht="25.5" x14ac:dyDescent="0.25">
      <c r="B361" s="51"/>
      <c r="C361" s="52" t="s">
        <v>576</v>
      </c>
      <c r="D361" s="53" t="s">
        <v>577</v>
      </c>
      <c r="E361" s="52" t="s">
        <v>79</v>
      </c>
      <c r="F361" s="88"/>
      <c r="G361" s="55"/>
      <c r="H361" s="61"/>
      <c r="I361" s="57">
        <f t="shared" ref="I361:I378" si="12">F361*G361+F361*H361</f>
        <v>0</v>
      </c>
      <c r="J361" s="263"/>
      <c r="K361" s="263"/>
    </row>
    <row r="362" spans="2:11" ht="25.5" x14ac:dyDescent="0.25">
      <c r="B362" s="51"/>
      <c r="C362" s="52" t="s">
        <v>578</v>
      </c>
      <c r="D362" s="53" t="s">
        <v>579</v>
      </c>
      <c r="E362" s="52" t="s">
        <v>79</v>
      </c>
      <c r="F362" s="88"/>
      <c r="G362" s="63"/>
      <c r="H362" s="218"/>
      <c r="I362" s="57">
        <f t="shared" si="12"/>
        <v>0</v>
      </c>
      <c r="J362" s="263"/>
      <c r="K362" s="263"/>
    </row>
    <row r="363" spans="2:11" x14ac:dyDescent="0.25">
      <c r="B363" s="51"/>
      <c r="C363" s="52" t="s">
        <v>580</v>
      </c>
      <c r="D363" s="53" t="s">
        <v>581</v>
      </c>
      <c r="E363" s="52" t="s">
        <v>79</v>
      </c>
      <c r="F363" s="88">
        <v>1</v>
      </c>
      <c r="G363" s="63">
        <v>550</v>
      </c>
      <c r="H363" s="218">
        <v>180</v>
      </c>
      <c r="I363" s="57">
        <f t="shared" si="12"/>
        <v>730</v>
      </c>
      <c r="J363" s="263"/>
      <c r="K363" s="263"/>
    </row>
    <row r="364" spans="2:11" x14ac:dyDescent="0.25">
      <c r="B364" s="51"/>
      <c r="C364" s="52" t="s">
        <v>582</v>
      </c>
      <c r="D364" s="53" t="s">
        <v>583</v>
      </c>
      <c r="E364" s="52" t="s">
        <v>79</v>
      </c>
      <c r="F364" s="88"/>
      <c r="G364" s="63"/>
      <c r="H364" s="218"/>
      <c r="I364" s="57">
        <f t="shared" si="12"/>
        <v>0</v>
      </c>
      <c r="J364" s="263"/>
      <c r="K364" s="263"/>
    </row>
    <row r="365" spans="2:11" x14ac:dyDescent="0.25">
      <c r="B365" s="51"/>
      <c r="C365" s="52" t="s">
        <v>584</v>
      </c>
      <c r="D365" s="53" t="s">
        <v>585</v>
      </c>
      <c r="E365" s="52" t="s">
        <v>79</v>
      </c>
      <c r="F365" s="88"/>
      <c r="G365" s="63"/>
      <c r="H365" s="218"/>
      <c r="I365" s="57">
        <f t="shared" si="12"/>
        <v>0</v>
      </c>
      <c r="J365" s="263"/>
      <c r="K365" s="263"/>
    </row>
    <row r="366" spans="2:11" x14ac:dyDescent="0.25">
      <c r="B366" s="51"/>
      <c r="C366" s="52" t="s">
        <v>586</v>
      </c>
      <c r="D366" s="53" t="s">
        <v>587</v>
      </c>
      <c r="E366" s="52" t="s">
        <v>79</v>
      </c>
      <c r="F366" s="88">
        <v>1</v>
      </c>
      <c r="G366" s="63">
        <v>385</v>
      </c>
      <c r="H366" s="218">
        <v>180</v>
      </c>
      <c r="I366" s="57">
        <f t="shared" si="12"/>
        <v>565</v>
      </c>
    </row>
    <row r="367" spans="2:11" x14ac:dyDescent="0.25">
      <c r="B367" s="51"/>
      <c r="C367" s="52" t="s">
        <v>588</v>
      </c>
      <c r="D367" s="53" t="s">
        <v>589</v>
      </c>
      <c r="E367" s="52" t="s">
        <v>79</v>
      </c>
      <c r="F367" s="88">
        <v>1</v>
      </c>
      <c r="G367" s="63">
        <v>385</v>
      </c>
      <c r="H367" s="218">
        <v>180</v>
      </c>
      <c r="I367" s="57">
        <f t="shared" si="12"/>
        <v>565</v>
      </c>
    </row>
    <row r="368" spans="2:11" x14ac:dyDescent="0.25">
      <c r="B368" s="51"/>
      <c r="C368" s="52" t="s">
        <v>590</v>
      </c>
      <c r="D368" s="53" t="s">
        <v>591</v>
      </c>
      <c r="E368" s="52" t="s">
        <v>79</v>
      </c>
      <c r="F368" s="88"/>
      <c r="G368" s="63"/>
      <c r="H368" s="218"/>
      <c r="I368" s="57">
        <f t="shared" si="12"/>
        <v>0</v>
      </c>
    </row>
    <row r="369" spans="2:12" x14ac:dyDescent="0.25">
      <c r="B369" s="51"/>
      <c r="C369" s="52" t="s">
        <v>592</v>
      </c>
      <c r="D369" s="53" t="s">
        <v>593</v>
      </c>
      <c r="E369" s="52" t="s">
        <v>79</v>
      </c>
      <c r="F369" s="88"/>
      <c r="G369" s="63"/>
      <c r="H369" s="218"/>
      <c r="I369" s="57">
        <f t="shared" si="12"/>
        <v>0</v>
      </c>
    </row>
    <row r="370" spans="2:12" x14ac:dyDescent="0.25">
      <c r="B370" s="51"/>
      <c r="C370" s="52" t="s">
        <v>594</v>
      </c>
      <c r="D370" s="53" t="s">
        <v>595</v>
      </c>
      <c r="E370" s="52" t="s">
        <v>79</v>
      </c>
      <c r="F370" s="88">
        <v>1</v>
      </c>
      <c r="G370" s="63">
        <v>385</v>
      </c>
      <c r="H370" s="218">
        <v>180</v>
      </c>
      <c r="I370" s="57">
        <f t="shared" si="12"/>
        <v>565</v>
      </c>
    </row>
    <row r="371" spans="2:12" x14ac:dyDescent="0.25">
      <c r="B371" s="51"/>
      <c r="C371" s="52" t="s">
        <v>596</v>
      </c>
      <c r="D371" s="53" t="s">
        <v>597</v>
      </c>
      <c r="E371" s="52" t="s">
        <v>79</v>
      </c>
      <c r="F371" s="88">
        <v>1</v>
      </c>
      <c r="G371" s="63">
        <v>385</v>
      </c>
      <c r="H371" s="218">
        <v>180</v>
      </c>
      <c r="I371" s="57">
        <f t="shared" si="12"/>
        <v>565</v>
      </c>
    </row>
    <row r="372" spans="2:12" x14ac:dyDescent="0.25">
      <c r="B372" s="51"/>
      <c r="C372" s="52" t="s">
        <v>598</v>
      </c>
      <c r="D372" s="53" t="s">
        <v>599</v>
      </c>
      <c r="E372" s="52" t="s">
        <v>79</v>
      </c>
      <c r="F372" s="88"/>
      <c r="G372" s="63"/>
      <c r="H372" s="218"/>
      <c r="I372" s="57">
        <f t="shared" si="12"/>
        <v>0</v>
      </c>
    </row>
    <row r="373" spans="2:12" x14ac:dyDescent="0.25">
      <c r="B373" s="51"/>
      <c r="C373" s="52" t="s">
        <v>600</v>
      </c>
      <c r="D373" s="53" t="s">
        <v>601</v>
      </c>
      <c r="E373" s="52" t="s">
        <v>79</v>
      </c>
      <c r="F373" s="88"/>
      <c r="G373" s="63"/>
      <c r="H373" s="218"/>
      <c r="I373" s="57">
        <f t="shared" si="12"/>
        <v>0</v>
      </c>
    </row>
    <row r="374" spans="2:12" x14ac:dyDescent="0.25">
      <c r="B374" s="51"/>
      <c r="C374" s="52" t="s">
        <v>602</v>
      </c>
      <c r="D374" s="53" t="s">
        <v>603</v>
      </c>
      <c r="E374" s="52" t="s">
        <v>79</v>
      </c>
      <c r="F374" s="88"/>
      <c r="G374" s="63"/>
      <c r="H374" s="218"/>
      <c r="I374" s="57">
        <f t="shared" si="12"/>
        <v>0</v>
      </c>
    </row>
    <row r="375" spans="2:12" x14ac:dyDescent="0.25">
      <c r="B375" s="51"/>
      <c r="C375" s="52" t="s">
        <v>604</v>
      </c>
      <c r="D375" s="53" t="s">
        <v>605</v>
      </c>
      <c r="E375" s="52" t="s">
        <v>79</v>
      </c>
      <c r="F375" s="88">
        <v>1</v>
      </c>
      <c r="G375" s="63">
        <v>385</v>
      </c>
      <c r="H375" s="218">
        <v>180</v>
      </c>
      <c r="I375" s="57">
        <f t="shared" si="12"/>
        <v>565</v>
      </c>
    </row>
    <row r="376" spans="2:12" x14ac:dyDescent="0.25">
      <c r="B376" s="51"/>
      <c r="C376" s="52" t="s">
        <v>606</v>
      </c>
      <c r="D376" s="53" t="s">
        <v>607</v>
      </c>
      <c r="E376" s="52" t="s">
        <v>79</v>
      </c>
      <c r="F376" s="88"/>
      <c r="G376" s="63"/>
      <c r="H376" s="218"/>
      <c r="I376" s="57">
        <f t="shared" si="12"/>
        <v>0</v>
      </c>
    </row>
    <row r="377" spans="2:12" x14ac:dyDescent="0.25">
      <c r="B377" s="51"/>
      <c r="C377" s="52" t="s">
        <v>608</v>
      </c>
      <c r="D377" s="53" t="s">
        <v>609</v>
      </c>
      <c r="E377" s="52" t="s">
        <v>79</v>
      </c>
      <c r="F377" s="88"/>
      <c r="G377" s="63"/>
      <c r="H377" s="218"/>
      <c r="I377" s="57">
        <f t="shared" si="12"/>
        <v>0</v>
      </c>
    </row>
    <row r="378" spans="2:12" ht="38.25" x14ac:dyDescent="0.25">
      <c r="B378" s="51"/>
      <c r="C378" s="52" t="s">
        <v>610</v>
      </c>
      <c r="D378" s="53" t="s">
        <v>611</v>
      </c>
      <c r="E378" s="52" t="s">
        <v>50</v>
      </c>
      <c r="F378" s="88">
        <v>1</v>
      </c>
      <c r="G378" s="222">
        <v>200</v>
      </c>
      <c r="H378" s="218">
        <v>100</v>
      </c>
      <c r="I378" s="57">
        <f t="shared" si="12"/>
        <v>300</v>
      </c>
    </row>
    <row r="379" spans="2:12" x14ac:dyDescent="0.25">
      <c r="B379" s="75"/>
      <c r="C379" s="76" t="s">
        <v>612</v>
      </c>
      <c r="D379" s="77" t="s">
        <v>613</v>
      </c>
      <c r="E379" s="78"/>
      <c r="F379" s="79"/>
      <c r="G379" s="71"/>
      <c r="H379" s="71"/>
      <c r="I379" s="72">
        <f>I380+I387+I407</f>
        <v>574604.5</v>
      </c>
    </row>
    <row r="380" spans="2:12" x14ac:dyDescent="0.25">
      <c r="B380" s="66">
        <v>810144</v>
      </c>
      <c r="C380" s="67" t="s">
        <v>614</v>
      </c>
      <c r="D380" s="68" t="s">
        <v>615</v>
      </c>
      <c r="E380" s="67"/>
      <c r="F380" s="69"/>
      <c r="G380" s="70"/>
      <c r="H380" s="71"/>
      <c r="I380" s="72">
        <f>SUM(I381:I386)</f>
        <v>13580</v>
      </c>
    </row>
    <row r="381" spans="2:12" x14ac:dyDescent="0.25">
      <c r="B381" s="51"/>
      <c r="C381" s="52" t="s">
        <v>616</v>
      </c>
      <c r="D381" s="53" t="s">
        <v>617</v>
      </c>
      <c r="E381" s="52" t="s">
        <v>305</v>
      </c>
      <c r="F381" s="54">
        <v>1</v>
      </c>
      <c r="G381" s="63">
        <v>960</v>
      </c>
      <c r="H381" s="218">
        <v>340</v>
      </c>
      <c r="I381" s="57">
        <f t="shared" ref="I381:I386" si="13">F381*G381+F381*H381</f>
        <v>1300</v>
      </c>
      <c r="L381" s="228"/>
    </row>
    <row r="382" spans="2:12" x14ac:dyDescent="0.25">
      <c r="B382" s="51"/>
      <c r="C382" s="52" t="s">
        <v>618</v>
      </c>
      <c r="D382" s="53" t="s">
        <v>619</v>
      </c>
      <c r="E382" s="52" t="s">
        <v>305</v>
      </c>
      <c r="F382" s="54"/>
      <c r="G382" s="63"/>
      <c r="H382" s="218"/>
      <c r="I382" s="57">
        <f t="shared" si="13"/>
        <v>0</v>
      </c>
    </row>
    <row r="383" spans="2:12" x14ac:dyDescent="0.25">
      <c r="B383" s="51"/>
      <c r="C383" s="52" t="s">
        <v>620</v>
      </c>
      <c r="D383" s="53" t="s">
        <v>621</v>
      </c>
      <c r="E383" s="52" t="s">
        <v>305</v>
      </c>
      <c r="F383" s="54">
        <v>6</v>
      </c>
      <c r="G383" s="63">
        <v>430</v>
      </c>
      <c r="H383" s="218">
        <v>300</v>
      </c>
      <c r="I383" s="57">
        <f t="shared" si="13"/>
        <v>4380</v>
      </c>
      <c r="L383" s="228"/>
    </row>
    <row r="384" spans="2:12" x14ac:dyDescent="0.25">
      <c r="B384" s="51"/>
      <c r="C384" s="52" t="s">
        <v>622</v>
      </c>
      <c r="D384" s="53" t="s">
        <v>623</v>
      </c>
      <c r="E384" s="52" t="s">
        <v>305</v>
      </c>
      <c r="F384" s="54"/>
      <c r="G384" s="63"/>
      <c r="H384" s="218"/>
      <c r="I384" s="57">
        <f t="shared" si="13"/>
        <v>0</v>
      </c>
    </row>
    <row r="385" spans="2:12" x14ac:dyDescent="0.25">
      <c r="B385" s="51"/>
      <c r="C385" s="52" t="s">
        <v>624</v>
      </c>
      <c r="D385" s="53" t="s">
        <v>625</v>
      </c>
      <c r="E385" s="52" t="s">
        <v>50</v>
      </c>
      <c r="F385" s="54"/>
      <c r="G385" s="63"/>
      <c r="H385" s="218"/>
      <c r="I385" s="57">
        <f t="shared" si="13"/>
        <v>0</v>
      </c>
    </row>
    <row r="386" spans="2:12" ht="25.5" x14ac:dyDescent="0.25">
      <c r="B386" s="51"/>
      <c r="C386" s="52" t="s">
        <v>626</v>
      </c>
      <c r="D386" s="53" t="s">
        <v>627</v>
      </c>
      <c r="E386" s="52" t="s">
        <v>50</v>
      </c>
      <c r="F386" s="54">
        <v>1</v>
      </c>
      <c r="G386" s="63">
        <v>4000</v>
      </c>
      <c r="H386" s="218">
        <v>3900</v>
      </c>
      <c r="I386" s="57">
        <f t="shared" si="13"/>
        <v>7900</v>
      </c>
      <c r="L386" s="228"/>
    </row>
    <row r="387" spans="2:12" ht="25.5" x14ac:dyDescent="0.25">
      <c r="B387" s="66">
        <v>810144</v>
      </c>
      <c r="C387" s="67" t="s">
        <v>628</v>
      </c>
      <c r="D387" s="68" t="s">
        <v>629</v>
      </c>
      <c r="E387" s="67"/>
      <c r="F387" s="69"/>
      <c r="G387" s="70"/>
      <c r="H387" s="71"/>
      <c r="I387" s="225">
        <f>SUM(I388:I406)</f>
        <v>259912</v>
      </c>
    </row>
    <row r="388" spans="2:12" x14ac:dyDescent="0.25">
      <c r="B388" s="51"/>
      <c r="C388" s="52" t="s">
        <v>630</v>
      </c>
      <c r="D388" s="53" t="s">
        <v>56</v>
      </c>
      <c r="E388" s="52" t="s">
        <v>37</v>
      </c>
      <c r="F388" s="88">
        <v>730</v>
      </c>
      <c r="G388" s="63">
        <v>22</v>
      </c>
      <c r="H388" s="218">
        <v>29</v>
      </c>
      <c r="I388" s="57">
        <f t="shared" ref="I388:I406" si="14">F388*G388+F388*H388</f>
        <v>37230</v>
      </c>
      <c r="J388" s="258" t="s">
        <v>940</v>
      </c>
      <c r="K388" s="259"/>
      <c r="L388" s="228"/>
    </row>
    <row r="389" spans="2:12" x14ac:dyDescent="0.25">
      <c r="B389" s="51"/>
      <c r="C389" s="52" t="s">
        <v>631</v>
      </c>
      <c r="D389" s="53" t="s">
        <v>58</v>
      </c>
      <c r="E389" s="52" t="s">
        <v>37</v>
      </c>
      <c r="F389" s="88"/>
      <c r="G389" s="63"/>
      <c r="H389" s="218"/>
      <c r="I389" s="57">
        <f t="shared" si="14"/>
        <v>0</v>
      </c>
      <c r="J389" s="258"/>
      <c r="K389" s="259"/>
    </row>
    <row r="390" spans="2:12" x14ac:dyDescent="0.25">
      <c r="B390" s="51"/>
      <c r="C390" s="52" t="s">
        <v>632</v>
      </c>
      <c r="D390" s="53" t="s">
        <v>633</v>
      </c>
      <c r="E390" s="52" t="s">
        <v>37</v>
      </c>
      <c r="F390" s="88"/>
      <c r="G390" s="63"/>
      <c r="H390" s="218"/>
      <c r="I390" s="57">
        <f t="shared" si="14"/>
        <v>0</v>
      </c>
      <c r="J390" s="258"/>
      <c r="K390" s="259"/>
      <c r="L390" s="228"/>
    </row>
    <row r="391" spans="2:12" ht="25.5" x14ac:dyDescent="0.25">
      <c r="B391" s="51"/>
      <c r="C391" s="52" t="s">
        <v>634</v>
      </c>
      <c r="D391" s="53" t="s">
        <v>74</v>
      </c>
      <c r="E391" s="52" t="s">
        <v>50</v>
      </c>
      <c r="F391" s="88">
        <v>365</v>
      </c>
      <c r="G391" s="63">
        <v>15</v>
      </c>
      <c r="H391" s="64">
        <v>11.5</v>
      </c>
      <c r="I391" s="57">
        <f t="shared" si="14"/>
        <v>9672.5</v>
      </c>
      <c r="J391" s="258"/>
      <c r="K391" s="259"/>
      <c r="L391" s="228"/>
    </row>
    <row r="392" spans="2:12" ht="25.5" x14ac:dyDescent="0.25">
      <c r="B392" s="51"/>
      <c r="C392" s="52" t="s">
        <v>635</v>
      </c>
      <c r="D392" s="62" t="s">
        <v>636</v>
      </c>
      <c r="E392" s="52" t="s">
        <v>50</v>
      </c>
      <c r="F392" s="88">
        <v>365</v>
      </c>
      <c r="G392" s="63">
        <v>14</v>
      </c>
      <c r="H392" s="64">
        <v>11.5</v>
      </c>
      <c r="I392" s="57">
        <f t="shared" si="14"/>
        <v>9307.5</v>
      </c>
      <c r="J392" s="258"/>
      <c r="K392" s="259"/>
      <c r="L392" s="228"/>
    </row>
    <row r="393" spans="2:12" x14ac:dyDescent="0.25">
      <c r="B393" s="51"/>
      <c r="C393" s="52" t="s">
        <v>637</v>
      </c>
      <c r="D393" s="53" t="s">
        <v>78</v>
      </c>
      <c r="E393" s="52" t="s">
        <v>79</v>
      </c>
      <c r="F393" s="88">
        <v>260</v>
      </c>
      <c r="G393" s="63">
        <v>16</v>
      </c>
      <c r="H393" s="218">
        <v>25</v>
      </c>
      <c r="I393" s="57">
        <f t="shared" si="14"/>
        <v>10660</v>
      </c>
      <c r="J393" s="258"/>
      <c r="K393" s="259"/>
      <c r="L393" s="228"/>
    </row>
    <row r="394" spans="2:12" x14ac:dyDescent="0.25">
      <c r="B394" s="51"/>
      <c r="C394" s="52" t="s">
        <v>638</v>
      </c>
      <c r="D394" s="53" t="s">
        <v>195</v>
      </c>
      <c r="E394" s="52" t="s">
        <v>79</v>
      </c>
      <c r="F394" s="88"/>
      <c r="G394" s="63"/>
      <c r="H394" s="218"/>
      <c r="I394" s="57">
        <f t="shared" si="14"/>
        <v>0</v>
      </c>
      <c r="J394" s="258"/>
      <c r="K394" s="259"/>
    </row>
    <row r="395" spans="2:12" ht="25.5" x14ac:dyDescent="0.25">
      <c r="B395" s="51"/>
      <c r="C395" s="52" t="s">
        <v>639</v>
      </c>
      <c r="D395" s="62" t="s">
        <v>93</v>
      </c>
      <c r="E395" s="52" t="s">
        <v>50</v>
      </c>
      <c r="F395" s="88">
        <v>260</v>
      </c>
      <c r="G395" s="63">
        <v>15</v>
      </c>
      <c r="H395" s="64">
        <v>11.5</v>
      </c>
      <c r="I395" s="57">
        <f t="shared" si="14"/>
        <v>6890</v>
      </c>
      <c r="J395" s="258"/>
      <c r="K395" s="259"/>
      <c r="L395" s="228"/>
    </row>
    <row r="396" spans="2:12" ht="25.5" x14ac:dyDescent="0.25">
      <c r="B396" s="51"/>
      <c r="C396" s="52" t="s">
        <v>640</v>
      </c>
      <c r="D396" s="62" t="s">
        <v>95</v>
      </c>
      <c r="E396" s="52" t="s">
        <v>50</v>
      </c>
      <c r="F396" s="88"/>
      <c r="G396" s="63"/>
      <c r="H396" s="218"/>
      <c r="I396" s="57">
        <f t="shared" si="14"/>
        <v>0</v>
      </c>
      <c r="J396" s="258"/>
      <c r="K396" s="259"/>
    </row>
    <row r="397" spans="2:12" ht="25.5" x14ac:dyDescent="0.25">
      <c r="B397" s="51"/>
      <c r="C397" s="52" t="s">
        <v>641</v>
      </c>
      <c r="D397" s="87" t="s">
        <v>642</v>
      </c>
      <c r="E397" s="52" t="s">
        <v>79</v>
      </c>
      <c r="F397" s="88">
        <v>1</v>
      </c>
      <c r="G397" s="63">
        <v>8999</v>
      </c>
      <c r="H397" s="218">
        <v>4100</v>
      </c>
      <c r="I397" s="57">
        <f t="shared" si="14"/>
        <v>13099</v>
      </c>
      <c r="J397" s="258"/>
      <c r="K397" s="259"/>
      <c r="L397" s="228"/>
    </row>
    <row r="398" spans="2:12" x14ac:dyDescent="0.25">
      <c r="B398" s="51"/>
      <c r="C398" s="52" t="s">
        <v>643</v>
      </c>
      <c r="D398" s="87" t="s">
        <v>644</v>
      </c>
      <c r="E398" s="52" t="s">
        <v>79</v>
      </c>
      <c r="F398" s="88">
        <v>8</v>
      </c>
      <c r="G398" s="63">
        <v>325</v>
      </c>
      <c r="H398" s="218">
        <v>170</v>
      </c>
      <c r="I398" s="57">
        <f t="shared" si="14"/>
        <v>3960</v>
      </c>
      <c r="L398" s="228"/>
    </row>
    <row r="399" spans="2:12" ht="25.5" x14ac:dyDescent="0.25">
      <c r="B399" s="51"/>
      <c r="C399" s="52" t="s">
        <v>645</v>
      </c>
      <c r="D399" s="87" t="s">
        <v>646</v>
      </c>
      <c r="E399" s="52" t="s">
        <v>79</v>
      </c>
      <c r="F399" s="88">
        <v>8</v>
      </c>
      <c r="G399" s="63">
        <v>312</v>
      </c>
      <c r="H399" s="218">
        <v>170</v>
      </c>
      <c r="I399" s="57">
        <f t="shared" si="14"/>
        <v>3856</v>
      </c>
      <c r="L399" s="228"/>
    </row>
    <row r="400" spans="2:12" ht="25.5" x14ac:dyDescent="0.25">
      <c r="B400" s="51"/>
      <c r="C400" s="52" t="s">
        <v>647</v>
      </c>
      <c r="D400" s="87" t="s">
        <v>648</v>
      </c>
      <c r="E400" s="52" t="s">
        <v>79</v>
      </c>
      <c r="F400" s="88">
        <v>237</v>
      </c>
      <c r="G400" s="63">
        <v>302</v>
      </c>
      <c r="H400" s="218">
        <v>150</v>
      </c>
      <c r="I400" s="57">
        <f t="shared" si="14"/>
        <v>107124</v>
      </c>
      <c r="L400" s="228"/>
    </row>
    <row r="401" spans="2:12" ht="25.5" x14ac:dyDescent="0.25">
      <c r="B401" s="51"/>
      <c r="C401" s="52" t="s">
        <v>649</v>
      </c>
      <c r="D401" s="87" t="s">
        <v>650</v>
      </c>
      <c r="E401" s="52" t="s">
        <v>79</v>
      </c>
      <c r="F401" s="88"/>
      <c r="G401" s="63"/>
      <c r="H401" s="218"/>
      <c r="I401" s="57">
        <f t="shared" si="14"/>
        <v>0</v>
      </c>
    </row>
    <row r="402" spans="2:12" x14ac:dyDescent="0.25">
      <c r="B402" s="51"/>
      <c r="C402" s="52" t="s">
        <v>651</v>
      </c>
      <c r="D402" s="87" t="s">
        <v>652</v>
      </c>
      <c r="E402" s="52" t="s">
        <v>79</v>
      </c>
      <c r="F402" s="88"/>
      <c r="G402" s="63"/>
      <c r="H402" s="218"/>
      <c r="I402" s="57">
        <f t="shared" si="14"/>
        <v>0</v>
      </c>
    </row>
    <row r="403" spans="2:12" ht="25.5" x14ac:dyDescent="0.25">
      <c r="B403" s="51"/>
      <c r="C403" s="52" t="s">
        <v>653</v>
      </c>
      <c r="D403" s="87" t="s">
        <v>654</v>
      </c>
      <c r="E403" s="52" t="s">
        <v>79</v>
      </c>
      <c r="F403" s="88">
        <v>12</v>
      </c>
      <c r="G403" s="63">
        <v>250</v>
      </c>
      <c r="H403" s="218">
        <v>94</v>
      </c>
      <c r="I403" s="57">
        <f t="shared" si="14"/>
        <v>4128</v>
      </c>
      <c r="L403" s="228"/>
    </row>
    <row r="404" spans="2:12" ht="25.5" x14ac:dyDescent="0.25">
      <c r="B404" s="51"/>
      <c r="C404" s="52" t="s">
        <v>655</v>
      </c>
      <c r="D404" s="87" t="s">
        <v>656</v>
      </c>
      <c r="E404" s="52" t="s">
        <v>79</v>
      </c>
      <c r="F404" s="88"/>
      <c r="G404" s="63"/>
      <c r="H404" s="218"/>
      <c r="I404" s="57">
        <f t="shared" si="14"/>
        <v>0</v>
      </c>
    </row>
    <row r="405" spans="2:12" ht="25.5" x14ac:dyDescent="0.25">
      <c r="B405" s="51"/>
      <c r="C405" s="52" t="s">
        <v>657</v>
      </c>
      <c r="D405" s="87" t="s">
        <v>658</v>
      </c>
      <c r="E405" s="52" t="s">
        <v>37</v>
      </c>
      <c r="F405" s="88">
        <v>2050</v>
      </c>
      <c r="G405" s="63">
        <v>13.7</v>
      </c>
      <c r="H405" s="63">
        <v>10</v>
      </c>
      <c r="I405" s="57">
        <f t="shared" si="14"/>
        <v>48585</v>
      </c>
      <c r="L405" s="228"/>
    </row>
    <row r="406" spans="2:12" x14ac:dyDescent="0.25">
      <c r="B406" s="51"/>
      <c r="C406" s="52" t="s">
        <v>659</v>
      </c>
      <c r="D406" s="53" t="s">
        <v>181</v>
      </c>
      <c r="E406" s="52" t="s">
        <v>660</v>
      </c>
      <c r="F406" s="88">
        <v>1</v>
      </c>
      <c r="G406" s="63">
        <v>3000</v>
      </c>
      <c r="H406" s="218">
        <v>2400</v>
      </c>
      <c r="I406" s="57">
        <f t="shared" si="14"/>
        <v>5400</v>
      </c>
      <c r="L406" s="228"/>
    </row>
    <row r="407" spans="2:12" x14ac:dyDescent="0.25">
      <c r="B407" s="66">
        <v>810144</v>
      </c>
      <c r="C407" s="67" t="s">
        <v>661</v>
      </c>
      <c r="D407" s="68" t="s">
        <v>662</v>
      </c>
      <c r="E407" s="67"/>
      <c r="F407" s="69"/>
      <c r="G407" s="70"/>
      <c r="H407" s="71"/>
      <c r="I407" s="72">
        <f>SUM(I408:I445)</f>
        <v>301112.5</v>
      </c>
    </row>
    <row r="408" spans="2:12" ht="25.5" x14ac:dyDescent="0.25">
      <c r="B408" s="51"/>
      <c r="C408" s="52" t="s">
        <v>663</v>
      </c>
      <c r="D408" s="87" t="s">
        <v>664</v>
      </c>
      <c r="E408" s="273" t="s">
        <v>79</v>
      </c>
      <c r="F408" s="88">
        <v>272</v>
      </c>
      <c r="G408" s="222">
        <v>92</v>
      </c>
      <c r="H408" s="224">
        <v>110</v>
      </c>
      <c r="I408" s="57">
        <f t="shared" ref="I408:I445" si="15">F408*G408+F408*H408</f>
        <v>54944</v>
      </c>
      <c r="L408" s="228"/>
    </row>
    <row r="409" spans="2:12" ht="25.5" x14ac:dyDescent="0.25">
      <c r="B409" s="51"/>
      <c r="C409" s="52" t="s">
        <v>665</v>
      </c>
      <c r="D409" s="87" t="s">
        <v>666</v>
      </c>
      <c r="E409" s="273" t="s">
        <v>79</v>
      </c>
      <c r="F409" s="88">
        <v>245</v>
      </c>
      <c r="G409" s="222">
        <v>92</v>
      </c>
      <c r="H409" s="224">
        <v>110</v>
      </c>
      <c r="I409" s="57">
        <f t="shared" si="15"/>
        <v>49490</v>
      </c>
      <c r="L409" s="228"/>
    </row>
    <row r="410" spans="2:12" ht="38.25" x14ac:dyDescent="0.25">
      <c r="B410" s="51"/>
      <c r="C410" s="52" t="s">
        <v>667</v>
      </c>
      <c r="D410" s="87" t="s">
        <v>668</v>
      </c>
      <c r="E410" s="273" t="s">
        <v>50</v>
      </c>
      <c r="F410" s="274"/>
      <c r="G410" s="222"/>
      <c r="H410" s="223"/>
      <c r="I410" s="57">
        <f t="shared" si="15"/>
        <v>0</v>
      </c>
      <c r="L410" s="228"/>
    </row>
    <row r="411" spans="2:12" ht="38.25" x14ac:dyDescent="0.25">
      <c r="B411" s="51"/>
      <c r="C411" s="52" t="s">
        <v>669</v>
      </c>
      <c r="D411" s="87" t="s">
        <v>670</v>
      </c>
      <c r="E411" s="273" t="s">
        <v>50</v>
      </c>
      <c r="F411" s="274">
        <v>660</v>
      </c>
      <c r="G411" s="222">
        <v>16.75</v>
      </c>
      <c r="H411" s="223">
        <v>15</v>
      </c>
      <c r="I411" s="57">
        <f t="shared" si="15"/>
        <v>20955</v>
      </c>
      <c r="L411" s="228"/>
    </row>
    <row r="412" spans="2:12" ht="38.25" x14ac:dyDescent="0.25">
      <c r="B412" s="51"/>
      <c r="C412" s="52" t="s">
        <v>671</v>
      </c>
      <c r="D412" s="87" t="s">
        <v>672</v>
      </c>
      <c r="E412" s="273" t="s">
        <v>50</v>
      </c>
      <c r="F412" s="274">
        <v>75</v>
      </c>
      <c r="G412" s="222">
        <v>17.23</v>
      </c>
      <c r="H412" s="223">
        <v>16</v>
      </c>
      <c r="I412" s="57">
        <f t="shared" si="15"/>
        <v>2492.25</v>
      </c>
      <c r="L412" s="228"/>
    </row>
    <row r="413" spans="2:12" ht="38.25" x14ac:dyDescent="0.25">
      <c r="B413" s="51"/>
      <c r="C413" s="52" t="s">
        <v>673</v>
      </c>
      <c r="D413" s="87" t="s">
        <v>674</v>
      </c>
      <c r="E413" s="273" t="s">
        <v>50</v>
      </c>
      <c r="F413" s="274">
        <v>55</v>
      </c>
      <c r="G413" s="222">
        <v>18.420000000000002</v>
      </c>
      <c r="H413" s="223">
        <v>17</v>
      </c>
      <c r="I413" s="57">
        <f t="shared" si="15"/>
        <v>1948.1000000000001</v>
      </c>
      <c r="L413" s="228"/>
    </row>
    <row r="414" spans="2:12" ht="38.25" x14ac:dyDescent="0.25">
      <c r="B414" s="51"/>
      <c r="C414" s="52" t="s">
        <v>675</v>
      </c>
      <c r="D414" s="87" t="s">
        <v>676</v>
      </c>
      <c r="E414" s="273" t="s">
        <v>50</v>
      </c>
      <c r="F414" s="274">
        <v>33</v>
      </c>
      <c r="G414" s="222">
        <v>20.41</v>
      </c>
      <c r="H414" s="223">
        <v>19</v>
      </c>
      <c r="I414" s="57">
        <f t="shared" si="15"/>
        <v>1300.53</v>
      </c>
      <c r="L414" s="228"/>
    </row>
    <row r="415" spans="2:12" ht="25.5" x14ac:dyDescent="0.25">
      <c r="B415" s="51"/>
      <c r="C415" s="52" t="s">
        <v>677</v>
      </c>
      <c r="D415" s="53" t="s">
        <v>678</v>
      </c>
      <c r="E415" s="52" t="s">
        <v>50</v>
      </c>
      <c r="F415" s="82"/>
      <c r="G415" s="222"/>
      <c r="H415" s="223"/>
      <c r="I415" s="57">
        <f t="shared" si="15"/>
        <v>0</v>
      </c>
      <c r="L415" s="228"/>
    </row>
    <row r="416" spans="2:12" ht="25.5" x14ac:dyDescent="0.25">
      <c r="B416" s="51"/>
      <c r="C416" s="52" t="s">
        <v>679</v>
      </c>
      <c r="D416" s="53" t="s">
        <v>680</v>
      </c>
      <c r="E416" s="52" t="s">
        <v>50</v>
      </c>
      <c r="F416" s="82"/>
      <c r="G416" s="222"/>
      <c r="H416" s="223"/>
      <c r="I416" s="57">
        <f t="shared" si="15"/>
        <v>0</v>
      </c>
    </row>
    <row r="417" spans="2:12" ht="25.5" x14ac:dyDescent="0.25">
      <c r="B417" s="51"/>
      <c r="C417" s="52" t="s">
        <v>681</v>
      </c>
      <c r="D417" s="87" t="s">
        <v>682</v>
      </c>
      <c r="E417" s="273" t="s">
        <v>50</v>
      </c>
      <c r="F417" s="274">
        <v>18</v>
      </c>
      <c r="G417" s="222">
        <v>27.84</v>
      </c>
      <c r="H417" s="223">
        <v>25</v>
      </c>
      <c r="I417" s="57">
        <f t="shared" si="15"/>
        <v>951.12</v>
      </c>
      <c r="L417" s="228"/>
    </row>
    <row r="418" spans="2:12" ht="25.5" x14ac:dyDescent="0.25">
      <c r="B418" s="51"/>
      <c r="C418" s="52" t="s">
        <v>683</v>
      </c>
      <c r="D418" s="87" t="s">
        <v>684</v>
      </c>
      <c r="E418" s="273" t="s">
        <v>50</v>
      </c>
      <c r="F418" s="274"/>
      <c r="G418" s="222"/>
      <c r="H418" s="222"/>
      <c r="I418" s="57">
        <f t="shared" si="15"/>
        <v>0</v>
      </c>
    </row>
    <row r="419" spans="2:12" x14ac:dyDescent="0.25">
      <c r="B419" s="51"/>
      <c r="C419" s="52" t="s">
        <v>685</v>
      </c>
      <c r="D419" s="87" t="s">
        <v>686</v>
      </c>
      <c r="E419" s="273" t="s">
        <v>37</v>
      </c>
      <c r="F419" s="274">
        <v>440</v>
      </c>
      <c r="G419" s="222">
        <v>60.8</v>
      </c>
      <c r="H419" s="224">
        <v>54.63</v>
      </c>
      <c r="I419" s="57">
        <f t="shared" si="15"/>
        <v>50789.2</v>
      </c>
      <c r="L419" s="228"/>
    </row>
    <row r="420" spans="2:12" x14ac:dyDescent="0.25">
      <c r="B420" s="51"/>
      <c r="C420" s="52" t="s">
        <v>687</v>
      </c>
      <c r="D420" s="87" t="s">
        <v>688</v>
      </c>
      <c r="E420" s="273" t="s">
        <v>37</v>
      </c>
      <c r="F420" s="274">
        <v>18</v>
      </c>
      <c r="G420" s="222">
        <v>81.63</v>
      </c>
      <c r="H420" s="224">
        <v>54.63</v>
      </c>
      <c r="I420" s="57">
        <f t="shared" si="15"/>
        <v>2452.6799999999998</v>
      </c>
    </row>
    <row r="421" spans="2:12" x14ac:dyDescent="0.25">
      <c r="B421" s="51"/>
      <c r="C421" s="52" t="s">
        <v>689</v>
      </c>
      <c r="D421" s="87" t="s">
        <v>690</v>
      </c>
      <c r="E421" s="273" t="s">
        <v>37</v>
      </c>
      <c r="F421" s="274">
        <v>24</v>
      </c>
      <c r="G421" s="222">
        <v>96.22</v>
      </c>
      <c r="H421" s="224">
        <v>54.63</v>
      </c>
      <c r="I421" s="57">
        <f t="shared" si="15"/>
        <v>3620.3999999999996</v>
      </c>
    </row>
    <row r="422" spans="2:12" x14ac:dyDescent="0.25">
      <c r="B422" s="51"/>
      <c r="C422" s="52" t="s">
        <v>691</v>
      </c>
      <c r="D422" s="87" t="s">
        <v>692</v>
      </c>
      <c r="E422" s="273" t="s">
        <v>37</v>
      </c>
      <c r="F422" s="274">
        <v>18</v>
      </c>
      <c r="G422" s="222">
        <v>128.97999999999999</v>
      </c>
      <c r="H422" s="224">
        <v>64</v>
      </c>
      <c r="I422" s="57">
        <f t="shared" si="15"/>
        <v>3473.64</v>
      </c>
      <c r="L422" s="228"/>
    </row>
    <row r="423" spans="2:12" x14ac:dyDescent="0.25">
      <c r="B423" s="51"/>
      <c r="C423" s="52" t="s">
        <v>693</v>
      </c>
      <c r="D423" s="87" t="s">
        <v>694</v>
      </c>
      <c r="E423" s="273" t="s">
        <v>37</v>
      </c>
      <c r="F423" s="274"/>
      <c r="G423" s="222"/>
      <c r="H423" s="224"/>
      <c r="I423" s="57">
        <f t="shared" si="15"/>
        <v>0</v>
      </c>
    </row>
    <row r="424" spans="2:12" x14ac:dyDescent="0.25">
      <c r="B424" s="51"/>
      <c r="C424" s="52" t="s">
        <v>695</v>
      </c>
      <c r="D424" s="87" t="s">
        <v>696</v>
      </c>
      <c r="E424" s="273" t="s">
        <v>37</v>
      </c>
      <c r="F424" s="274"/>
      <c r="G424" s="222"/>
      <c r="H424" s="224"/>
      <c r="I424" s="57">
        <f t="shared" si="15"/>
        <v>0</v>
      </c>
    </row>
    <row r="425" spans="2:12" x14ac:dyDescent="0.25">
      <c r="B425" s="51"/>
      <c r="C425" s="52" t="s">
        <v>697</v>
      </c>
      <c r="D425" s="87" t="s">
        <v>698</v>
      </c>
      <c r="E425" s="273" t="s">
        <v>37</v>
      </c>
      <c r="F425" s="274">
        <v>60</v>
      </c>
      <c r="G425" s="222">
        <v>155.38999999999999</v>
      </c>
      <c r="H425" s="224">
        <v>90</v>
      </c>
      <c r="I425" s="57">
        <f t="shared" si="15"/>
        <v>14723.4</v>
      </c>
      <c r="L425" s="228"/>
    </row>
    <row r="426" spans="2:12" x14ac:dyDescent="0.25">
      <c r="B426" s="51"/>
      <c r="C426" s="52" t="s">
        <v>699</v>
      </c>
      <c r="D426" s="87" t="s">
        <v>700</v>
      </c>
      <c r="E426" s="273" t="s">
        <v>37</v>
      </c>
      <c r="F426" s="274"/>
      <c r="G426" s="222"/>
      <c r="H426" s="224"/>
      <c r="I426" s="57">
        <f t="shared" si="15"/>
        <v>0</v>
      </c>
    </row>
    <row r="427" spans="2:12" ht="25.5" x14ac:dyDescent="0.25">
      <c r="B427" s="51"/>
      <c r="C427" s="52" t="s">
        <v>701</v>
      </c>
      <c r="D427" s="87" t="s">
        <v>702</v>
      </c>
      <c r="E427" s="273" t="s">
        <v>703</v>
      </c>
      <c r="F427" s="274">
        <v>260</v>
      </c>
      <c r="G427" s="222">
        <v>34.14</v>
      </c>
      <c r="H427" s="223">
        <v>18.62</v>
      </c>
      <c r="I427" s="57">
        <f t="shared" si="15"/>
        <v>13717.599999999999</v>
      </c>
      <c r="L427" s="228"/>
    </row>
    <row r="428" spans="2:12" ht="25.5" x14ac:dyDescent="0.25">
      <c r="B428" s="51"/>
      <c r="C428" s="52" t="s">
        <v>704</v>
      </c>
      <c r="D428" s="87" t="s">
        <v>705</v>
      </c>
      <c r="E428" s="273" t="s">
        <v>703</v>
      </c>
      <c r="F428" s="274"/>
      <c r="G428" s="222"/>
      <c r="H428" s="223"/>
      <c r="I428" s="57">
        <f t="shared" si="15"/>
        <v>0</v>
      </c>
    </row>
    <row r="429" spans="2:12" ht="25.5" x14ac:dyDescent="0.25">
      <c r="B429" s="51"/>
      <c r="C429" s="52" t="s">
        <v>706</v>
      </c>
      <c r="D429" s="87" t="s">
        <v>707</v>
      </c>
      <c r="E429" s="273" t="s">
        <v>703</v>
      </c>
      <c r="F429" s="274">
        <v>20</v>
      </c>
      <c r="G429" s="222">
        <v>36.14</v>
      </c>
      <c r="H429" s="223">
        <v>23.71</v>
      </c>
      <c r="I429" s="57">
        <f t="shared" si="15"/>
        <v>1197</v>
      </c>
      <c r="L429" s="228"/>
    </row>
    <row r="430" spans="2:12" ht="25.5" x14ac:dyDescent="0.25">
      <c r="B430" s="51"/>
      <c r="C430" s="52" t="s">
        <v>708</v>
      </c>
      <c r="D430" s="87" t="s">
        <v>709</v>
      </c>
      <c r="E430" s="273" t="s">
        <v>703</v>
      </c>
      <c r="F430" s="274"/>
      <c r="G430" s="222"/>
      <c r="H430" s="223"/>
      <c r="I430" s="57">
        <f t="shared" si="15"/>
        <v>0</v>
      </c>
    </row>
    <row r="431" spans="2:12" ht="25.5" x14ac:dyDescent="0.25">
      <c r="B431" s="51"/>
      <c r="C431" s="52" t="s">
        <v>710</v>
      </c>
      <c r="D431" s="87" t="s">
        <v>711</v>
      </c>
      <c r="E431" s="273" t="s">
        <v>37</v>
      </c>
      <c r="F431" s="274">
        <v>500</v>
      </c>
      <c r="G431" s="222">
        <v>35</v>
      </c>
      <c r="H431" s="218">
        <v>34.94</v>
      </c>
      <c r="I431" s="57">
        <f t="shared" si="15"/>
        <v>34970</v>
      </c>
      <c r="L431" s="228"/>
    </row>
    <row r="432" spans="2:12" ht="25.5" x14ac:dyDescent="0.25">
      <c r="B432" s="51"/>
      <c r="C432" s="52" t="s">
        <v>712</v>
      </c>
      <c r="D432" s="87" t="s">
        <v>713</v>
      </c>
      <c r="E432" s="273" t="s">
        <v>37</v>
      </c>
      <c r="F432" s="274"/>
      <c r="G432" s="222"/>
      <c r="H432" s="218"/>
      <c r="I432" s="57">
        <f t="shared" si="15"/>
        <v>0</v>
      </c>
    </row>
    <row r="433" spans="2:12" ht="25.5" x14ac:dyDescent="0.25">
      <c r="B433" s="51"/>
      <c r="C433" s="52" t="s">
        <v>714</v>
      </c>
      <c r="D433" s="87" t="s">
        <v>715</v>
      </c>
      <c r="E433" s="273" t="s">
        <v>37</v>
      </c>
      <c r="F433" s="274">
        <v>60</v>
      </c>
      <c r="G433" s="222">
        <v>35</v>
      </c>
      <c r="H433" s="218">
        <v>34.94</v>
      </c>
      <c r="I433" s="57">
        <f t="shared" si="15"/>
        <v>4196.3999999999996</v>
      </c>
      <c r="L433" s="228"/>
    </row>
    <row r="434" spans="2:12" ht="25.5" x14ac:dyDescent="0.25">
      <c r="B434" s="51"/>
      <c r="C434" s="52" t="s">
        <v>716</v>
      </c>
      <c r="D434" s="87" t="s">
        <v>717</v>
      </c>
      <c r="E434" s="273" t="s">
        <v>37</v>
      </c>
      <c r="F434" s="274"/>
      <c r="G434" s="222"/>
      <c r="H434" s="223"/>
      <c r="I434" s="57">
        <f t="shared" si="15"/>
        <v>0</v>
      </c>
    </row>
    <row r="435" spans="2:12" ht="25.5" x14ac:dyDescent="0.25">
      <c r="B435" s="51"/>
      <c r="C435" s="52" t="s">
        <v>718</v>
      </c>
      <c r="D435" s="87" t="s">
        <v>719</v>
      </c>
      <c r="E435" s="273" t="s">
        <v>79</v>
      </c>
      <c r="F435" s="274"/>
      <c r="G435" s="222"/>
      <c r="H435" s="223"/>
      <c r="I435" s="57">
        <f t="shared" si="15"/>
        <v>0</v>
      </c>
    </row>
    <row r="436" spans="2:12" ht="25.5" x14ac:dyDescent="0.25">
      <c r="B436" s="51"/>
      <c r="C436" s="52" t="s">
        <v>720</v>
      </c>
      <c r="D436" s="87" t="s">
        <v>721</v>
      </c>
      <c r="E436" s="273" t="s">
        <v>79</v>
      </c>
      <c r="F436" s="274"/>
      <c r="G436" s="222"/>
      <c r="H436" s="218"/>
      <c r="I436" s="57">
        <f t="shared" si="15"/>
        <v>0</v>
      </c>
    </row>
    <row r="437" spans="2:12" x14ac:dyDescent="0.25">
      <c r="B437" s="51"/>
      <c r="C437" s="52" t="s">
        <v>722</v>
      </c>
      <c r="D437" s="87" t="s">
        <v>723</v>
      </c>
      <c r="E437" s="273" t="s">
        <v>79</v>
      </c>
      <c r="F437" s="274"/>
      <c r="G437" s="222"/>
      <c r="H437" s="223"/>
      <c r="I437" s="57">
        <f t="shared" si="15"/>
        <v>0</v>
      </c>
    </row>
    <row r="438" spans="2:12" x14ac:dyDescent="0.25">
      <c r="B438" s="51"/>
      <c r="C438" s="52" t="s">
        <v>724</v>
      </c>
      <c r="D438" s="87" t="s">
        <v>725</v>
      </c>
      <c r="E438" s="273" t="s">
        <v>79</v>
      </c>
      <c r="F438" s="274"/>
      <c r="G438" s="222"/>
      <c r="H438" s="218"/>
      <c r="I438" s="57">
        <f t="shared" si="15"/>
        <v>0</v>
      </c>
    </row>
    <row r="439" spans="2:12" ht="38.25" x14ac:dyDescent="0.25">
      <c r="B439" s="51"/>
      <c r="C439" s="52" t="s">
        <v>726</v>
      </c>
      <c r="D439" s="87" t="s">
        <v>727</v>
      </c>
      <c r="E439" s="273" t="s">
        <v>79</v>
      </c>
      <c r="F439" s="274"/>
      <c r="G439" s="222"/>
      <c r="H439" s="218"/>
      <c r="I439" s="57">
        <f t="shared" si="15"/>
        <v>0</v>
      </c>
    </row>
    <row r="440" spans="2:12" ht="38.25" x14ac:dyDescent="0.25">
      <c r="B440" s="51"/>
      <c r="C440" s="52" t="s">
        <v>728</v>
      </c>
      <c r="D440" s="87" t="s">
        <v>729</v>
      </c>
      <c r="E440" s="273" t="s">
        <v>79</v>
      </c>
      <c r="F440" s="274">
        <v>2</v>
      </c>
      <c r="G440" s="222">
        <v>4250</v>
      </c>
      <c r="H440" s="218">
        <v>1650</v>
      </c>
      <c r="I440" s="57">
        <f t="shared" si="15"/>
        <v>11800</v>
      </c>
      <c r="L440" s="228"/>
    </row>
    <row r="441" spans="2:12" ht="25.5" x14ac:dyDescent="0.25">
      <c r="B441" s="51"/>
      <c r="C441" s="52" t="s">
        <v>730</v>
      </c>
      <c r="D441" s="87" t="s">
        <v>731</v>
      </c>
      <c r="E441" s="273" t="s">
        <v>703</v>
      </c>
      <c r="F441" s="274"/>
      <c r="G441" s="222"/>
      <c r="H441" s="218"/>
      <c r="I441" s="57">
        <f t="shared" si="15"/>
        <v>0</v>
      </c>
    </row>
    <row r="442" spans="2:12" x14ac:dyDescent="0.25">
      <c r="B442" s="51"/>
      <c r="C442" s="52" t="s">
        <v>732</v>
      </c>
      <c r="D442" s="87" t="s">
        <v>733</v>
      </c>
      <c r="E442" s="273" t="s">
        <v>50</v>
      </c>
      <c r="F442" s="274">
        <v>1</v>
      </c>
      <c r="G442" s="222">
        <v>2700</v>
      </c>
      <c r="H442" s="218">
        <v>2350</v>
      </c>
      <c r="I442" s="57">
        <f t="shared" si="15"/>
        <v>5050</v>
      </c>
      <c r="L442" s="228"/>
    </row>
    <row r="443" spans="2:12" ht="25.5" x14ac:dyDescent="0.25">
      <c r="B443" s="51"/>
      <c r="C443" s="52" t="s">
        <v>734</v>
      </c>
      <c r="D443" s="87" t="s">
        <v>735</v>
      </c>
      <c r="E443" s="273" t="s">
        <v>50</v>
      </c>
      <c r="F443" s="274">
        <v>1</v>
      </c>
      <c r="G443" s="222">
        <v>3200</v>
      </c>
      <c r="H443" s="218">
        <v>4100</v>
      </c>
      <c r="I443" s="57">
        <f t="shared" si="15"/>
        <v>7300</v>
      </c>
      <c r="L443" s="228"/>
    </row>
    <row r="444" spans="2:12" x14ac:dyDescent="0.25">
      <c r="B444" s="51"/>
      <c r="C444" s="52" t="s">
        <v>736</v>
      </c>
      <c r="D444" s="87" t="s">
        <v>737</v>
      </c>
      <c r="E444" s="273" t="s">
        <v>50</v>
      </c>
      <c r="F444" s="274">
        <v>1</v>
      </c>
      <c r="G444" s="222"/>
      <c r="H444" s="218">
        <v>8000</v>
      </c>
      <c r="I444" s="57">
        <f t="shared" si="15"/>
        <v>8000</v>
      </c>
      <c r="L444" s="228"/>
    </row>
    <row r="445" spans="2:12" x14ac:dyDescent="0.25">
      <c r="B445" s="51"/>
      <c r="C445" s="52" t="s">
        <v>738</v>
      </c>
      <c r="D445" s="87" t="s">
        <v>739</v>
      </c>
      <c r="E445" s="273" t="s">
        <v>50</v>
      </c>
      <c r="F445" s="274">
        <v>1</v>
      </c>
      <c r="G445" s="222">
        <v>3941.18</v>
      </c>
      <c r="H445" s="218">
        <v>3800</v>
      </c>
      <c r="I445" s="57">
        <f t="shared" si="15"/>
        <v>7741.18</v>
      </c>
      <c r="L445" s="228"/>
    </row>
    <row r="446" spans="2:12" x14ac:dyDescent="0.25">
      <c r="B446" s="75"/>
      <c r="C446" s="76" t="s">
        <v>740</v>
      </c>
      <c r="D446" s="77" t="s">
        <v>741</v>
      </c>
      <c r="E446" s="78"/>
      <c r="F446" s="79"/>
      <c r="G446" s="71"/>
      <c r="H446" s="71"/>
      <c r="I446" s="72">
        <f>I447</f>
        <v>156590</v>
      </c>
    </row>
    <row r="447" spans="2:12" x14ac:dyDescent="0.25">
      <c r="B447" s="66"/>
      <c r="C447" s="67" t="s">
        <v>742</v>
      </c>
      <c r="D447" s="68" t="s">
        <v>743</v>
      </c>
      <c r="E447" s="67"/>
      <c r="F447" s="69"/>
      <c r="G447" s="70"/>
      <c r="H447" s="71"/>
      <c r="I447" s="72">
        <f>SUM(I448:I463)</f>
        <v>156590</v>
      </c>
    </row>
    <row r="448" spans="2:12" x14ac:dyDescent="0.25">
      <c r="B448" s="83">
        <v>810310</v>
      </c>
      <c r="C448" s="52" t="s">
        <v>744</v>
      </c>
      <c r="D448" s="53" t="s">
        <v>745</v>
      </c>
      <c r="E448" s="52" t="s">
        <v>50</v>
      </c>
      <c r="F448" s="54">
        <v>1</v>
      </c>
      <c r="G448" s="55"/>
      <c r="H448" s="64">
        <v>6200</v>
      </c>
      <c r="I448" s="57">
        <f t="shared" ref="I448:I463" si="16">F448*G448+F448*H448</f>
        <v>6200</v>
      </c>
    </row>
    <row r="449" spans="2:12" ht="25.5" x14ac:dyDescent="0.25">
      <c r="B449" s="51">
        <v>810105</v>
      </c>
      <c r="C449" s="52" t="s">
        <v>746</v>
      </c>
      <c r="D449" s="53" t="s">
        <v>747</v>
      </c>
      <c r="E449" s="52" t="s">
        <v>50</v>
      </c>
      <c r="F449" s="54"/>
      <c r="G449" s="55"/>
      <c r="H449" s="64"/>
      <c r="I449" s="57">
        <f t="shared" si="16"/>
        <v>0</v>
      </c>
    </row>
    <row r="450" spans="2:12" ht="25.5" x14ac:dyDescent="0.25">
      <c r="B450" s="83">
        <v>810310</v>
      </c>
      <c r="C450" s="52" t="s">
        <v>748</v>
      </c>
      <c r="D450" s="53" t="s">
        <v>749</v>
      </c>
      <c r="E450" s="52" t="s">
        <v>50</v>
      </c>
      <c r="F450" s="54"/>
      <c r="G450" s="63"/>
      <c r="H450" s="64"/>
      <c r="I450" s="57">
        <f t="shared" si="16"/>
        <v>0</v>
      </c>
      <c r="L450" s="228"/>
    </row>
    <row r="451" spans="2:12" ht="25.5" x14ac:dyDescent="0.25">
      <c r="B451" s="51">
        <v>810080</v>
      </c>
      <c r="C451" s="52" t="s">
        <v>750</v>
      </c>
      <c r="D451" s="53" t="s">
        <v>751</v>
      </c>
      <c r="E451" s="52" t="s">
        <v>50</v>
      </c>
      <c r="F451" s="54">
        <v>1</v>
      </c>
      <c r="G451" s="63"/>
      <c r="H451" s="64">
        <v>1900</v>
      </c>
      <c r="I451" s="57">
        <f t="shared" si="16"/>
        <v>1900</v>
      </c>
      <c r="L451" s="228"/>
    </row>
    <row r="452" spans="2:12" ht="51" x14ac:dyDescent="0.25">
      <c r="B452" s="51">
        <v>810105</v>
      </c>
      <c r="C452" s="52" t="s">
        <v>752</v>
      </c>
      <c r="D452" s="53" t="s">
        <v>753</v>
      </c>
      <c r="E452" s="52" t="s">
        <v>50</v>
      </c>
      <c r="F452" s="54"/>
      <c r="G452" s="55"/>
      <c r="H452" s="64"/>
      <c r="I452" s="57">
        <f t="shared" si="16"/>
        <v>0</v>
      </c>
    </row>
    <row r="453" spans="2:12" x14ac:dyDescent="0.25">
      <c r="B453" s="51">
        <v>810100</v>
      </c>
      <c r="C453" s="52" t="s">
        <v>754</v>
      </c>
      <c r="D453" s="53" t="s">
        <v>755</v>
      </c>
      <c r="E453" s="52" t="s">
        <v>50</v>
      </c>
      <c r="F453" s="54"/>
      <c r="G453" s="55"/>
      <c r="H453" s="64"/>
      <c r="I453" s="57">
        <f t="shared" si="16"/>
        <v>0</v>
      </c>
    </row>
    <row r="454" spans="2:12" ht="25.5" x14ac:dyDescent="0.25">
      <c r="B454" s="51">
        <v>810100</v>
      </c>
      <c r="C454" s="52" t="s">
        <v>756</v>
      </c>
      <c r="D454" s="53" t="s">
        <v>757</v>
      </c>
      <c r="E454" s="52" t="s">
        <v>50</v>
      </c>
      <c r="F454" s="54"/>
      <c r="G454" s="55"/>
      <c r="H454" s="64"/>
      <c r="I454" s="57">
        <f t="shared" si="16"/>
        <v>0</v>
      </c>
    </row>
    <row r="455" spans="2:12" ht="25.5" x14ac:dyDescent="0.25">
      <c r="B455" s="51">
        <v>810101</v>
      </c>
      <c r="C455" s="52" t="s">
        <v>758</v>
      </c>
      <c r="D455" s="53" t="s">
        <v>759</v>
      </c>
      <c r="E455" s="52" t="s">
        <v>50</v>
      </c>
      <c r="F455" s="54"/>
      <c r="G455" s="55"/>
      <c r="H455" s="64"/>
      <c r="I455" s="57">
        <f t="shared" si="16"/>
        <v>0</v>
      </c>
    </row>
    <row r="456" spans="2:12" ht="25.5" x14ac:dyDescent="0.25">
      <c r="B456" s="51">
        <v>810100</v>
      </c>
      <c r="C456" s="52" t="s">
        <v>760</v>
      </c>
      <c r="D456" s="53" t="s">
        <v>761</v>
      </c>
      <c r="E456" s="52" t="s">
        <v>50</v>
      </c>
      <c r="F456" s="84"/>
      <c r="G456" s="55"/>
      <c r="H456" s="64"/>
      <c r="I456" s="57">
        <f t="shared" si="16"/>
        <v>0</v>
      </c>
      <c r="J456" s="264" t="s">
        <v>943</v>
      </c>
      <c r="K456" s="263"/>
    </row>
    <row r="457" spans="2:12" x14ac:dyDescent="0.25">
      <c r="B457" s="51">
        <v>810080</v>
      </c>
      <c r="C457" s="52" t="s">
        <v>762</v>
      </c>
      <c r="D457" s="53" t="s">
        <v>763</v>
      </c>
      <c r="E457" s="52" t="s">
        <v>50</v>
      </c>
      <c r="F457" s="54">
        <v>1</v>
      </c>
      <c r="G457" s="55"/>
      <c r="H457" s="64">
        <v>42000</v>
      </c>
      <c r="I457" s="57">
        <f t="shared" si="16"/>
        <v>42000</v>
      </c>
      <c r="J457" s="264"/>
      <c r="K457" s="263"/>
    </row>
    <row r="458" spans="2:12" x14ac:dyDescent="0.25">
      <c r="B458" s="51">
        <v>810080</v>
      </c>
      <c r="C458" s="52" t="s">
        <v>764</v>
      </c>
      <c r="D458" s="87" t="s">
        <v>765</v>
      </c>
      <c r="E458" s="273" t="s">
        <v>50</v>
      </c>
      <c r="F458" s="88">
        <v>1</v>
      </c>
      <c r="G458" s="63"/>
      <c r="H458" s="64">
        <v>34990</v>
      </c>
      <c r="I458" s="57">
        <f t="shared" si="16"/>
        <v>34990</v>
      </c>
      <c r="J458" s="264"/>
      <c r="K458" s="263"/>
    </row>
    <row r="459" spans="2:12" x14ac:dyDescent="0.25">
      <c r="B459" s="51">
        <v>810080</v>
      </c>
      <c r="C459" s="52" t="s">
        <v>766</v>
      </c>
      <c r="D459" s="87" t="s">
        <v>767</v>
      </c>
      <c r="E459" s="273" t="s">
        <v>50</v>
      </c>
      <c r="F459" s="275">
        <v>1</v>
      </c>
      <c r="G459" s="63"/>
      <c r="H459" s="64">
        <v>51200</v>
      </c>
      <c r="I459" s="57">
        <f t="shared" si="16"/>
        <v>51200</v>
      </c>
      <c r="J459" s="264"/>
      <c r="K459" s="263"/>
    </row>
    <row r="460" spans="2:12" x14ac:dyDescent="0.25">
      <c r="B460" s="51">
        <v>810080</v>
      </c>
      <c r="C460" s="52" t="s">
        <v>768</v>
      </c>
      <c r="D460" s="86" t="s">
        <v>769</v>
      </c>
      <c r="E460" s="273" t="s">
        <v>50</v>
      </c>
      <c r="F460" s="275">
        <v>1</v>
      </c>
      <c r="G460" s="63"/>
      <c r="H460" s="64">
        <v>10500</v>
      </c>
      <c r="I460" s="57">
        <f t="shared" si="16"/>
        <v>10500</v>
      </c>
      <c r="J460" s="264"/>
      <c r="K460" s="263"/>
    </row>
    <row r="461" spans="2:12" x14ac:dyDescent="0.25">
      <c r="B461" s="51">
        <v>810100</v>
      </c>
      <c r="C461" s="52" t="s">
        <v>770</v>
      </c>
      <c r="D461" s="86" t="s">
        <v>771</v>
      </c>
      <c r="E461" s="273" t="s">
        <v>50</v>
      </c>
      <c r="F461" s="88">
        <v>1</v>
      </c>
      <c r="G461" s="63"/>
      <c r="H461" s="64">
        <v>4600</v>
      </c>
      <c r="I461" s="57">
        <f t="shared" si="16"/>
        <v>4600</v>
      </c>
      <c r="J461" s="264"/>
      <c r="K461" s="263"/>
    </row>
    <row r="462" spans="2:12" x14ac:dyDescent="0.25">
      <c r="B462" s="51">
        <v>810080</v>
      </c>
      <c r="C462" s="52" t="s">
        <v>772</v>
      </c>
      <c r="D462" s="86" t="s">
        <v>773</v>
      </c>
      <c r="E462" s="273" t="s">
        <v>50</v>
      </c>
      <c r="F462" s="88">
        <v>1</v>
      </c>
      <c r="G462" s="63"/>
      <c r="H462" s="64">
        <v>2800</v>
      </c>
      <c r="I462" s="57">
        <f t="shared" si="16"/>
        <v>2800</v>
      </c>
    </row>
    <row r="463" spans="2:12" x14ac:dyDescent="0.25">
      <c r="B463" s="83">
        <v>810310</v>
      </c>
      <c r="C463" s="52" t="s">
        <v>774</v>
      </c>
      <c r="D463" s="86" t="s">
        <v>775</v>
      </c>
      <c r="E463" s="273" t="s">
        <v>50</v>
      </c>
      <c r="F463" s="88">
        <v>1</v>
      </c>
      <c r="G463" s="63"/>
      <c r="H463" s="64">
        <v>2400</v>
      </c>
      <c r="I463" s="57">
        <f t="shared" si="16"/>
        <v>2400</v>
      </c>
    </row>
    <row r="464" spans="2:12" x14ac:dyDescent="0.25">
      <c r="B464" s="75"/>
      <c r="C464" s="76" t="s">
        <v>776</v>
      </c>
      <c r="D464" s="77" t="s">
        <v>777</v>
      </c>
      <c r="E464" s="78"/>
      <c r="F464" s="79"/>
      <c r="G464" s="71"/>
      <c r="H464" s="71"/>
      <c r="I464" s="72">
        <f>I465+I480+I497+I520+I533</f>
        <v>167486.5</v>
      </c>
    </row>
    <row r="465" spans="2:12" x14ac:dyDescent="0.25">
      <c r="B465" s="66">
        <v>810105</v>
      </c>
      <c r="C465" s="67" t="s">
        <v>778</v>
      </c>
      <c r="D465" s="68" t="s">
        <v>779</v>
      </c>
      <c r="E465" s="67"/>
      <c r="F465" s="69"/>
      <c r="G465" s="70"/>
      <c r="H465" s="71"/>
      <c r="I465" s="72">
        <f>SUM(I466:I479)</f>
        <v>0</v>
      </c>
      <c r="L465" s="228"/>
    </row>
    <row r="466" spans="2:12" ht="25.5" x14ac:dyDescent="0.25">
      <c r="B466" s="51"/>
      <c r="C466" s="52" t="s">
        <v>778</v>
      </c>
      <c r="D466" s="53" t="s">
        <v>780</v>
      </c>
      <c r="E466" s="52" t="s">
        <v>305</v>
      </c>
      <c r="F466" s="54"/>
      <c r="G466" s="55"/>
      <c r="H466" s="61"/>
      <c r="I466" s="57">
        <f t="shared" ref="I466:I479" si="17">F466*G466+F466*H466</f>
        <v>0</v>
      </c>
    </row>
    <row r="467" spans="2:12" ht="25.5" x14ac:dyDescent="0.25">
      <c r="B467" s="51"/>
      <c r="C467" s="52" t="s">
        <v>781</v>
      </c>
      <c r="D467" s="53" t="s">
        <v>782</v>
      </c>
      <c r="E467" s="52" t="s">
        <v>305</v>
      </c>
      <c r="F467" s="54"/>
      <c r="G467" s="55"/>
      <c r="H467" s="61"/>
      <c r="I467" s="57">
        <f t="shared" si="17"/>
        <v>0</v>
      </c>
    </row>
    <row r="468" spans="2:12" x14ac:dyDescent="0.25">
      <c r="B468" s="51"/>
      <c r="C468" s="52" t="s">
        <v>783</v>
      </c>
      <c r="D468" s="53" t="s">
        <v>784</v>
      </c>
      <c r="E468" s="52" t="s">
        <v>305</v>
      </c>
      <c r="F468" s="54"/>
      <c r="G468" s="85"/>
      <c r="H468" s="85"/>
      <c r="I468" s="57">
        <f t="shared" si="17"/>
        <v>0</v>
      </c>
    </row>
    <row r="469" spans="2:12" ht="25.5" x14ac:dyDescent="0.25">
      <c r="B469" s="51"/>
      <c r="C469" s="52" t="s">
        <v>785</v>
      </c>
      <c r="D469" s="53" t="s">
        <v>786</v>
      </c>
      <c r="E469" s="52" t="s">
        <v>79</v>
      </c>
      <c r="F469" s="54"/>
      <c r="G469" s="55"/>
      <c r="H469" s="61"/>
      <c r="I469" s="57">
        <f t="shared" si="17"/>
        <v>0</v>
      </c>
    </row>
    <row r="470" spans="2:12" x14ac:dyDescent="0.25">
      <c r="B470" s="51"/>
      <c r="C470" s="52" t="s">
        <v>787</v>
      </c>
      <c r="D470" s="53" t="s">
        <v>788</v>
      </c>
      <c r="E470" s="52" t="s">
        <v>305</v>
      </c>
      <c r="F470" s="54"/>
      <c r="G470" s="55"/>
      <c r="H470" s="61"/>
      <c r="I470" s="57">
        <f t="shared" si="17"/>
        <v>0</v>
      </c>
    </row>
    <row r="471" spans="2:12" x14ac:dyDescent="0.25">
      <c r="B471" s="51"/>
      <c r="C471" s="52" t="s">
        <v>789</v>
      </c>
      <c r="D471" s="53" t="s">
        <v>790</v>
      </c>
      <c r="E471" s="52" t="s">
        <v>305</v>
      </c>
      <c r="F471" s="54"/>
      <c r="G471" s="55"/>
      <c r="H471" s="61"/>
      <c r="I471" s="57">
        <f t="shared" si="17"/>
        <v>0</v>
      </c>
    </row>
    <row r="472" spans="2:12" x14ac:dyDescent="0.25">
      <c r="B472" s="51"/>
      <c r="C472" s="52" t="s">
        <v>791</v>
      </c>
      <c r="D472" s="53" t="s">
        <v>792</v>
      </c>
      <c r="E472" s="52" t="s">
        <v>50</v>
      </c>
      <c r="F472" s="54"/>
      <c r="G472" s="55"/>
      <c r="H472" s="61"/>
      <c r="I472" s="57">
        <f t="shared" si="17"/>
        <v>0</v>
      </c>
    </row>
    <row r="473" spans="2:12" ht="25.5" x14ac:dyDescent="0.25">
      <c r="B473" s="51"/>
      <c r="C473" s="52" t="s">
        <v>793</v>
      </c>
      <c r="D473" s="53" t="s">
        <v>794</v>
      </c>
      <c r="E473" s="52" t="s">
        <v>305</v>
      </c>
      <c r="F473" s="54"/>
      <c r="G473" s="55"/>
      <c r="H473" s="61"/>
      <c r="I473" s="57">
        <f t="shared" si="17"/>
        <v>0</v>
      </c>
    </row>
    <row r="474" spans="2:12" ht="25.5" x14ac:dyDescent="0.25">
      <c r="B474" s="51"/>
      <c r="C474" s="52" t="s">
        <v>795</v>
      </c>
      <c r="D474" s="80" t="s">
        <v>796</v>
      </c>
      <c r="E474" s="52" t="s">
        <v>50</v>
      </c>
      <c r="F474" s="54"/>
      <c r="G474" s="55"/>
      <c r="H474" s="61"/>
      <c r="I474" s="57">
        <f t="shared" si="17"/>
        <v>0</v>
      </c>
    </row>
    <row r="475" spans="2:12" x14ac:dyDescent="0.25">
      <c r="B475" s="51"/>
      <c r="C475" s="52" t="s">
        <v>797</v>
      </c>
      <c r="D475" s="53" t="s">
        <v>798</v>
      </c>
      <c r="E475" s="52" t="s">
        <v>305</v>
      </c>
      <c r="F475" s="54"/>
      <c r="G475" s="55"/>
      <c r="H475" s="61"/>
      <c r="I475" s="57">
        <f t="shared" si="17"/>
        <v>0</v>
      </c>
    </row>
    <row r="476" spans="2:12" x14ac:dyDescent="0.25">
      <c r="B476" s="51"/>
      <c r="C476" s="52" t="s">
        <v>799</v>
      </c>
      <c r="D476" s="86" t="s">
        <v>800</v>
      </c>
      <c r="E476" s="52" t="s">
        <v>50</v>
      </c>
      <c r="F476" s="84"/>
      <c r="G476" s="55"/>
      <c r="H476" s="61"/>
      <c r="I476" s="57">
        <f t="shared" si="17"/>
        <v>0</v>
      </c>
    </row>
    <row r="477" spans="2:12" x14ac:dyDescent="0.25">
      <c r="B477" s="51"/>
      <c r="C477" s="52" t="s">
        <v>801</v>
      </c>
      <c r="D477" s="87" t="s">
        <v>802</v>
      </c>
      <c r="E477" s="52" t="s">
        <v>50</v>
      </c>
      <c r="F477" s="84"/>
      <c r="G477" s="55"/>
      <c r="H477" s="61"/>
      <c r="I477" s="57">
        <f t="shared" si="17"/>
        <v>0</v>
      </c>
    </row>
    <row r="478" spans="2:12" ht="25.5" x14ac:dyDescent="0.25">
      <c r="B478" s="51"/>
      <c r="C478" s="52" t="s">
        <v>803</v>
      </c>
      <c r="D478" s="53" t="s">
        <v>804</v>
      </c>
      <c r="E478" s="52" t="s">
        <v>305</v>
      </c>
      <c r="F478" s="84"/>
      <c r="G478" s="55"/>
      <c r="H478" s="61"/>
      <c r="I478" s="57">
        <f t="shared" si="17"/>
        <v>0</v>
      </c>
    </row>
    <row r="479" spans="2:12" ht="25.5" x14ac:dyDescent="0.25">
      <c r="B479" s="51"/>
      <c r="C479" s="52" t="s">
        <v>805</v>
      </c>
      <c r="D479" s="87" t="s">
        <v>806</v>
      </c>
      <c r="E479" s="52" t="s">
        <v>50</v>
      </c>
      <c r="F479" s="84"/>
      <c r="G479" s="55"/>
      <c r="H479" s="61"/>
      <c r="I479" s="57">
        <f t="shared" si="17"/>
        <v>0</v>
      </c>
    </row>
    <row r="480" spans="2:12" x14ac:dyDescent="0.25">
      <c r="B480" s="66">
        <v>810100</v>
      </c>
      <c r="C480" s="67" t="s">
        <v>807</v>
      </c>
      <c r="D480" s="68" t="s">
        <v>808</v>
      </c>
      <c r="E480" s="67"/>
      <c r="F480" s="69"/>
      <c r="G480" s="70"/>
      <c r="H480" s="71"/>
      <c r="I480" s="72">
        <f>SUM(I481:I496)</f>
        <v>49200</v>
      </c>
    </row>
    <row r="481" spans="2:9" x14ac:dyDescent="0.25">
      <c r="B481" s="51"/>
      <c r="C481" s="52" t="s">
        <v>809</v>
      </c>
      <c r="D481" s="53" t="s">
        <v>60</v>
      </c>
      <c r="E481" s="52" t="s">
        <v>37</v>
      </c>
      <c r="F481" s="275">
        <v>480</v>
      </c>
      <c r="G481" s="63">
        <v>24</v>
      </c>
      <c r="H481" s="64">
        <v>29</v>
      </c>
      <c r="I481" s="65">
        <f t="shared" ref="I481:I496" si="18">F481*G481+F481*H481</f>
        <v>25440</v>
      </c>
    </row>
    <row r="482" spans="2:9" x14ac:dyDescent="0.25">
      <c r="B482" s="51"/>
      <c r="C482" s="52" t="s">
        <v>810</v>
      </c>
      <c r="D482" s="53" t="s">
        <v>56</v>
      </c>
      <c r="E482" s="52" t="s">
        <v>37</v>
      </c>
      <c r="F482" s="275"/>
      <c r="G482" s="63"/>
      <c r="H482" s="218"/>
      <c r="I482" s="65">
        <f t="shared" si="18"/>
        <v>0</v>
      </c>
    </row>
    <row r="483" spans="2:9" ht="25.5" x14ac:dyDescent="0.25">
      <c r="B483" s="51"/>
      <c r="C483" s="52" t="s">
        <v>811</v>
      </c>
      <c r="D483" s="53" t="s">
        <v>74</v>
      </c>
      <c r="E483" s="52" t="s">
        <v>50</v>
      </c>
      <c r="F483" s="88">
        <v>240</v>
      </c>
      <c r="G483" s="63">
        <v>15</v>
      </c>
      <c r="H483" s="64">
        <v>11.5</v>
      </c>
      <c r="I483" s="65">
        <f t="shared" si="18"/>
        <v>6360</v>
      </c>
    </row>
    <row r="484" spans="2:9" ht="25.5" x14ac:dyDescent="0.25">
      <c r="B484" s="51"/>
      <c r="C484" s="52" t="s">
        <v>812</v>
      </c>
      <c r="D484" s="53" t="s">
        <v>636</v>
      </c>
      <c r="E484" s="52" t="s">
        <v>50</v>
      </c>
      <c r="F484" s="88">
        <v>240</v>
      </c>
      <c r="G484" s="63">
        <v>14</v>
      </c>
      <c r="H484" s="64">
        <v>11.5</v>
      </c>
      <c r="I484" s="65">
        <f t="shared" si="18"/>
        <v>6120</v>
      </c>
    </row>
    <row r="485" spans="2:9" x14ac:dyDescent="0.25">
      <c r="B485" s="51"/>
      <c r="C485" s="52" t="s">
        <v>813</v>
      </c>
      <c r="D485" s="53" t="s">
        <v>81</v>
      </c>
      <c r="E485" s="52" t="s">
        <v>79</v>
      </c>
      <c r="F485" s="88"/>
      <c r="G485" s="63"/>
      <c r="H485" s="64"/>
      <c r="I485" s="65">
        <f t="shared" si="18"/>
        <v>0</v>
      </c>
    </row>
    <row r="486" spans="2:9" x14ac:dyDescent="0.25">
      <c r="B486" s="51"/>
      <c r="C486" s="52" t="s">
        <v>814</v>
      </c>
      <c r="D486" s="53" t="s">
        <v>78</v>
      </c>
      <c r="E486" s="52" t="s">
        <v>79</v>
      </c>
      <c r="F486" s="88">
        <v>136</v>
      </c>
      <c r="G486" s="63">
        <v>16</v>
      </c>
      <c r="H486" s="218">
        <v>25</v>
      </c>
      <c r="I486" s="65">
        <f t="shared" si="18"/>
        <v>5576</v>
      </c>
    </row>
    <row r="487" spans="2:9" ht="25.5" x14ac:dyDescent="0.25">
      <c r="B487" s="51"/>
      <c r="C487" s="52" t="s">
        <v>815</v>
      </c>
      <c r="D487" s="53" t="s">
        <v>93</v>
      </c>
      <c r="E487" s="52" t="s">
        <v>50</v>
      </c>
      <c r="F487" s="88">
        <v>136</v>
      </c>
      <c r="G487" s="63">
        <v>15</v>
      </c>
      <c r="H487" s="64">
        <v>11.5</v>
      </c>
      <c r="I487" s="65">
        <f t="shared" si="18"/>
        <v>3604</v>
      </c>
    </row>
    <row r="488" spans="2:9" ht="25.5" x14ac:dyDescent="0.25">
      <c r="B488" s="51"/>
      <c r="C488" s="52" t="s">
        <v>816</v>
      </c>
      <c r="D488" s="53" t="s">
        <v>95</v>
      </c>
      <c r="E488" s="52" t="s">
        <v>50</v>
      </c>
      <c r="F488" s="88"/>
      <c r="G488" s="222"/>
      <c r="H488" s="218"/>
      <c r="I488" s="65">
        <f t="shared" si="18"/>
        <v>0</v>
      </c>
    </row>
    <row r="489" spans="2:9" x14ac:dyDescent="0.25">
      <c r="B489" s="51"/>
      <c r="C489" s="52" t="s">
        <v>817</v>
      </c>
      <c r="D489" s="53" t="s">
        <v>284</v>
      </c>
      <c r="E489" s="52" t="s">
        <v>79</v>
      </c>
      <c r="F489" s="88"/>
      <c r="G489" s="63"/>
      <c r="H489" s="64"/>
      <c r="I489" s="65">
        <f t="shared" si="18"/>
        <v>0</v>
      </c>
    </row>
    <row r="490" spans="2:9" x14ac:dyDescent="0.25">
      <c r="B490" s="51"/>
      <c r="C490" s="52" t="s">
        <v>818</v>
      </c>
      <c r="D490" s="53" t="s">
        <v>819</v>
      </c>
      <c r="E490" s="52" t="s">
        <v>79</v>
      </c>
      <c r="F490" s="88"/>
      <c r="G490" s="63"/>
      <c r="H490" s="64"/>
      <c r="I490" s="65">
        <f t="shared" si="18"/>
        <v>0</v>
      </c>
    </row>
    <row r="491" spans="2:9" x14ac:dyDescent="0.25">
      <c r="B491" s="51"/>
      <c r="C491" s="52" t="s">
        <v>820</v>
      </c>
      <c r="D491" s="53" t="s">
        <v>821</v>
      </c>
      <c r="E491" s="52" t="s">
        <v>79</v>
      </c>
      <c r="F491" s="54"/>
      <c r="G491" s="55"/>
      <c r="H491" s="56"/>
      <c r="I491" s="65">
        <f t="shared" si="18"/>
        <v>0</v>
      </c>
    </row>
    <row r="492" spans="2:9" x14ac:dyDescent="0.25">
      <c r="B492" s="51"/>
      <c r="C492" s="52" t="s">
        <v>822</v>
      </c>
      <c r="D492" s="53" t="s">
        <v>823</v>
      </c>
      <c r="E492" s="52" t="s">
        <v>79</v>
      </c>
      <c r="F492" s="54"/>
      <c r="G492" s="55"/>
      <c r="H492" s="56"/>
      <c r="I492" s="65">
        <f t="shared" si="18"/>
        <v>0</v>
      </c>
    </row>
    <row r="493" spans="2:9" x14ac:dyDescent="0.25">
      <c r="B493" s="51"/>
      <c r="C493" s="52" t="s">
        <v>824</v>
      </c>
      <c r="D493" s="53" t="s">
        <v>52</v>
      </c>
      <c r="E493" s="52" t="s">
        <v>37</v>
      </c>
      <c r="F493" s="54"/>
      <c r="G493" s="55"/>
      <c r="H493" s="56"/>
      <c r="I493" s="65">
        <f t="shared" si="18"/>
        <v>0</v>
      </c>
    </row>
    <row r="494" spans="2:9" x14ac:dyDescent="0.25">
      <c r="B494" s="51"/>
      <c r="C494" s="52" t="s">
        <v>825</v>
      </c>
      <c r="D494" s="53" t="s">
        <v>826</v>
      </c>
      <c r="E494" s="52" t="s">
        <v>79</v>
      </c>
      <c r="F494" s="54"/>
      <c r="G494" s="55"/>
      <c r="H494" s="56"/>
      <c r="I494" s="65">
        <f t="shared" si="18"/>
        <v>0</v>
      </c>
    </row>
    <row r="495" spans="2:9" x14ac:dyDescent="0.25">
      <c r="B495" s="51"/>
      <c r="C495" s="52" t="s">
        <v>827</v>
      </c>
      <c r="D495" s="53" t="s">
        <v>828</v>
      </c>
      <c r="E495" s="52" t="s">
        <v>79</v>
      </c>
      <c r="F495" s="54"/>
      <c r="G495" s="55"/>
      <c r="H495" s="56"/>
      <c r="I495" s="65">
        <f t="shared" si="18"/>
        <v>0</v>
      </c>
    </row>
    <row r="496" spans="2:9" x14ac:dyDescent="0.25">
      <c r="B496" s="51"/>
      <c r="C496" s="52" t="s">
        <v>829</v>
      </c>
      <c r="D496" s="53" t="s">
        <v>181</v>
      </c>
      <c r="E496" s="52" t="s">
        <v>660</v>
      </c>
      <c r="F496" s="54">
        <v>1</v>
      </c>
      <c r="G496" s="222">
        <v>1100</v>
      </c>
      <c r="H496" s="218">
        <v>1000</v>
      </c>
      <c r="I496" s="65">
        <f t="shared" si="18"/>
        <v>2100</v>
      </c>
    </row>
    <row r="497" spans="2:9" x14ac:dyDescent="0.25">
      <c r="B497" s="66">
        <v>810100</v>
      </c>
      <c r="C497" s="67" t="s">
        <v>830</v>
      </c>
      <c r="D497" s="68" t="s">
        <v>831</v>
      </c>
      <c r="E497" s="67"/>
      <c r="F497" s="69"/>
      <c r="G497" s="70"/>
      <c r="H497" s="71"/>
      <c r="I497" s="72">
        <f>SUM(I498:I519)</f>
        <v>29155</v>
      </c>
    </row>
    <row r="498" spans="2:9" x14ac:dyDescent="0.25">
      <c r="B498" s="51"/>
      <c r="C498" s="52" t="s">
        <v>832</v>
      </c>
      <c r="D498" s="53" t="s">
        <v>224</v>
      </c>
      <c r="E498" s="52" t="s">
        <v>37</v>
      </c>
      <c r="F498" s="54"/>
      <c r="G498" s="55"/>
      <c r="H498" s="56"/>
      <c r="I498" s="57">
        <f t="shared" ref="I498:I519" si="19">F498*G498+F498*H498</f>
        <v>0</v>
      </c>
    </row>
    <row r="499" spans="2:9" ht="25.5" x14ac:dyDescent="0.25">
      <c r="B499" s="51"/>
      <c r="C499" s="52" t="s">
        <v>833</v>
      </c>
      <c r="D499" s="53" t="s">
        <v>41</v>
      </c>
      <c r="E499" s="52" t="s">
        <v>37</v>
      </c>
      <c r="F499" s="54"/>
      <c r="G499" s="55"/>
      <c r="H499" s="56"/>
      <c r="I499" s="57">
        <f t="shared" si="19"/>
        <v>0</v>
      </c>
    </row>
    <row r="500" spans="2:9" ht="25.5" x14ac:dyDescent="0.25">
      <c r="B500" s="51"/>
      <c r="C500" s="52" t="s">
        <v>834</v>
      </c>
      <c r="D500" s="53" t="s">
        <v>43</v>
      </c>
      <c r="E500" s="52" t="s">
        <v>37</v>
      </c>
      <c r="F500" s="54">
        <v>105</v>
      </c>
      <c r="G500" s="63">
        <v>44</v>
      </c>
      <c r="H500" s="64">
        <v>29</v>
      </c>
      <c r="I500" s="57">
        <f t="shared" si="19"/>
        <v>7665</v>
      </c>
    </row>
    <row r="501" spans="2:9" x14ac:dyDescent="0.25">
      <c r="B501" s="51"/>
      <c r="C501" s="52" t="s">
        <v>835</v>
      </c>
      <c r="D501" s="53" t="s">
        <v>47</v>
      </c>
      <c r="E501" s="52" t="s">
        <v>37</v>
      </c>
      <c r="F501" s="54"/>
      <c r="G501" s="63"/>
      <c r="H501" s="64"/>
      <c r="I501" s="57">
        <f t="shared" si="19"/>
        <v>0</v>
      </c>
    </row>
    <row r="502" spans="2:9" ht="51" x14ac:dyDescent="0.25">
      <c r="B502" s="51"/>
      <c r="C502" s="52" t="s">
        <v>836</v>
      </c>
      <c r="D502" s="53" t="s">
        <v>49</v>
      </c>
      <c r="E502" s="52" t="s">
        <v>50</v>
      </c>
      <c r="F502" s="54">
        <v>52</v>
      </c>
      <c r="G502" s="63">
        <v>26</v>
      </c>
      <c r="H502" s="64">
        <v>24</v>
      </c>
      <c r="I502" s="57">
        <f t="shared" si="19"/>
        <v>2600</v>
      </c>
    </row>
    <row r="503" spans="2:9" x14ac:dyDescent="0.25">
      <c r="B503" s="51"/>
      <c r="C503" s="52" t="s">
        <v>837</v>
      </c>
      <c r="D503" s="53" t="s">
        <v>52</v>
      </c>
      <c r="E503" s="52" t="s">
        <v>37</v>
      </c>
      <c r="F503" s="54"/>
      <c r="G503" s="63"/>
      <c r="H503" s="64"/>
      <c r="I503" s="57">
        <f t="shared" si="19"/>
        <v>0</v>
      </c>
    </row>
    <row r="504" spans="2:9" ht="38.25" x14ac:dyDescent="0.25">
      <c r="B504" s="51"/>
      <c r="C504" s="52" t="s">
        <v>838</v>
      </c>
      <c r="D504" s="53" t="s">
        <v>54</v>
      </c>
      <c r="E504" s="52" t="s">
        <v>50</v>
      </c>
      <c r="F504" s="54"/>
      <c r="G504" s="63"/>
      <c r="H504" s="64"/>
      <c r="I504" s="57">
        <f t="shared" si="19"/>
        <v>0</v>
      </c>
    </row>
    <row r="505" spans="2:9" x14ac:dyDescent="0.25">
      <c r="B505" s="51"/>
      <c r="C505" s="52" t="s">
        <v>839</v>
      </c>
      <c r="D505" s="53" t="s">
        <v>273</v>
      </c>
      <c r="E505" s="52" t="s">
        <v>37</v>
      </c>
      <c r="F505" s="54"/>
      <c r="G505" s="63"/>
      <c r="H505" s="64"/>
      <c r="I505" s="57">
        <f t="shared" si="19"/>
        <v>0</v>
      </c>
    </row>
    <row r="506" spans="2:9" x14ac:dyDescent="0.25">
      <c r="B506" s="51"/>
      <c r="C506" s="52" t="s">
        <v>840</v>
      </c>
      <c r="D506" s="53" t="s">
        <v>58</v>
      </c>
      <c r="E506" s="52" t="s">
        <v>37</v>
      </c>
      <c r="F506" s="54">
        <v>117</v>
      </c>
      <c r="G506" s="63">
        <v>23</v>
      </c>
      <c r="H506" s="64">
        <v>29</v>
      </c>
      <c r="I506" s="57">
        <f t="shared" si="19"/>
        <v>6084</v>
      </c>
    </row>
    <row r="507" spans="2:9" ht="25.5" x14ac:dyDescent="0.25">
      <c r="B507" s="51"/>
      <c r="C507" s="52" t="s">
        <v>841</v>
      </c>
      <c r="D507" s="53" t="s">
        <v>74</v>
      </c>
      <c r="E507" s="52" t="s">
        <v>50</v>
      </c>
      <c r="F507" s="54">
        <v>58</v>
      </c>
      <c r="G507" s="63">
        <v>15</v>
      </c>
      <c r="H507" s="64">
        <v>12</v>
      </c>
      <c r="I507" s="57">
        <f t="shared" si="19"/>
        <v>1566</v>
      </c>
    </row>
    <row r="508" spans="2:9" ht="25.5" x14ac:dyDescent="0.25">
      <c r="B508" s="51"/>
      <c r="C508" s="52" t="s">
        <v>842</v>
      </c>
      <c r="D508" s="73" t="s">
        <v>76</v>
      </c>
      <c r="E508" s="52" t="s">
        <v>50</v>
      </c>
      <c r="F508" s="54">
        <v>110</v>
      </c>
      <c r="G508" s="63">
        <v>14</v>
      </c>
      <c r="H508" s="64">
        <v>12</v>
      </c>
      <c r="I508" s="57">
        <f t="shared" si="19"/>
        <v>2860</v>
      </c>
    </row>
    <row r="509" spans="2:9" x14ac:dyDescent="0.25">
      <c r="B509" s="51"/>
      <c r="C509" s="52" t="s">
        <v>843</v>
      </c>
      <c r="D509" s="53" t="s">
        <v>238</v>
      </c>
      <c r="E509" s="52" t="s">
        <v>79</v>
      </c>
      <c r="F509" s="54"/>
      <c r="G509" s="63"/>
      <c r="H509" s="64"/>
      <c r="I509" s="57">
        <f t="shared" si="19"/>
        <v>0</v>
      </c>
    </row>
    <row r="510" spans="2:9" x14ac:dyDescent="0.25">
      <c r="C510" s="52" t="s">
        <v>844</v>
      </c>
      <c r="D510" s="53" t="s">
        <v>244</v>
      </c>
      <c r="E510" s="52" t="s">
        <v>79</v>
      </c>
      <c r="F510" s="54"/>
      <c r="G510" s="63"/>
      <c r="H510" s="64"/>
      <c r="I510" s="57">
        <f t="shared" si="19"/>
        <v>0</v>
      </c>
    </row>
    <row r="511" spans="2:9" x14ac:dyDescent="0.25">
      <c r="B511" s="51"/>
      <c r="C511" s="52" t="s">
        <v>845</v>
      </c>
      <c r="D511" s="53" t="s">
        <v>195</v>
      </c>
      <c r="E511" s="52" t="s">
        <v>79</v>
      </c>
      <c r="F511" s="54">
        <v>80</v>
      </c>
      <c r="G511" s="63">
        <v>17</v>
      </c>
      <c r="H511" s="218">
        <v>25</v>
      </c>
      <c r="I511" s="57">
        <f t="shared" si="19"/>
        <v>3360</v>
      </c>
    </row>
    <row r="512" spans="2:9" ht="25.5" x14ac:dyDescent="0.25">
      <c r="B512" s="51"/>
      <c r="C512" s="52" t="s">
        <v>846</v>
      </c>
      <c r="D512" s="73" t="s">
        <v>93</v>
      </c>
      <c r="E512" s="52" t="s">
        <v>50</v>
      </c>
      <c r="F512" s="54">
        <v>80</v>
      </c>
      <c r="G512" s="63">
        <v>15</v>
      </c>
      <c r="H512" s="64">
        <v>11.5</v>
      </c>
      <c r="I512" s="57">
        <f t="shared" si="19"/>
        <v>2120</v>
      </c>
    </row>
    <row r="513" spans="2:12" ht="25.5" x14ac:dyDescent="0.25">
      <c r="B513" s="51"/>
      <c r="C513" s="52" t="s">
        <v>847</v>
      </c>
      <c r="D513" s="73" t="s">
        <v>95</v>
      </c>
      <c r="E513" s="52" t="s">
        <v>50</v>
      </c>
      <c r="F513" s="54"/>
      <c r="G513" s="63"/>
      <c r="H513" s="64"/>
      <c r="I513" s="57">
        <f t="shared" si="19"/>
        <v>0</v>
      </c>
    </row>
    <row r="514" spans="2:12" x14ac:dyDescent="0.25">
      <c r="B514" s="51"/>
      <c r="C514" s="52" t="s">
        <v>848</v>
      </c>
      <c r="D514" s="53" t="s">
        <v>849</v>
      </c>
      <c r="E514" s="52" t="s">
        <v>294</v>
      </c>
      <c r="F514" s="232"/>
      <c r="G514" s="231"/>
      <c r="H514" s="231"/>
      <c r="I514" s="65">
        <f t="shared" si="19"/>
        <v>0</v>
      </c>
    </row>
    <row r="515" spans="2:12" ht="25.5" x14ac:dyDescent="0.25">
      <c r="B515" s="51"/>
      <c r="C515" s="52" t="s">
        <v>850</v>
      </c>
      <c r="D515" s="53" t="s">
        <v>851</v>
      </c>
      <c r="E515" s="52" t="s">
        <v>79</v>
      </c>
      <c r="F515" s="54"/>
      <c r="G515" s="276"/>
      <c r="H515" s="64"/>
      <c r="I515" s="57">
        <f t="shared" si="19"/>
        <v>0</v>
      </c>
    </row>
    <row r="516" spans="2:12" ht="25.5" x14ac:dyDescent="0.25">
      <c r="B516" s="51"/>
      <c r="C516" s="52" t="s">
        <v>852</v>
      </c>
      <c r="D516" s="53" t="s">
        <v>853</v>
      </c>
      <c r="E516" s="52" t="s">
        <v>79</v>
      </c>
      <c r="F516" s="54"/>
      <c r="G516" s="63"/>
      <c r="H516" s="218"/>
      <c r="I516" s="57">
        <f t="shared" si="19"/>
        <v>0</v>
      </c>
    </row>
    <row r="517" spans="2:12" ht="25.5" x14ac:dyDescent="0.25">
      <c r="B517" s="51"/>
      <c r="C517" s="52" t="s">
        <v>854</v>
      </c>
      <c r="D517" s="53" t="s">
        <v>855</v>
      </c>
      <c r="E517" s="52" t="s">
        <v>79</v>
      </c>
      <c r="F517" s="54"/>
      <c r="G517" s="276"/>
      <c r="H517" s="64"/>
      <c r="I517" s="57">
        <f t="shared" si="19"/>
        <v>0</v>
      </c>
    </row>
    <row r="518" spans="2:12" x14ac:dyDescent="0.25">
      <c r="B518" s="51"/>
      <c r="C518" s="52" t="s">
        <v>856</v>
      </c>
      <c r="D518" s="53" t="s">
        <v>857</v>
      </c>
      <c r="E518" s="52" t="s">
        <v>79</v>
      </c>
      <c r="F518" s="54"/>
      <c r="G518" s="276"/>
      <c r="H518" s="64"/>
      <c r="I518" s="57">
        <f t="shared" si="19"/>
        <v>0</v>
      </c>
    </row>
    <row r="519" spans="2:12" x14ac:dyDescent="0.25">
      <c r="B519" s="51"/>
      <c r="C519" s="52" t="s">
        <v>858</v>
      </c>
      <c r="D519" s="53" t="s">
        <v>181</v>
      </c>
      <c r="E519" s="52" t="s">
        <v>660</v>
      </c>
      <c r="F519" s="54">
        <v>1</v>
      </c>
      <c r="G519" s="63">
        <v>1600</v>
      </c>
      <c r="H519" s="64">
        <v>1300</v>
      </c>
      <c r="I519" s="57">
        <f t="shared" si="19"/>
        <v>2900</v>
      </c>
    </row>
    <row r="520" spans="2:12" x14ac:dyDescent="0.25">
      <c r="B520" s="66">
        <v>810100</v>
      </c>
      <c r="C520" s="67" t="s">
        <v>859</v>
      </c>
      <c r="D520" s="68" t="s">
        <v>860</v>
      </c>
      <c r="E520" s="67"/>
      <c r="F520" s="69"/>
      <c r="G520" s="70"/>
      <c r="H520" s="71"/>
      <c r="I520" s="72">
        <f>SUM(I521:I532)</f>
        <v>0</v>
      </c>
      <c r="L520" s="228"/>
    </row>
    <row r="521" spans="2:12" x14ac:dyDescent="0.25">
      <c r="B521" s="51"/>
      <c r="C521" s="52" t="s">
        <v>861</v>
      </c>
      <c r="D521" s="53" t="s">
        <v>273</v>
      </c>
      <c r="E521" s="52" t="s">
        <v>37</v>
      </c>
      <c r="F521" s="84"/>
      <c r="G521" s="55"/>
      <c r="H521" s="56"/>
      <c r="I521" s="57">
        <f t="shared" ref="I521:I532" si="20">G521*F521+H521*F521</f>
        <v>0</v>
      </c>
    </row>
    <row r="522" spans="2:12" x14ac:dyDescent="0.25">
      <c r="B522" s="51"/>
      <c r="C522" s="52" t="s">
        <v>862</v>
      </c>
      <c r="D522" s="53" t="s">
        <v>58</v>
      </c>
      <c r="E522" s="52" t="s">
        <v>37</v>
      </c>
      <c r="F522" s="84"/>
      <c r="G522" s="55"/>
      <c r="H522" s="61"/>
      <c r="I522" s="57">
        <f t="shared" si="20"/>
        <v>0</v>
      </c>
    </row>
    <row r="523" spans="2:12" ht="25.5" x14ac:dyDescent="0.25">
      <c r="B523" s="51"/>
      <c r="C523" s="52" t="s">
        <v>863</v>
      </c>
      <c r="D523" s="53" t="s">
        <v>74</v>
      </c>
      <c r="E523" s="52" t="s">
        <v>50</v>
      </c>
      <c r="F523" s="54"/>
      <c r="G523" s="55"/>
      <c r="H523" s="56"/>
      <c r="I523" s="57">
        <f t="shared" si="20"/>
        <v>0</v>
      </c>
    </row>
    <row r="524" spans="2:12" x14ac:dyDescent="0.25">
      <c r="B524" s="51"/>
      <c r="C524" s="52" t="s">
        <v>864</v>
      </c>
      <c r="D524" s="53" t="s">
        <v>865</v>
      </c>
      <c r="E524" s="52" t="s">
        <v>79</v>
      </c>
      <c r="F524" s="54"/>
      <c r="G524" s="55"/>
      <c r="H524" s="56"/>
      <c r="I524" s="57">
        <f t="shared" si="20"/>
        <v>0</v>
      </c>
    </row>
    <row r="525" spans="2:12" x14ac:dyDescent="0.25">
      <c r="B525" s="51"/>
      <c r="C525" s="52" t="s">
        <v>866</v>
      </c>
      <c r="D525" s="53" t="s">
        <v>867</v>
      </c>
      <c r="E525" s="52" t="s">
        <v>305</v>
      </c>
      <c r="F525" s="54"/>
      <c r="G525" s="55"/>
      <c r="H525" s="56"/>
      <c r="I525" s="57">
        <f t="shared" si="20"/>
        <v>0</v>
      </c>
    </row>
    <row r="526" spans="2:12" ht="25.5" x14ac:dyDescent="0.25">
      <c r="B526" s="51"/>
      <c r="C526" s="52" t="s">
        <v>868</v>
      </c>
      <c r="D526" s="73" t="s">
        <v>636</v>
      </c>
      <c r="E526" s="52" t="s">
        <v>50</v>
      </c>
      <c r="F526" s="54"/>
      <c r="G526" s="55"/>
      <c r="H526" s="56"/>
      <c r="I526" s="57">
        <f t="shared" si="20"/>
        <v>0</v>
      </c>
    </row>
    <row r="527" spans="2:12" x14ac:dyDescent="0.25">
      <c r="B527" s="51"/>
      <c r="C527" s="52" t="s">
        <v>869</v>
      </c>
      <c r="D527" s="53" t="s">
        <v>238</v>
      </c>
      <c r="E527" s="52" t="s">
        <v>79</v>
      </c>
      <c r="F527" s="54"/>
      <c r="G527" s="55"/>
      <c r="H527" s="56"/>
      <c r="I527" s="57">
        <f t="shared" si="20"/>
        <v>0</v>
      </c>
    </row>
    <row r="528" spans="2:12" x14ac:dyDescent="0.25">
      <c r="B528" s="51"/>
      <c r="C528" s="52" t="s">
        <v>870</v>
      </c>
      <c r="D528" s="53" t="s">
        <v>195</v>
      </c>
      <c r="E528" s="52" t="s">
        <v>79</v>
      </c>
      <c r="F528" s="54"/>
      <c r="G528" s="55"/>
      <c r="H528" s="61"/>
      <c r="I528" s="57">
        <f t="shared" si="20"/>
        <v>0</v>
      </c>
    </row>
    <row r="529" spans="2:11" ht="25.5" x14ac:dyDescent="0.25">
      <c r="B529" s="51"/>
      <c r="C529" s="52" t="s">
        <v>871</v>
      </c>
      <c r="D529" s="73" t="s">
        <v>93</v>
      </c>
      <c r="E529" s="52" t="s">
        <v>50</v>
      </c>
      <c r="F529" s="54"/>
      <c r="G529" s="55"/>
      <c r="H529" s="56"/>
      <c r="I529" s="57">
        <f t="shared" si="20"/>
        <v>0</v>
      </c>
    </row>
    <row r="530" spans="2:11" ht="25.5" x14ac:dyDescent="0.25">
      <c r="B530" s="51"/>
      <c r="C530" s="52" t="s">
        <v>872</v>
      </c>
      <c r="D530" s="73" t="s">
        <v>95</v>
      </c>
      <c r="E530" s="52" t="s">
        <v>50</v>
      </c>
      <c r="F530" s="54"/>
      <c r="G530" s="55"/>
      <c r="H530" s="56"/>
      <c r="I530" s="57">
        <f t="shared" si="20"/>
        <v>0</v>
      </c>
    </row>
    <row r="531" spans="2:11" ht="25.5" x14ac:dyDescent="0.25">
      <c r="B531" s="51"/>
      <c r="C531" s="74" t="s">
        <v>873</v>
      </c>
      <c r="D531" s="53" t="s">
        <v>874</v>
      </c>
      <c r="E531" s="52" t="s">
        <v>37</v>
      </c>
      <c r="F531" s="54"/>
      <c r="G531" s="55"/>
      <c r="H531" s="56"/>
      <c r="I531" s="57">
        <f t="shared" si="20"/>
        <v>0</v>
      </c>
    </row>
    <row r="532" spans="2:11" x14ac:dyDescent="0.25">
      <c r="B532" s="51"/>
      <c r="C532" s="74" t="s">
        <v>875</v>
      </c>
      <c r="D532" s="53" t="s">
        <v>181</v>
      </c>
      <c r="E532" s="52" t="s">
        <v>660</v>
      </c>
      <c r="F532" s="54"/>
      <c r="G532" s="55"/>
      <c r="H532" s="56"/>
      <c r="I532" s="57">
        <f t="shared" si="20"/>
        <v>0</v>
      </c>
    </row>
    <row r="533" spans="2:11" x14ac:dyDescent="0.25">
      <c r="B533" s="66">
        <v>810100</v>
      </c>
      <c r="C533" s="67" t="s">
        <v>876</v>
      </c>
      <c r="D533" s="68" t="s">
        <v>877</v>
      </c>
      <c r="E533" s="67"/>
      <c r="F533" s="69"/>
      <c r="G533" s="70"/>
      <c r="H533" s="71"/>
      <c r="I533" s="72">
        <f>SUM(I535:I542)</f>
        <v>89131.5</v>
      </c>
    </row>
    <row r="534" spans="2:11" x14ac:dyDescent="0.25">
      <c r="B534" s="51"/>
      <c r="C534" s="67" t="s">
        <v>878</v>
      </c>
      <c r="D534" s="49" t="s">
        <v>34</v>
      </c>
      <c r="E534" s="42"/>
      <c r="F534" s="42"/>
      <c r="G534" s="50"/>
      <c r="H534" s="50"/>
      <c r="I534" s="48"/>
    </row>
    <row r="535" spans="2:11" x14ac:dyDescent="0.25">
      <c r="B535" s="51"/>
      <c r="C535" s="52" t="s">
        <v>879</v>
      </c>
      <c r="D535" s="53" t="s">
        <v>934</v>
      </c>
      <c r="E535" s="52" t="s">
        <v>79</v>
      </c>
      <c r="F535" s="88">
        <v>1</v>
      </c>
      <c r="G535" s="63"/>
      <c r="H535" s="64">
        <v>3200</v>
      </c>
      <c r="I535" s="57">
        <f t="shared" ref="I535:I542" si="21">F535*G535+F535*H535</f>
        <v>3200</v>
      </c>
    </row>
    <row r="536" spans="2:11" x14ac:dyDescent="0.25">
      <c r="B536" s="51"/>
      <c r="C536" s="52" t="s">
        <v>880</v>
      </c>
      <c r="D536" s="53" t="s">
        <v>927</v>
      </c>
      <c r="E536" s="52" t="s">
        <v>79</v>
      </c>
      <c r="F536" s="219">
        <v>4</v>
      </c>
      <c r="G536" s="63"/>
      <c r="H536" s="64">
        <v>90</v>
      </c>
      <c r="I536" s="57">
        <f t="shared" si="21"/>
        <v>360</v>
      </c>
    </row>
    <row r="537" spans="2:11" x14ac:dyDescent="0.25">
      <c r="B537" s="51"/>
      <c r="C537" s="52" t="s">
        <v>881</v>
      </c>
      <c r="D537" s="53" t="s">
        <v>937</v>
      </c>
      <c r="E537" s="52" t="s">
        <v>50</v>
      </c>
      <c r="F537" s="219">
        <v>414</v>
      </c>
      <c r="G537" s="63">
        <v>28</v>
      </c>
      <c r="H537" s="64">
        <v>68</v>
      </c>
      <c r="I537" s="57">
        <f t="shared" si="21"/>
        <v>39744</v>
      </c>
      <c r="J537" s="258" t="s">
        <v>944</v>
      </c>
      <c r="K537" s="259"/>
    </row>
    <row r="538" spans="2:11" x14ac:dyDescent="0.25">
      <c r="B538" s="51"/>
      <c r="C538" s="52" t="s">
        <v>882</v>
      </c>
      <c r="D538" s="53" t="s">
        <v>928</v>
      </c>
      <c r="E538" s="52" t="s">
        <v>79</v>
      </c>
      <c r="F538" s="219">
        <v>2105</v>
      </c>
      <c r="G538" s="63"/>
      <c r="H538" s="64">
        <v>9.5</v>
      </c>
      <c r="I538" s="57">
        <f t="shared" si="21"/>
        <v>19997.5</v>
      </c>
      <c r="J538" s="258"/>
      <c r="K538" s="259"/>
    </row>
    <row r="539" spans="2:11" x14ac:dyDescent="0.25">
      <c r="B539" s="51"/>
      <c r="C539" s="52" t="s">
        <v>883</v>
      </c>
      <c r="D539" s="87"/>
      <c r="E539" s="52"/>
      <c r="F539" s="88"/>
      <c r="G539" s="63"/>
      <c r="H539" s="64"/>
      <c r="I539" s="57">
        <f t="shared" si="21"/>
        <v>0</v>
      </c>
      <c r="J539" s="258"/>
      <c r="K539" s="259"/>
    </row>
    <row r="540" spans="2:11" ht="63.75" x14ac:dyDescent="0.25">
      <c r="B540" s="51"/>
      <c r="C540" s="52" t="s">
        <v>929</v>
      </c>
      <c r="D540" s="53" t="s">
        <v>941</v>
      </c>
      <c r="E540" s="52" t="s">
        <v>79</v>
      </c>
      <c r="F540" s="219">
        <v>1228</v>
      </c>
      <c r="G540" s="63"/>
      <c r="H540" s="64">
        <v>19</v>
      </c>
      <c r="I540" s="57">
        <f t="shared" si="21"/>
        <v>23332</v>
      </c>
      <c r="J540" s="258"/>
      <c r="K540" s="259"/>
    </row>
    <row r="541" spans="2:11" x14ac:dyDescent="0.25">
      <c r="B541" s="51"/>
      <c r="C541" s="52" t="s">
        <v>884</v>
      </c>
      <c r="D541" s="53" t="s">
        <v>939</v>
      </c>
      <c r="E541" s="52" t="s">
        <v>37</v>
      </c>
      <c r="F541" s="88">
        <v>38</v>
      </c>
      <c r="G541" s="63">
        <v>20</v>
      </c>
      <c r="H541" s="64">
        <v>29</v>
      </c>
      <c r="I541" s="57">
        <f t="shared" si="21"/>
        <v>1862</v>
      </c>
    </row>
    <row r="542" spans="2:11" x14ac:dyDescent="0.25">
      <c r="B542" s="51"/>
      <c r="C542" s="52" t="s">
        <v>930</v>
      </c>
      <c r="D542" s="53" t="s">
        <v>938</v>
      </c>
      <c r="E542" s="52" t="s">
        <v>37</v>
      </c>
      <c r="F542" s="219">
        <v>12</v>
      </c>
      <c r="G542" s="63">
        <v>24</v>
      </c>
      <c r="H542" s="64">
        <v>29</v>
      </c>
      <c r="I542" s="57">
        <f t="shared" si="21"/>
        <v>636</v>
      </c>
    </row>
    <row r="543" spans="2:11" x14ac:dyDescent="0.25">
      <c r="B543" s="51"/>
      <c r="C543" s="52"/>
      <c r="D543" s="53"/>
      <c r="E543" s="52"/>
      <c r="F543" s="219"/>
      <c r="G543" s="63"/>
      <c r="H543" s="64"/>
      <c r="I543" s="229"/>
      <c r="J543" s="264"/>
      <c r="K543" s="263"/>
    </row>
    <row r="544" spans="2:11" ht="15.75" customHeight="1" x14ac:dyDescent="0.25">
      <c r="B544" s="51"/>
      <c r="C544" s="52"/>
      <c r="D544" s="53"/>
      <c r="E544" s="52"/>
      <c r="F544" s="219"/>
      <c r="G544" s="63"/>
      <c r="H544" s="64"/>
      <c r="I544" s="229"/>
      <c r="J544" s="264"/>
      <c r="K544" s="263"/>
    </row>
    <row r="545" spans="2:11" hidden="1" x14ac:dyDescent="0.25">
      <c r="B545" s="51"/>
      <c r="C545" s="52"/>
      <c r="D545" s="53"/>
      <c r="E545" s="52"/>
      <c r="F545" s="219"/>
      <c r="G545" s="63"/>
      <c r="H545" s="64"/>
      <c r="I545" s="229"/>
      <c r="J545" s="264"/>
      <c r="K545" s="263"/>
    </row>
    <row r="546" spans="2:11" hidden="1" x14ac:dyDescent="0.25">
      <c r="B546" s="51"/>
      <c r="C546" s="52"/>
      <c r="D546" s="53"/>
      <c r="E546" s="52"/>
      <c r="F546" s="219"/>
      <c r="G546" s="63"/>
      <c r="H546" s="64"/>
      <c r="I546" s="229"/>
      <c r="J546" s="264"/>
      <c r="K546" s="263"/>
    </row>
    <row r="547" spans="2:11" hidden="1" x14ac:dyDescent="0.25">
      <c r="B547" s="51"/>
      <c r="C547" s="52"/>
      <c r="D547" s="53"/>
      <c r="E547" s="52"/>
      <c r="F547" s="219"/>
      <c r="G547" s="63"/>
      <c r="H547" s="64"/>
      <c r="I547" s="229"/>
      <c r="J547" s="264"/>
      <c r="K547" s="263"/>
    </row>
    <row r="548" spans="2:11" hidden="1" x14ac:dyDescent="0.25">
      <c r="B548" s="51"/>
      <c r="C548" s="52"/>
      <c r="D548" s="53"/>
      <c r="E548" s="52"/>
      <c r="F548" s="219"/>
      <c r="G548" s="63"/>
      <c r="H548" s="64"/>
      <c r="I548" s="57"/>
    </row>
    <row r="549" spans="2:11" hidden="1" x14ac:dyDescent="0.25">
      <c r="B549" s="51"/>
      <c r="C549" s="52"/>
      <c r="D549" s="53"/>
      <c r="E549" s="52"/>
      <c r="F549" s="219"/>
      <c r="G549" s="63"/>
      <c r="H549" s="64"/>
      <c r="I549" s="57"/>
    </row>
    <row r="550" spans="2:11" hidden="1" x14ac:dyDescent="0.25">
      <c r="B550" s="51"/>
      <c r="C550" s="52"/>
      <c r="D550" s="53"/>
      <c r="E550" s="52"/>
      <c r="F550" s="60"/>
      <c r="G550" s="55"/>
      <c r="H550" s="56"/>
      <c r="I550" s="57"/>
    </row>
    <row r="551" spans="2:11" hidden="1" x14ac:dyDescent="0.25">
      <c r="B551" s="51"/>
      <c r="C551" s="52"/>
      <c r="D551" s="53"/>
      <c r="E551" s="52"/>
      <c r="F551" s="60"/>
      <c r="G551" s="55"/>
      <c r="H551" s="56"/>
      <c r="I551" s="57"/>
    </row>
    <row r="552" spans="2:11" hidden="1" x14ac:dyDescent="0.25">
      <c r="B552" s="51"/>
      <c r="C552" s="52"/>
      <c r="D552" s="53"/>
      <c r="E552" s="52"/>
      <c r="F552" s="60"/>
      <c r="G552" s="55"/>
      <c r="H552" s="56"/>
      <c r="I552" s="57"/>
    </row>
    <row r="553" spans="2:11" hidden="1" x14ac:dyDescent="0.25">
      <c r="B553" s="51"/>
      <c r="C553" s="52"/>
      <c r="D553" s="53"/>
      <c r="E553" s="52"/>
      <c r="F553" s="60"/>
      <c r="G553" s="55"/>
      <c r="H553" s="56"/>
      <c r="I553" s="57"/>
    </row>
    <row r="554" spans="2:11" hidden="1" x14ac:dyDescent="0.25">
      <c r="B554" s="51"/>
      <c r="C554" s="52"/>
      <c r="D554" s="53"/>
      <c r="E554" s="52"/>
      <c r="F554" s="60"/>
      <c r="G554" s="55"/>
      <c r="H554" s="56"/>
      <c r="I554" s="57"/>
    </row>
    <row r="555" spans="2:11" x14ac:dyDescent="0.25">
      <c r="B555" s="51"/>
      <c r="C555" s="52"/>
      <c r="D555" s="53"/>
      <c r="E555" s="52"/>
      <c r="F555" s="60"/>
      <c r="G555" s="55"/>
      <c r="H555" s="56"/>
      <c r="I555" s="57"/>
    </row>
    <row r="556" spans="2:11" x14ac:dyDescent="0.25">
      <c r="B556" s="89"/>
      <c r="C556" s="90"/>
      <c r="D556" s="90"/>
      <c r="E556" s="91" t="s">
        <v>885</v>
      </c>
      <c r="F556" s="92"/>
      <c r="G556" s="93"/>
      <c r="H556" s="94"/>
      <c r="I556" s="95">
        <f>I464+I446+I379+I261+I248+I190+I25</f>
        <v>1400000</v>
      </c>
    </row>
    <row r="557" spans="2:11" x14ac:dyDescent="0.25">
      <c r="B557" s="41"/>
      <c r="C557" s="42"/>
      <c r="D557" s="49"/>
      <c r="E557" s="96"/>
      <c r="F557" s="42"/>
      <c r="G557" s="97"/>
      <c r="H557" s="98" t="s">
        <v>886</v>
      </c>
      <c r="I557" s="99"/>
    </row>
    <row r="558" spans="2:11" x14ac:dyDescent="0.25">
      <c r="B558" s="41"/>
      <c r="C558" s="42"/>
      <c r="D558" s="49"/>
      <c r="E558" s="96"/>
      <c r="F558" s="42"/>
      <c r="G558" s="97"/>
      <c r="H558" s="98" t="s">
        <v>887</v>
      </c>
      <c r="I558" s="99">
        <f>I556-I557</f>
        <v>1400000</v>
      </c>
    </row>
    <row r="559" spans="2:11" ht="15.75" thickBot="1" x14ac:dyDescent="0.3">
      <c r="B559" s="30"/>
      <c r="C559" s="262" t="s">
        <v>926</v>
      </c>
      <c r="D559" s="262"/>
      <c r="E559" s="262"/>
      <c r="F559" s="262"/>
      <c r="G559" s="262"/>
      <c r="H559" s="262"/>
      <c r="I559" s="262"/>
    </row>
    <row r="560" spans="2:11" ht="90" thickBot="1" x14ac:dyDescent="0.3">
      <c r="B560" s="30"/>
      <c r="C560" s="100" t="s">
        <v>888</v>
      </c>
      <c r="D560" s="101"/>
      <c r="E560" s="102" t="s">
        <v>889</v>
      </c>
      <c r="F560" s="103" t="str">
        <f>D6</f>
        <v>G S de Medeiros Serviços Elétricos e Hidráulicos</v>
      </c>
      <c r="G560" s="104"/>
      <c r="H560" s="104"/>
      <c r="I560" s="105"/>
    </row>
    <row r="561" spans="2:12" ht="26.25" thickBot="1" x14ac:dyDescent="0.3">
      <c r="B561" s="106"/>
      <c r="C561" s="107" t="s">
        <v>12</v>
      </c>
      <c r="D561" s="102" t="s">
        <v>10</v>
      </c>
      <c r="E561" s="102" t="s">
        <v>27</v>
      </c>
      <c r="F561" s="108" t="s">
        <v>890</v>
      </c>
      <c r="G561" s="109" t="s">
        <v>891</v>
      </c>
      <c r="H561" s="109" t="s">
        <v>892</v>
      </c>
      <c r="I561" s="110" t="s">
        <v>893</v>
      </c>
      <c r="L561" s="230"/>
    </row>
    <row r="562" spans="2:12" ht="15.75" thickBot="1" x14ac:dyDescent="0.3">
      <c r="B562" s="106"/>
      <c r="C562" s="111" t="s">
        <v>33</v>
      </c>
      <c r="D562" s="112" t="s">
        <v>894</v>
      </c>
      <c r="E562" s="113"/>
      <c r="F562" s="114"/>
      <c r="G562" s="115"/>
      <c r="H562" s="115"/>
      <c r="I562" s="116"/>
    </row>
    <row r="563" spans="2:12" x14ac:dyDescent="0.25">
      <c r="B563" s="106"/>
      <c r="C563" s="117" t="s">
        <v>35</v>
      </c>
      <c r="D563" s="118" t="s">
        <v>763</v>
      </c>
      <c r="E563" s="119" t="s">
        <v>895</v>
      </c>
      <c r="F563" s="120">
        <v>15000</v>
      </c>
      <c r="G563" s="121">
        <v>18000</v>
      </c>
      <c r="H563" s="122"/>
      <c r="I563" s="123">
        <f>H563*2.5</f>
        <v>0</v>
      </c>
    </row>
    <row r="564" spans="2:12" x14ac:dyDescent="0.25">
      <c r="B564" s="106"/>
      <c r="C564" s="124" t="s">
        <v>38</v>
      </c>
      <c r="D564" s="125" t="s">
        <v>896</v>
      </c>
      <c r="E564" s="126" t="s">
        <v>897</v>
      </c>
      <c r="F564" s="128">
        <v>59</v>
      </c>
      <c r="G564" s="121">
        <v>70.8</v>
      </c>
      <c r="H564" s="122"/>
      <c r="I564" s="123">
        <f>H564*2.5</f>
        <v>0</v>
      </c>
    </row>
    <row r="565" spans="2:12" x14ac:dyDescent="0.25">
      <c r="B565" s="106"/>
      <c r="C565" s="124" t="s">
        <v>40</v>
      </c>
      <c r="D565" s="125" t="s">
        <v>898</v>
      </c>
      <c r="E565" s="126" t="s">
        <v>897</v>
      </c>
      <c r="F565" s="128">
        <v>42</v>
      </c>
      <c r="G565" s="121">
        <v>50.4</v>
      </c>
      <c r="H565" s="122"/>
      <c r="I565" s="123">
        <f>H565*2.5*5</f>
        <v>0</v>
      </c>
    </row>
    <row r="566" spans="2:12" x14ac:dyDescent="0.25">
      <c r="B566" s="106"/>
      <c r="C566" s="124" t="s">
        <v>42</v>
      </c>
      <c r="D566" s="125" t="s">
        <v>899</v>
      </c>
      <c r="E566" s="126" t="s">
        <v>897</v>
      </c>
      <c r="F566" s="128">
        <v>29</v>
      </c>
      <c r="G566" s="121">
        <v>34.799999999999997</v>
      </c>
      <c r="H566" s="122"/>
      <c r="I566" s="123">
        <f>H566*2.5*5</f>
        <v>0</v>
      </c>
    </row>
    <row r="567" spans="2:12" x14ac:dyDescent="0.25">
      <c r="B567" s="106"/>
      <c r="C567" s="124" t="s">
        <v>44</v>
      </c>
      <c r="D567" s="125" t="s">
        <v>900</v>
      </c>
      <c r="E567" s="126" t="s">
        <v>897</v>
      </c>
      <c r="F567" s="128">
        <v>29</v>
      </c>
      <c r="G567" s="121">
        <v>34.799999999999997</v>
      </c>
      <c r="H567" s="122"/>
      <c r="I567" s="123">
        <f>H567*2.5</f>
        <v>0</v>
      </c>
    </row>
    <row r="568" spans="2:12" x14ac:dyDescent="0.25">
      <c r="B568" s="106"/>
      <c r="C568" s="124" t="s">
        <v>46</v>
      </c>
      <c r="D568" s="125" t="s">
        <v>901</v>
      </c>
      <c r="E568" s="126" t="s">
        <v>897</v>
      </c>
      <c r="F568" s="128">
        <v>29</v>
      </c>
      <c r="G568" s="121">
        <v>34.799999999999997</v>
      </c>
      <c r="H568" s="122"/>
      <c r="I568" s="123">
        <f>H568*2.5*2</f>
        <v>0</v>
      </c>
    </row>
    <row r="569" spans="2:12" x14ac:dyDescent="0.25">
      <c r="B569" s="106"/>
      <c r="C569" s="124" t="s">
        <v>48</v>
      </c>
      <c r="D569" s="125" t="s">
        <v>902</v>
      </c>
      <c r="E569" s="126" t="s">
        <v>897</v>
      </c>
      <c r="F569" s="128">
        <v>42</v>
      </c>
      <c r="G569" s="121">
        <v>50.4</v>
      </c>
      <c r="H569" s="122"/>
      <c r="I569" s="123">
        <f>H569*2.5*2</f>
        <v>0</v>
      </c>
    </row>
    <row r="570" spans="2:12" x14ac:dyDescent="0.25">
      <c r="B570" s="106"/>
      <c r="C570" s="124" t="s">
        <v>51</v>
      </c>
      <c r="D570" s="125" t="s">
        <v>903</v>
      </c>
      <c r="E570" s="126" t="s">
        <v>897</v>
      </c>
      <c r="F570" s="128">
        <v>42</v>
      </c>
      <c r="G570" s="121">
        <v>50.4</v>
      </c>
      <c r="H570" s="122"/>
      <c r="I570" s="123">
        <f>H570</f>
        <v>0</v>
      </c>
    </row>
    <row r="571" spans="2:12" x14ac:dyDescent="0.25">
      <c r="B571" s="106"/>
      <c r="C571" s="124" t="s">
        <v>53</v>
      </c>
      <c r="D571" s="125" t="s">
        <v>904</v>
      </c>
      <c r="E571" s="126" t="s">
        <v>897</v>
      </c>
      <c r="F571" s="128">
        <v>28</v>
      </c>
      <c r="G571" s="121">
        <v>33.6</v>
      </c>
      <c r="H571" s="122"/>
      <c r="I571" s="123">
        <f>H571*2.5</f>
        <v>0</v>
      </c>
    </row>
    <row r="572" spans="2:12" x14ac:dyDescent="0.25">
      <c r="B572" s="106"/>
      <c r="C572" s="124" t="s">
        <v>55</v>
      </c>
      <c r="D572" s="125" t="s">
        <v>905</v>
      </c>
      <c r="E572" s="126" t="s">
        <v>897</v>
      </c>
      <c r="F572" s="128">
        <v>59</v>
      </c>
      <c r="G572" s="121">
        <v>70.8</v>
      </c>
      <c r="H572" s="127"/>
      <c r="I572" s="127"/>
    </row>
    <row r="573" spans="2:12" x14ac:dyDescent="0.25">
      <c r="B573" s="106"/>
      <c r="C573" s="124"/>
      <c r="D573" s="125"/>
      <c r="E573" s="126"/>
      <c r="F573" s="128"/>
      <c r="G573" s="121"/>
      <c r="H573" s="129"/>
      <c r="I573" s="127"/>
    </row>
    <row r="574" spans="2:12" x14ac:dyDescent="0.25">
      <c r="B574" s="106"/>
      <c r="C574" s="130" t="s">
        <v>182</v>
      </c>
      <c r="D574" s="131" t="s">
        <v>906</v>
      </c>
      <c r="E574" s="132"/>
      <c r="F574" s="133"/>
      <c r="G574" s="134"/>
      <c r="H574" s="135"/>
      <c r="I574" s="136"/>
    </row>
    <row r="575" spans="2:12" x14ac:dyDescent="0.25">
      <c r="B575" s="106"/>
      <c r="C575" s="137" t="s">
        <v>184</v>
      </c>
      <c r="D575" s="138" t="s">
        <v>907</v>
      </c>
      <c r="E575" s="139" t="s">
        <v>925</v>
      </c>
      <c r="F575" s="277">
        <v>0.39</v>
      </c>
      <c r="G575" s="140"/>
      <c r="H575" s="141"/>
      <c r="I575" s="127"/>
    </row>
    <row r="576" spans="2:12" x14ac:dyDescent="0.25">
      <c r="B576" s="106"/>
      <c r="C576" s="137" t="s">
        <v>185</v>
      </c>
      <c r="D576" s="138" t="s">
        <v>908</v>
      </c>
      <c r="E576" s="139" t="s">
        <v>925</v>
      </c>
      <c r="F576" s="277">
        <v>0.39</v>
      </c>
      <c r="G576" s="140"/>
      <c r="H576" s="141"/>
      <c r="I576" s="127"/>
    </row>
    <row r="577" spans="2:9" x14ac:dyDescent="0.25">
      <c r="B577" s="106"/>
      <c r="C577" s="137" t="s">
        <v>186</v>
      </c>
      <c r="D577" s="138" t="s">
        <v>909</v>
      </c>
      <c r="E577" s="126"/>
      <c r="F577" s="142"/>
      <c r="G577" s="140"/>
      <c r="H577" s="143"/>
      <c r="I577" s="127"/>
    </row>
    <row r="578" spans="2:9" x14ac:dyDescent="0.25">
      <c r="B578" s="106"/>
      <c r="C578" s="137" t="s">
        <v>187</v>
      </c>
      <c r="D578" s="138" t="s">
        <v>910</v>
      </c>
      <c r="E578" s="126"/>
      <c r="F578" s="142"/>
      <c r="G578" s="140"/>
      <c r="H578" s="143"/>
      <c r="I578" s="127"/>
    </row>
    <row r="579" spans="2:9" x14ac:dyDescent="0.25">
      <c r="B579" s="106"/>
      <c r="C579" s="137" t="s">
        <v>188</v>
      </c>
      <c r="D579" s="138" t="s">
        <v>911</v>
      </c>
      <c r="E579" s="126" t="s">
        <v>912</v>
      </c>
      <c r="F579" s="142"/>
      <c r="G579" s="140"/>
      <c r="H579" s="143"/>
      <c r="I579" s="127"/>
    </row>
    <row r="580" spans="2:9" x14ac:dyDescent="0.25">
      <c r="B580" s="106"/>
      <c r="C580" s="144"/>
      <c r="D580" s="145" t="s">
        <v>913</v>
      </c>
      <c r="E580" s="146"/>
      <c r="F580" s="147"/>
      <c r="G580" s="148"/>
      <c r="H580" s="148"/>
      <c r="I580" s="149">
        <f>SUM(I563:I579)</f>
        <v>0</v>
      </c>
    </row>
    <row r="581" spans="2:9" x14ac:dyDescent="0.25">
      <c r="B581" s="106"/>
      <c r="C581" s="150"/>
      <c r="D581" s="151" t="s">
        <v>886</v>
      </c>
      <c r="E581" s="152"/>
      <c r="F581" s="153"/>
      <c r="G581" s="154"/>
      <c r="H581" s="154"/>
      <c r="I581" s="155"/>
    </row>
    <row r="582" spans="2:9" ht="15.75" thickBot="1" x14ac:dyDescent="0.3">
      <c r="B582" s="106"/>
      <c r="C582" s="156"/>
      <c r="D582" s="157" t="s">
        <v>887</v>
      </c>
      <c r="E582" s="158"/>
      <c r="F582" s="159"/>
      <c r="G582" s="160"/>
      <c r="H582" s="160"/>
      <c r="I582" s="161">
        <f>I580-I581</f>
        <v>0</v>
      </c>
    </row>
    <row r="583" spans="2:9" x14ac:dyDescent="0.25">
      <c r="B583" s="106"/>
      <c r="C583" s="162"/>
      <c r="D583" s="163" t="s">
        <v>914</v>
      </c>
      <c r="E583" s="164"/>
      <c r="F583" s="165"/>
      <c r="G583" s="166"/>
      <c r="H583" s="166"/>
      <c r="I583" s="167"/>
    </row>
    <row r="584" spans="2:9" x14ac:dyDescent="0.25">
      <c r="B584" s="106"/>
      <c r="C584" s="168"/>
      <c r="D584" s="169" t="s">
        <v>915</v>
      </c>
      <c r="E584" s="170"/>
      <c r="F584" s="171"/>
      <c r="G584" s="171"/>
      <c r="H584" s="171"/>
      <c r="I584" s="172"/>
    </row>
    <row r="585" spans="2:9" x14ac:dyDescent="0.25">
      <c r="B585" s="106"/>
      <c r="C585" s="168"/>
      <c r="D585" s="173"/>
      <c r="E585" s="174"/>
      <c r="F585" s="175"/>
      <c r="G585" s="175"/>
      <c r="H585" s="175"/>
      <c r="I585" s="176"/>
    </row>
    <row r="586" spans="2:9" x14ac:dyDescent="0.25">
      <c r="B586" s="106"/>
      <c r="C586" s="168"/>
      <c r="D586" s="177"/>
      <c r="E586" s="178"/>
      <c r="F586" s="179"/>
      <c r="G586" s="179"/>
      <c r="H586" s="179"/>
      <c r="I586" s="180"/>
    </row>
    <row r="587" spans="2:9" x14ac:dyDescent="0.25">
      <c r="B587" s="181"/>
      <c r="C587" s="182"/>
      <c r="D587" s="177" t="s">
        <v>916</v>
      </c>
      <c r="E587" s="183"/>
      <c r="F587" s="184"/>
      <c r="G587" s="185"/>
      <c r="H587" s="185"/>
      <c r="I587" s="186"/>
    </row>
    <row r="588" spans="2:9" ht="15.75" thickBot="1" x14ac:dyDescent="0.3">
      <c r="B588" s="187"/>
      <c r="C588" s="187"/>
      <c r="D588" s="188"/>
      <c r="E588" s="189"/>
      <c r="F588" s="187"/>
      <c r="G588" s="190"/>
      <c r="H588" s="190"/>
      <c r="I588" s="190"/>
    </row>
    <row r="589" spans="2:9" ht="15.75" thickBot="1" x14ac:dyDescent="0.3">
      <c r="B589" s="187"/>
      <c r="C589" s="187"/>
      <c r="D589" s="188"/>
      <c r="E589" s="191"/>
      <c r="F589" s="192"/>
      <c r="G589" s="193" t="s">
        <v>917</v>
      </c>
      <c r="H589" s="192"/>
      <c r="I589" s="194"/>
    </row>
    <row r="590" spans="2:9" ht="15.75" thickBot="1" x14ac:dyDescent="0.3">
      <c r="B590" s="187"/>
      <c r="C590" s="187"/>
      <c r="D590" s="188"/>
      <c r="E590" s="195"/>
      <c r="F590" s="196" t="s">
        <v>918</v>
      </c>
      <c r="G590" s="197"/>
      <c r="H590" s="197"/>
      <c r="I590" s="198"/>
    </row>
    <row r="591" spans="2:9" ht="15.75" thickBot="1" x14ac:dyDescent="0.3">
      <c r="B591" s="187"/>
      <c r="C591" s="187"/>
      <c r="D591" s="188"/>
      <c r="E591" s="199"/>
      <c r="F591" s="200" t="s">
        <v>919</v>
      </c>
      <c r="G591" s="201"/>
      <c r="H591" s="201"/>
      <c r="I591" s="202"/>
    </row>
    <row r="592" spans="2:9" ht="15.75" thickBot="1" x14ac:dyDescent="0.3">
      <c r="B592" s="189"/>
      <c r="C592" s="189"/>
      <c r="D592" s="189"/>
      <c r="E592" s="203"/>
      <c r="F592" s="200" t="s">
        <v>920</v>
      </c>
      <c r="G592" s="201"/>
      <c r="H592" s="201"/>
      <c r="I592" s="202"/>
    </row>
    <row r="593" spans="2:9" ht="15.75" thickBot="1" x14ac:dyDescent="0.3">
      <c r="B593" s="189"/>
      <c r="C593" s="189"/>
      <c r="D593" s="189"/>
      <c r="E593" s="204"/>
      <c r="F593" s="205" t="s">
        <v>921</v>
      </c>
      <c r="G593" s="206"/>
      <c r="H593" s="206"/>
      <c r="I593" s="207"/>
    </row>
    <row r="594" spans="2:9" ht="15.75" thickBot="1" x14ac:dyDescent="0.3">
      <c r="B594" s="189"/>
      <c r="C594" s="189"/>
      <c r="D594" s="189"/>
      <c r="E594" s="208"/>
      <c r="F594" s="200" t="s">
        <v>922</v>
      </c>
      <c r="G594" s="201"/>
      <c r="H594" s="201"/>
      <c r="I594" s="202"/>
    </row>
    <row r="595" spans="2:9" ht="15.75" thickBot="1" x14ac:dyDescent="0.3">
      <c r="B595" s="189"/>
      <c r="C595" s="189"/>
      <c r="D595" s="189"/>
      <c r="E595" s="209"/>
      <c r="F595" s="200" t="s">
        <v>923</v>
      </c>
      <c r="G595" s="201"/>
      <c r="H595" s="201"/>
      <c r="I595" s="202"/>
    </row>
    <row r="596" spans="2:9" ht="15.75" thickBot="1" x14ac:dyDescent="0.3">
      <c r="B596" s="189"/>
      <c r="C596" s="189"/>
      <c r="D596" s="189"/>
      <c r="E596" s="210"/>
      <c r="F596" s="211" t="s">
        <v>924</v>
      </c>
      <c r="G596" s="212"/>
      <c r="H596" s="212"/>
      <c r="I596" s="213"/>
    </row>
  </sheetData>
  <mergeCells count="32">
    <mergeCell ref="J115:K121"/>
    <mergeCell ref="F24:F25"/>
    <mergeCell ref="G24:G25"/>
    <mergeCell ref="H24:H25"/>
    <mergeCell ref="C559:I559"/>
    <mergeCell ref="J360:K365"/>
    <mergeCell ref="J388:K397"/>
    <mergeCell ref="J456:K461"/>
    <mergeCell ref="J537:K540"/>
    <mergeCell ref="J543:K547"/>
    <mergeCell ref="D19:E19"/>
    <mergeCell ref="D20:E20"/>
    <mergeCell ref="D21:H21"/>
    <mergeCell ref="B23:B25"/>
    <mergeCell ref="G23:H23"/>
    <mergeCell ref="E24:E25"/>
    <mergeCell ref="D14:E14"/>
    <mergeCell ref="D15:E15"/>
    <mergeCell ref="D16:E16"/>
    <mergeCell ref="D17:E17"/>
    <mergeCell ref="D18:E18"/>
    <mergeCell ref="B7:C7"/>
    <mergeCell ref="D7:I7"/>
    <mergeCell ref="D11:E11"/>
    <mergeCell ref="D12:E12"/>
    <mergeCell ref="D13:E13"/>
    <mergeCell ref="C1:I1"/>
    <mergeCell ref="B2:D2"/>
    <mergeCell ref="C4:D4"/>
    <mergeCell ref="E4:G4"/>
    <mergeCell ref="B6:C6"/>
    <mergeCell ref="D6:I6"/>
  </mergeCells>
  <dataValidations count="3">
    <dataValidation type="list" allowBlank="1" showInputMessage="1" errorTitle="Seleção de loja" error="Favor selecionar uma loja válida" promptTitle="Seleção de loja" prompt="Favor selecionar uma loja válida" sqref="B3:C3" xr:uid="{F81FDBAE-CA35-413E-9306-CB7BE3B53057}">
      <formula1>#REF!</formula1>
    </dataValidation>
    <dataValidation allowBlank="1" showInputMessage="1" showErrorMessage="1" promptTitle="INFORMAR A RAZÃO SOCIAL " prompt="DE FATURAMENTO" sqref="D6" xr:uid="{C96E7DEC-5F38-4D97-A3AD-F25F54353A53}"/>
    <dataValidation allowBlank="1" showInputMessage="1" promptTitle="Razão Social de Faturamento" sqref="C5" xr:uid="{8712E160-775E-4FAC-8EC2-5DE3F264CC1A}"/>
  </dataValidations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663C7FA26A0DEC4BB9340BCD00E554A6" ma:contentTypeVersion="13" ma:contentTypeDescription="Crie um novo documento." ma:contentTypeScope="" ma:versionID="f9c2f1d802bd3b0b9ec8d9c034f209d5">
  <xsd:schema xmlns:xsd="http://www.w3.org/2001/XMLSchema" xmlns:xs="http://www.w3.org/2001/XMLSchema" xmlns:p="http://schemas.microsoft.com/office/2006/metadata/properties" xmlns:ns2="b9d874d0-c552-4727-9c02-5b1c07c5b4b4" xmlns:ns3="36b8e68b-7554-409c-85a4-5772116ca008" targetNamespace="http://schemas.microsoft.com/office/2006/metadata/properties" ma:root="true" ma:fieldsID="87eb4ce78b83dca1a99c2080b0eb57a8" ns2:_="" ns3:_="">
    <xsd:import namespace="b9d874d0-c552-4727-9c02-5b1c07c5b4b4"/>
    <xsd:import namespace="36b8e68b-7554-409c-85a4-5772116ca00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d874d0-c552-4727-9c02-5b1c07c5b4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82007361-3871-486b-974f-54df117b5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b8e68b-7554-409c-85a4-5772116ca008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186182e-1bce-44e6-a9f7-5dc816473d70}" ma:internalName="TaxCatchAll" ma:showField="CatchAllData" ma:web="36b8e68b-7554-409c-85a4-5772116ca00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9d874d0-c552-4727-9c02-5b1c07c5b4b4">
      <Terms xmlns="http://schemas.microsoft.com/office/infopath/2007/PartnerControls"/>
    </lcf76f155ced4ddcb4097134ff3c332f>
    <TaxCatchAll xmlns="36b8e68b-7554-409c-85a4-5772116ca008" xsi:nil="true"/>
  </documentManagement>
</p:properties>
</file>

<file path=customXml/itemProps1.xml><?xml version="1.0" encoding="utf-8"?>
<ds:datastoreItem xmlns:ds="http://schemas.openxmlformats.org/officeDocument/2006/customXml" ds:itemID="{4205DCD7-509B-47A9-9CDB-297235A15FE2}"/>
</file>

<file path=customXml/itemProps2.xml><?xml version="1.0" encoding="utf-8"?>
<ds:datastoreItem xmlns:ds="http://schemas.openxmlformats.org/officeDocument/2006/customXml" ds:itemID="{B1F546A1-2E86-436D-8603-E67557D89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1820DFF-BDA3-43EB-8103-008EC8B6F678}">
  <ds:schemaRefs>
    <ds:schemaRef ds:uri="http://schemas.microsoft.com/office/2006/metadata/properties"/>
    <ds:schemaRef ds:uri="http://schemas.microsoft.com/office/infopath/2007/PartnerControls"/>
    <ds:schemaRef ds:uri="90fa014f-5b20-4dd5-b9da-4fe8f28610af"/>
    <ds:schemaRef ds:uri="01c109e8-1b84-4817-845c-8ecc582008a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5 Equa</vt:lpstr>
    </vt:vector>
  </TitlesOfParts>
  <Company>CEA MODAS SA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Eduarda Monsores Da Silva Afonso Facre</dc:creator>
  <cp:lastModifiedBy>GENILSON</cp:lastModifiedBy>
  <dcterms:created xsi:type="dcterms:W3CDTF">2024-07-24T21:36:31Z</dcterms:created>
  <dcterms:modified xsi:type="dcterms:W3CDTF">2026-01-30T16:50:46Z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0x010100663C7FA26A0DEC4BB9340BCD00E554A6</vt:lpwstr>
  </property>
  <property fmtid="{D5CDD505-2E9C-101B-9397-08002B2CF9AE}" pid="3" name="MediaServiceImageTags">
    <vt:lpwstr/>
  </property>
</Properties>
</file>