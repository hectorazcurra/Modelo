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G:\Meu Drive\001- Obras CeA 2024  -  2025 - 2026\016- CeA BAR\BAR - FINANCEIRO\"/>
    </mc:Choice>
  </mc:AlternateContent>
  <xr:revisionPtr revIDLastSave="0" documentId="13_ncr:1_{C25D4E20-CFB9-4BBC-9D51-8150A1E02D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 Equa" sheetId="7" r:id="rId1"/>
  </sheets>
  <externalReferences>
    <externalReference r:id="rId2"/>
    <externalReference r:id="rId3"/>
  </externalReferences>
  <definedNames>
    <definedName name="Excel_BuiltIn__FilterDatabase_2">#REF!</definedName>
    <definedName name="Excel_BuiltIn__FilterDatabase_3">#REF!</definedName>
    <definedName name="Excel_BuiltIn_Print_Area_2">#REF!</definedName>
    <definedName name="Excel_BuiltIn_Print_Area_3">#REF!</definedName>
    <definedName name="Excel_BuiltIn_Print_Titles_2">#REF!</definedName>
    <definedName name="Excel_BuiltIn_Print_Titles_3">#REF!</definedName>
    <definedName name="n_1">#REF!</definedName>
    <definedName name="prazo">[1]BDI!#REF!</definedName>
    <definedName name="Total">'[2]Totais '!$D$48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7" l="1"/>
  <c r="I109" i="7"/>
  <c r="I108" i="7"/>
  <c r="I107" i="7"/>
  <c r="I106" i="7"/>
  <c r="I105" i="7"/>
  <c r="I103" i="7"/>
  <c r="I102" i="7"/>
  <c r="I101" i="7"/>
  <c r="I100" i="7"/>
  <c r="I99" i="7"/>
  <c r="I98" i="7"/>
  <c r="I97" i="7"/>
  <c r="I95" i="7"/>
  <c r="I94" i="7"/>
  <c r="I93" i="7"/>
  <c r="I92" i="7"/>
  <c r="I90" i="7"/>
  <c r="I88" i="7"/>
  <c r="I87" i="7"/>
  <c r="I86" i="7"/>
  <c r="I85" i="7"/>
  <c r="I84" i="7"/>
  <c r="I83" i="7"/>
  <c r="I82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5" i="7"/>
  <c r="I64" i="7"/>
  <c r="I63" i="7"/>
  <c r="I62" i="7"/>
  <c r="I61" i="7"/>
  <c r="I60" i="7"/>
  <c r="I59" i="7"/>
  <c r="I58" i="7"/>
  <c r="I57" i="7"/>
  <c r="I56" i="7"/>
  <c r="I55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7" i="7"/>
  <c r="I36" i="7"/>
  <c r="I35" i="7"/>
  <c r="I33" i="7"/>
  <c r="I32" i="7"/>
  <c r="I31" i="7"/>
  <c r="I30" i="7"/>
  <c r="I29" i="7"/>
  <c r="I28" i="7"/>
  <c r="I27" i="7"/>
  <c r="I26" i="7"/>
  <c r="I104" i="7" l="1"/>
  <c r="I38" i="7"/>
  <c r="I12" i="7" s="1"/>
  <c r="I66" i="7"/>
  <c r="I14" i="7" s="1"/>
  <c r="I96" i="7"/>
  <c r="I17" i="7" s="1"/>
  <c r="I34" i="7"/>
  <c r="I11" i="7" s="1"/>
  <c r="I18" i="7"/>
  <c r="I25" i="7"/>
  <c r="I10" i="7" s="1"/>
  <c r="I81" i="7"/>
  <c r="I15" i="7" s="1"/>
  <c r="I54" i="7"/>
  <c r="I13" i="7" s="1"/>
  <c r="I91" i="7"/>
  <c r="I16" i="7" s="1"/>
  <c r="I19" i="7" l="1"/>
  <c r="I112" i="7"/>
</calcChain>
</file>

<file path=xl/sharedStrings.xml><?xml version="1.0" encoding="utf-8"?>
<sst xmlns="http://schemas.openxmlformats.org/spreadsheetml/2006/main" count="289" uniqueCount="216">
  <si>
    <t>SISTEMA AR CONDICIONADO
LOJA NOVA</t>
  </si>
  <si>
    <t>LOJA</t>
  </si>
  <si>
    <t>Tipo</t>
  </si>
  <si>
    <t>Tamanho</t>
  </si>
  <si>
    <t>ÁREA</t>
  </si>
  <si>
    <t>INÍCIO DA OBRA</t>
  </si>
  <si>
    <t>INAUG.</t>
  </si>
  <si>
    <t>FULL</t>
  </si>
  <si>
    <t>Gerenciador:</t>
  </si>
  <si>
    <t>Duração da obra:</t>
  </si>
  <si>
    <t>RAZÃO SOCIAL</t>
  </si>
  <si>
    <t>CNPJ</t>
  </si>
  <si>
    <t>EQUIPAMENTOS</t>
  </si>
  <si>
    <t>BOCAS DE AR E ACESSÓRIOS</t>
  </si>
  <si>
    <t>DUTOS CONVENCIONAIS</t>
  </si>
  <si>
    <t>TUBULAÇÃO DE COBRE</t>
  </si>
  <si>
    <t>MATERIAIS ELÉTRICOS</t>
  </si>
  <si>
    <t>TRANSPORTE</t>
  </si>
  <si>
    <t>DIVERSOS</t>
  </si>
  <si>
    <t>OMISSOS</t>
  </si>
  <si>
    <t>TOTAL</t>
  </si>
  <si>
    <t>CENT.</t>
  </si>
  <si>
    <t>ITEM</t>
  </si>
  <si>
    <t>DESCRIÇÃO</t>
  </si>
  <si>
    <t>PREÇOS UNITÁRIOS</t>
  </si>
  <si>
    <t>CUSTO</t>
  </si>
  <si>
    <t>UN</t>
  </si>
  <si>
    <t>QDE.</t>
  </si>
  <si>
    <t>MAT.</t>
  </si>
  <si>
    <t>M.OBRA</t>
  </si>
  <si>
    <t>SERVIÇOS DE AR CONDICIONADO</t>
  </si>
  <si>
    <t>1.0</t>
  </si>
  <si>
    <t>EQUIPAMENTOS - FORNECIMENTO C&amp;A</t>
  </si>
  <si>
    <t>1.1</t>
  </si>
  <si>
    <t>un</t>
  </si>
  <si>
    <t>1.2</t>
  </si>
  <si>
    <t>1.3</t>
  </si>
  <si>
    <t>1.5</t>
  </si>
  <si>
    <t>2.0</t>
  </si>
  <si>
    <t>EQUIPAMENTOS DE VENTILAÇÃO MECÂNICA</t>
  </si>
  <si>
    <t>2.1</t>
  </si>
  <si>
    <t>3.0</t>
  </si>
  <si>
    <t>SISTEMA DE DISTRIBUIÇÃO DE AR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</si>
  <si>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</si>
  <si>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</si>
  <si>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</si>
  <si>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</si>
  <si>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</si>
  <si>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</si>
  <si>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</si>
  <si>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</si>
  <si>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</si>
  <si>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Total</t>
  </si>
  <si>
    <t>CLASSE DE CUSTO</t>
  </si>
  <si>
    <t>CÓD. SERVIÇO</t>
  </si>
  <si>
    <t>VALOR</t>
  </si>
  <si>
    <t>4.0</t>
  </si>
  <si>
    <t>DUTOS E ACESSÓRIOS</t>
  </si>
  <si>
    <t>4.1</t>
  </si>
  <si>
    <t>kg</t>
  </si>
  <si>
    <t>4.2</t>
  </si>
  <si>
    <t>4.3</t>
  </si>
  <si>
    <t>4.4</t>
  </si>
  <si>
    <t>4.5</t>
  </si>
  <si>
    <t>4.6</t>
  </si>
  <si>
    <t>m</t>
  </si>
  <si>
    <t>4.7</t>
  </si>
  <si>
    <t>4.8</t>
  </si>
  <si>
    <t>4.9</t>
  </si>
  <si>
    <t>4.10</t>
  </si>
  <si>
    <t>m²</t>
  </si>
  <si>
    <t>5.0</t>
  </si>
  <si>
    <t>5.1</t>
  </si>
  <si>
    <t>5.2</t>
  </si>
  <si>
    <t>5.3</t>
  </si>
  <si>
    <t>5.4</t>
  </si>
  <si>
    <t>5.5</t>
  </si>
  <si>
    <t>5.6</t>
  </si>
  <si>
    <t>5.7</t>
  </si>
  <si>
    <t>8.1</t>
  </si>
  <si>
    <t xml:space="preserve">Vertical - içamento  </t>
  </si>
  <si>
    <t>vb</t>
  </si>
  <si>
    <t>8.2</t>
  </si>
  <si>
    <t xml:space="preserve">Horizontal   </t>
  </si>
  <si>
    <t>8.3</t>
  </si>
  <si>
    <t>Andaimes</t>
  </si>
  <si>
    <t>8.4</t>
  </si>
  <si>
    <t>Plataforma</t>
  </si>
  <si>
    <t>Estadia  e refeição</t>
  </si>
  <si>
    <t xml:space="preserve">Engenharia (Supervisão)  </t>
  </si>
  <si>
    <t xml:space="preserve">Projeto As Built </t>
  </si>
  <si>
    <t>Mobilização e Desmobilização (Região Sudeste)</t>
  </si>
  <si>
    <t>Start-up equipamentos e balanceamento do sistema</t>
  </si>
  <si>
    <t>ART obra</t>
  </si>
  <si>
    <t>Calço de borracha</t>
  </si>
  <si>
    <t>1.6</t>
  </si>
  <si>
    <t>5.8</t>
  </si>
  <si>
    <t>75 dias</t>
  </si>
  <si>
    <t>BAR</t>
  </si>
  <si>
    <t>BARRA SHOPPING - RJ</t>
  </si>
  <si>
    <t>AMP</t>
  </si>
  <si>
    <t xml:space="preserve">Fornecimento e instalação de condensadora VRF 4TVY0096H8000AA 220V (Só Frio) Scroll R-410A - 79.129 Btu/h - TRANE </t>
  </si>
  <si>
    <t xml:space="preserve">Fornecimento e instalação de condensadora VRF 4TVY0192H8000AA 220V (Só Frio) Scroll R-410A - 147.937 Btu/h - TRANE </t>
  </si>
  <si>
    <t xml:space="preserve">Fornecimento e instalação de condensadora VRF 4TVY0192H8000AA 220V (Só Frio) Scroll R-410A - 172.020 Btu/h - TRANE </t>
  </si>
  <si>
    <t>1.4</t>
  </si>
  <si>
    <t>Fornecimento e instalação de evaporadora VRF - Built in - 4TVA0095KF000AA - 4.330 Btu/h - TRANE  Incluir Válvula GBC nas linhas de líquido e gás</t>
  </si>
  <si>
    <t>Fornecimento e instalação de evaporadora VRF - Built in - 4TVA0192KF000AA - 7.400 Btu/h - TRANE  Incluir Válvula GBC nas linhas de líquido e gás</t>
  </si>
  <si>
    <t>Manutenção corretiva e preventiva em  09 unidades condicionadoras de ar tipo Self Contained</t>
  </si>
  <si>
    <t>1.7</t>
  </si>
  <si>
    <t>Fornecimento e instalação de evaporadora VRF - Terminal Dutado - BERLINER LUFT 12,5TR - 8.920 Btu/h - BERLINER LUFT  Incluir Válvula GBC nas linhas de líquido e gás</t>
  </si>
  <si>
    <t>Exaustor Simples Aspiração - ACI-315 - 1.200 m3/h - 30 mmca - SICFLUX</t>
  </si>
  <si>
    <t>Caixa Ventiladora Dupla Aspiração - 317 - TITAN SGSD - Filtro G-4 - 2.850 m3/h - 30 mmca - SICFLUX</t>
  </si>
  <si>
    <t>2.2</t>
  </si>
  <si>
    <t>2.3</t>
  </si>
  <si>
    <t>Exaustor Simples Aspiração - ACI-250 - 600 m3/h - 30 mmca - SICFLUX</t>
  </si>
  <si>
    <t>Difusor de insuflamento quadrado c/ plenum em al. anodizado - mod: ADLK - AG T-4 - TROX</t>
  </si>
  <si>
    <t xml:space="preserve">Difusor de insuflamento linear em al. Anodizado pintados na cor branca - mod: ALS-DS 1 Saída com plenum 1200mm - TROX </t>
  </si>
  <si>
    <t>Difusor de insuflamento quadrado em al. anodizado - mod: ADLQ - AG T-4 - TROX</t>
  </si>
  <si>
    <t>Grelha de retorno em al. anodizado com registro - mod: AR-AG 525x425mm - TROX</t>
  </si>
  <si>
    <t>Grelha de insuflamento c/ registro em al. Anodizado  - mod: VAT-DG 425x225mm - TROX</t>
  </si>
  <si>
    <t>Grelha de insuflamento c/ registro em al. Anodizado  - mod: VAT-DG 1225x165mm - TROX</t>
  </si>
  <si>
    <t>Grelha de retorno para porta em al. anodizado - mod: AGS-T 425x425mm - TROX</t>
  </si>
  <si>
    <t>Damper Regulagem de lâminas opostas - mod: RL-B 900x305mm - TROX</t>
  </si>
  <si>
    <t>Damper Regulagem de lâminas opostas - mod: RL-B 200x205mm - TROX</t>
  </si>
  <si>
    <t>Damper de sobre pressão - mod: KUL 297x215mm - TROX</t>
  </si>
  <si>
    <t>Tomada de ar exterior: registro s/ filtro - Mod. RL-B - 400x305mm  fab.: Trox</t>
  </si>
  <si>
    <t>Tomada de ar exterior: registro s/ filtro - Mod. RL-B - 200x205mm  fab.: Trox</t>
  </si>
  <si>
    <t>Tomada de ar exterior: registro com filtro - Mod. VDF-F711 - 797x797mm  fab.: Trox</t>
  </si>
  <si>
    <t>Tomada de ar exterior: registro com filtro - Mod. VDF-F711 - 797x597mm  fab.: Trox</t>
  </si>
  <si>
    <t>3.10</t>
  </si>
  <si>
    <t>3.11</t>
  </si>
  <si>
    <t>3.12</t>
  </si>
  <si>
    <t>3.13</t>
  </si>
  <si>
    <t>3.14</t>
  </si>
  <si>
    <t>Chapa de aço galvanizado # 26</t>
  </si>
  <si>
    <t>Idem # 24</t>
  </si>
  <si>
    <t>Idem # 22</t>
  </si>
  <si>
    <t>Idem # 18</t>
  </si>
  <si>
    <t>Duto flexivel ∅100</t>
  </si>
  <si>
    <t>Duto flexivel ∅263</t>
  </si>
  <si>
    <t>Duto flexivel ∅314</t>
  </si>
  <si>
    <t xml:space="preserve">Isolamento térmico, manta de lã de vidro com aluminio aderido - espessura 25mm </t>
  </si>
  <si>
    <t>Mão de obra</t>
  </si>
  <si>
    <t>TUBULAÇÃO DE GÁS REFRIGERANTE</t>
  </si>
  <si>
    <t>Tirantes e acessórios</t>
  </si>
  <si>
    <t>Tubo de cobre Ø12,7 milímetros - R-410A, isolado com espuma elastomérica, incluindo conexões, solda, cola, fita plástica e demais acessórios.</t>
  </si>
  <si>
    <t>Tubo de cobre Ø15,9 milímetros - R-410A, isolado com espuma elastomérica, incluindo conexões, solda, cola, fita plástica e demais acessórios.</t>
  </si>
  <si>
    <t>Tubo de cobre Ø22,2 milímetros- R-410A, isolado com espuma elastomérica, incluindo conexões, solda, cola, fita plástica e demais acessórios.</t>
  </si>
  <si>
    <t>Tubo de cobre Ø28,6 milímetros - R-410A, isolado com espuma elastomérica, incluindo conexões, solda, cola, fita plástica e demais acessórios.</t>
  </si>
  <si>
    <t>Isolamento dos tubos de cobre - Armacell tipo R</t>
  </si>
  <si>
    <t>Válvulas GBC - Danfoss - Ver diamentros  das linhas de cobre no Anexo 1</t>
  </si>
  <si>
    <t>Gás refrigerante R410 A ( ORIGINAL DUPONT)</t>
  </si>
  <si>
    <t>nitrogênio</t>
  </si>
  <si>
    <t>acetileno</t>
  </si>
  <si>
    <t>oxigênio</t>
  </si>
  <si>
    <t>solda</t>
  </si>
  <si>
    <t>6.1</t>
  </si>
  <si>
    <t>6.2</t>
  </si>
  <si>
    <t>6.3</t>
  </si>
  <si>
    <t>6.4</t>
  </si>
  <si>
    <t>6.5</t>
  </si>
  <si>
    <t>6.6</t>
  </si>
  <si>
    <t>6.7</t>
  </si>
  <si>
    <t>6.8</t>
  </si>
  <si>
    <t>Quadro elétrico, eletrodutos, fiações, etc. Evaporador  - 7,0TR</t>
  </si>
  <si>
    <t>Quadro elétrico, eletrodutos, fiações, etc. Evaporador  - 15,0TR</t>
  </si>
  <si>
    <t>Quadro elétrico, eletrodutos, fiações, etc. Evaporador  - 12,5TR</t>
  </si>
  <si>
    <t>Quadro elétrico, eletrodutos, fiações, etc. Condensador VRF - 7,0TR (blindado para instalação ao tempo)</t>
  </si>
  <si>
    <t>Quadro elétrico, eletrodutos, fiações, etc. Condensador VRF - 15TR (blindado para instalação ao tempo)</t>
  </si>
  <si>
    <t>Quadro elétrico, eletrodutos, fiações, etc. Condensador VRF - 12,5TR (blindado para instalação ao tempo)</t>
  </si>
  <si>
    <t>Quadro de Comando Remoto</t>
  </si>
  <si>
    <t>Mão de Obra</t>
  </si>
  <si>
    <t>8.5</t>
  </si>
  <si>
    <t>8.6</t>
  </si>
  <si>
    <t>8.7</t>
  </si>
  <si>
    <t>7.1</t>
  </si>
  <si>
    <t>7.2</t>
  </si>
  <si>
    <t>7.3</t>
  </si>
  <si>
    <t>7.4</t>
  </si>
  <si>
    <t>5.9</t>
  </si>
  <si>
    <t>5.10</t>
  </si>
  <si>
    <t>5.11</t>
  </si>
  <si>
    <t>5.12</t>
  </si>
  <si>
    <t>5.13</t>
  </si>
  <si>
    <t>Para tubulações de cobre sistema VRF - espessura 1/16"</t>
  </si>
  <si>
    <t>9.1</t>
  </si>
  <si>
    <t>9.2</t>
  </si>
  <si>
    <t>9.3</t>
  </si>
  <si>
    <t>9.4</t>
  </si>
  <si>
    <t>9.5</t>
  </si>
  <si>
    <t>Aprovação GEM (somente Rio de Janeiro)</t>
  </si>
  <si>
    <t>59.563.541/0001-70</t>
  </si>
  <si>
    <t xml:space="preserve">Bombas para drenagem </t>
  </si>
  <si>
    <t>unid</t>
  </si>
  <si>
    <t>Tubos e conexão para instalaçõa de sistema de drenagem</t>
  </si>
  <si>
    <t xml:space="preserve">isolamento térmico da tubulação de dreno </t>
  </si>
  <si>
    <t>Desmotagem dos dutos de ar condicionado</t>
  </si>
  <si>
    <t>Não estamos considerando recuperação e reparos no isolamento dos dutos de ar condicionado existentes no salão de vendas</t>
  </si>
  <si>
    <t>OBS 02</t>
  </si>
  <si>
    <t>Se houver necessidade materias extras não contemplados na planilha orçamentária, os mesmos serão calculados da seguinte forma:</t>
  </si>
  <si>
    <t>[-</t>
  </si>
  <si>
    <t>OBS 03</t>
  </si>
  <si>
    <t>Solicitamos o percentual de 30 % a título de sinal para agilizar os serviços</t>
  </si>
  <si>
    <t>OBS 05</t>
  </si>
  <si>
    <t>Item 8.4 -  Mobilização e Desmobilização (Região Sudeste)  -  No nosso caso o custo é zero</t>
  </si>
  <si>
    <t xml:space="preserve">OBS 04: </t>
  </si>
  <si>
    <t>Item 8.1 - Estadia e refeição, já estão contemplados no nosso custo de mão de obra</t>
  </si>
  <si>
    <t xml:space="preserve">OBS 03: </t>
  </si>
  <si>
    <t>conforme norma da ABNT</t>
  </si>
  <si>
    <t>Item 4.4 - Chapa galvanizada #18, não é contemplada neste projeto, mantivemos o somatório das quantidades e vamos adotar o dimensionamento</t>
  </si>
  <si>
    <t>OBS 02 :</t>
  </si>
  <si>
    <t>Nos itens  1.1, 1.2, 1.3, 1.4, 1.5 e 1.6  -  Consideramos apenas instalaçãosem fornecimento</t>
  </si>
  <si>
    <t>OBS 01:</t>
  </si>
  <si>
    <t>EDC CLIMATIZAÇÃO LTDA</t>
  </si>
  <si>
    <t>Por favor desmembrar os custos.</t>
  </si>
  <si>
    <t xml:space="preserve">= Valor do material (Nota fiscal)  x 1,30 (30 % custo administrativo 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</si>
</sst>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&quot;R$&quot;\ #,##0"/>
    <numFmt numFmtId="167" formatCode="#,##0.00_ ;[Red]\-#,##0.00\ "/>
    <numFmt numFmtId="168" formatCode="_(&quot;R$ &quot;* #,##0.00_);_(&quot;R$ &quot;* \(#,##0.00\);_(&quot;R$ &quot;* &quot;-&quot;??_);_(@_)"/>
    <numFmt numFmtId="169" formatCode="_-&quot;R$ &quot;* #,##0.00_-;&quot;-R$ &quot;* #,##0.00_-;_-&quot;R$ &quot;* \-??_-;_-@_-"/>
    <numFmt numFmtId="170" formatCode="_(* #,##0.00_);_(* \(#,##0.00\);_(* \-??_);_(@_)"/>
    <numFmt numFmtId="171" formatCode="[$R$-416]\ #,##0.00"/>
    <numFmt numFmtId="172" formatCode="_-* #,##0.00_-;\-* #,##0.00_-;_-* \-??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2F2F2"/>
      <name val="Arial"/>
      <family val="2"/>
    </font>
    <font>
      <sz val="11"/>
      <color indexed="8"/>
      <name val="Calibri"/>
      <family val="2"/>
    </font>
    <font>
      <sz val="9"/>
      <name val="Frutiger"/>
    </font>
    <font>
      <sz val="9"/>
      <color indexed="10"/>
      <name val="Geneva"/>
      <family val="2"/>
    </font>
    <font>
      <b/>
      <sz val="10"/>
      <name val="Frutiger"/>
    </font>
    <font>
      <b/>
      <sz val="10"/>
      <name val="Frutiger"/>
      <family val="2"/>
    </font>
    <font>
      <u/>
      <sz val="11"/>
      <color indexed="12"/>
      <name val="Calibri"/>
      <family val="2"/>
    </font>
    <font>
      <u/>
      <sz val="9"/>
      <color theme="10"/>
      <name val="Frutiger"/>
    </font>
    <font>
      <sz val="8"/>
      <name val="Times New Roman"/>
      <family val="1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i/>
      <sz val="26"/>
      <name val="Frutiger"/>
    </font>
    <font>
      <b/>
      <i/>
      <sz val="26"/>
      <name val="Frutiger"/>
      <family val="2"/>
    </font>
    <font>
      <b/>
      <sz val="12"/>
      <name val="Frutige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9" fontId="10" fillId="0" borderId="0">
      <alignment vertical="top" wrapText="1"/>
    </xf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12" fillId="0" borderId="0" applyNumberFormat="0">
      <alignment vertical="top" wrapText="1"/>
    </xf>
    <xf numFmtId="0" fontId="13" fillId="0" borderId="0" applyNumberFormat="0">
      <alignment vertical="top" wrapText="1"/>
    </xf>
    <xf numFmtId="0" fontId="14" fillId="0" borderId="0" applyNumberFormat="0" applyFill="0" applyBorder="0" applyAlignment="0" applyProtection="0"/>
    <xf numFmtId="49" fontId="15" fillId="0" borderId="0" applyNumberFormat="0" applyFill="0" applyBorder="0" applyAlignment="0" applyProtection="0">
      <alignment vertical="top" wrapText="1"/>
    </xf>
    <xf numFmtId="168" fontId="2" fillId="0" borderId="0" applyFont="0" applyFill="0" applyBorder="0" applyAlignment="0" applyProtection="0"/>
    <xf numFmtId="169" fontId="9" fillId="0" borderId="0" applyFill="0" applyBorder="0" applyAlignment="0" applyProtection="0"/>
    <xf numFmtId="44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4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2" fontId="2" fillId="0" borderId="0"/>
    <xf numFmtId="0" fontId="2" fillId="0" borderId="0"/>
    <xf numFmtId="0" fontId="9" fillId="0" borderId="0"/>
    <xf numFmtId="0" fontId="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" fillId="0" borderId="0"/>
    <xf numFmtId="49" fontId="10" fillId="0" borderId="0">
      <alignment vertical="top" wrapText="1"/>
    </xf>
    <xf numFmtId="0" fontId="2" fillId="0" borderId="0"/>
    <xf numFmtId="0" fontId="16" fillId="0" borderId="0"/>
    <xf numFmtId="0" fontId="2" fillId="0" borderId="0"/>
    <xf numFmtId="0" fontId="1" fillId="0" borderId="0"/>
    <xf numFmtId="0" fontId="17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11" fillId="0" borderId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8" fillId="0" borderId="29" applyNumberFormat="0" applyFill="0" applyAlignment="0" applyProtection="0"/>
    <xf numFmtId="4" fontId="19" fillId="0" borderId="0" applyNumberFormat="0">
      <alignment horizontal="left" vertical="top"/>
    </xf>
    <xf numFmtId="0" fontId="20" fillId="0" borderId="0" applyNumberFormat="0">
      <alignment horizontal="left" vertical="top"/>
    </xf>
    <xf numFmtId="171" fontId="21" fillId="0" borderId="0">
      <alignment horizontal="left" vertical="center"/>
    </xf>
    <xf numFmtId="171" fontId="12" fillId="0" borderId="0">
      <alignment horizontal="right" vertical="center"/>
    </xf>
    <xf numFmtId="171" fontId="10" fillId="0" borderId="0">
      <alignment vertical="top"/>
    </xf>
    <xf numFmtId="164" fontId="2" fillId="0" borderId="0" applyFont="0" applyFill="0" applyBorder="0" applyAlignment="0" applyProtection="0"/>
    <xf numFmtId="172" fontId="9" fillId="0" borderId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6">
    <xf numFmtId="0" fontId="0" fillId="0" borderId="0" xfId="0"/>
    <xf numFmtId="165" fontId="6" fillId="4" borderId="3" xfId="77" applyNumberFormat="1" applyFont="1" applyFill="1" applyBorder="1" applyAlignment="1" applyProtection="1">
      <alignment horizontal="left" vertical="center"/>
      <protection locked="0"/>
    </xf>
    <xf numFmtId="165" fontId="6" fillId="4" borderId="4" xfId="77" applyNumberFormat="1" applyFont="1" applyFill="1" applyBorder="1" applyAlignment="1" applyProtection="1">
      <alignment horizontal="left" vertical="center"/>
      <protection locked="0"/>
    </xf>
    <xf numFmtId="0" fontId="2" fillId="0" borderId="23" xfId="3" applyBorder="1"/>
    <xf numFmtId="0" fontId="2" fillId="0" borderId="0" xfId="3"/>
    <xf numFmtId="1" fontId="2" fillId="0" borderId="6" xfId="3" applyNumberFormat="1" applyBorder="1" applyAlignment="1">
      <alignment horizontal="center"/>
    </xf>
    <xf numFmtId="1" fontId="2" fillId="0" borderId="7" xfId="3" applyNumberFormat="1" applyBorder="1" applyAlignment="1">
      <alignment horizontal="center"/>
    </xf>
    <xf numFmtId="164" fontId="2" fillId="5" borderId="10" xfId="77" applyFont="1" applyFill="1" applyBorder="1" applyAlignment="1" applyProtection="1">
      <alignment horizontal="right"/>
    </xf>
    <xf numFmtId="1" fontId="2" fillId="0" borderId="11" xfId="3" applyNumberFormat="1" applyBorder="1" applyAlignment="1">
      <alignment horizontal="center"/>
    </xf>
    <xf numFmtId="1" fontId="2" fillId="0" borderId="0" xfId="3" applyNumberFormat="1" applyAlignment="1">
      <alignment horizontal="center"/>
    </xf>
    <xf numFmtId="164" fontId="2" fillId="5" borderId="15" xfId="77" applyFont="1" applyFill="1" applyBorder="1" applyAlignment="1" applyProtection="1">
      <alignment horizontal="right"/>
    </xf>
    <xf numFmtId="0" fontId="23" fillId="7" borderId="16" xfId="3" applyFont="1" applyFill="1" applyBorder="1" applyAlignment="1">
      <alignment horizontal="left" vertical="top" wrapText="1"/>
    </xf>
    <xf numFmtId="1" fontId="23" fillId="0" borderId="17" xfId="3" applyNumberFormat="1" applyFont="1" applyBorder="1" applyAlignment="1">
      <alignment horizontal="left"/>
    </xf>
    <xf numFmtId="0" fontId="2" fillId="0" borderId="11" xfId="3" applyBorder="1" applyAlignment="1">
      <alignment horizontal="center" vertical="center"/>
    </xf>
    <xf numFmtId="0" fontId="2" fillId="0" borderId="0" xfId="3" applyAlignment="1">
      <alignment horizontal="center" vertical="center"/>
    </xf>
    <xf numFmtId="0" fontId="2" fillId="0" borderId="0" xfId="3" applyAlignment="1">
      <alignment vertical="center" wrapText="1"/>
    </xf>
    <xf numFmtId="0" fontId="2" fillId="0" borderId="0" xfId="3" applyAlignment="1">
      <alignment vertical="center"/>
    </xf>
    <xf numFmtId="164" fontId="2" fillId="0" borderId="0" xfId="77" applyFont="1" applyBorder="1" applyAlignment="1" applyProtection="1">
      <alignment vertical="center"/>
    </xf>
    <xf numFmtId="164" fontId="2" fillId="0" borderId="19" xfId="77" applyFont="1" applyBorder="1" applyAlignment="1" applyProtection="1">
      <alignment vertical="center"/>
    </xf>
    <xf numFmtId="0" fontId="2" fillId="5" borderId="8" xfId="3" applyFill="1" applyBorder="1" applyAlignment="1">
      <alignment horizontal="left" vertical="center"/>
    </xf>
    <xf numFmtId="0" fontId="2" fillId="5" borderId="12" xfId="3" applyFill="1" applyBorder="1" applyAlignment="1">
      <alignment horizontal="left" vertical="center"/>
    </xf>
    <xf numFmtId="164" fontId="23" fillId="8" borderId="18" xfId="77" applyFont="1" applyFill="1" applyBorder="1" applyAlignment="1" applyProtection="1">
      <alignment horizontal="right"/>
    </xf>
    <xf numFmtId="0" fontId="2" fillId="0" borderId="20" xfId="3" applyBorder="1" applyAlignment="1">
      <alignment horizontal="center" vertical="center"/>
    </xf>
    <xf numFmtId="0" fontId="2" fillId="0" borderId="22" xfId="3" applyBorder="1" applyAlignment="1">
      <alignment horizontal="center" vertical="center"/>
    </xf>
    <xf numFmtId="166" fontId="2" fillId="0" borderId="24" xfId="77" applyNumberFormat="1" applyFont="1" applyBorder="1" applyAlignment="1" applyProtection="1">
      <alignment horizontal="center" vertical="center"/>
    </xf>
    <xf numFmtId="0" fontId="2" fillId="0" borderId="25" xfId="3" applyBorder="1" applyAlignment="1">
      <alignment horizontal="center" vertical="center"/>
    </xf>
    <xf numFmtId="0" fontId="2" fillId="0" borderId="27" xfId="3" applyBorder="1" applyAlignment="1">
      <alignment horizontal="center" vertical="center"/>
    </xf>
    <xf numFmtId="0" fontId="24" fillId="8" borderId="13" xfId="3" applyFont="1" applyFill="1" applyBorder="1" applyAlignment="1">
      <alignment horizontal="center" vertical="center"/>
    </xf>
    <xf numFmtId="164" fontId="24" fillId="8" borderId="27" xfId="62" applyFont="1" applyFill="1" applyBorder="1" applyAlignment="1" applyProtection="1">
      <alignment horizontal="center" vertical="center"/>
    </xf>
    <xf numFmtId="164" fontId="24" fillId="8" borderId="28" xfId="62" applyFont="1" applyFill="1" applyBorder="1" applyAlignment="1" applyProtection="1">
      <alignment horizontal="center" vertical="center"/>
    </xf>
    <xf numFmtId="166" fontId="2" fillId="0" borderId="22" xfId="77" applyNumberFormat="1" applyFont="1" applyBorder="1" applyAlignment="1" applyProtection="1">
      <alignment horizontal="center" vertical="center"/>
    </xf>
    <xf numFmtId="0" fontId="2" fillId="8" borderId="13" xfId="3" applyFill="1" applyBorder="1" applyAlignment="1">
      <alignment horizontal="center" vertical="center"/>
    </xf>
    <xf numFmtId="0" fontId="2" fillId="8" borderId="13" xfId="3" applyFill="1" applyBorder="1" applyAlignment="1">
      <alignment horizontal="left" vertical="center"/>
    </xf>
    <xf numFmtId="1" fontId="2" fillId="8" borderId="13" xfId="3" applyNumberFormat="1" applyFill="1" applyBorder="1" applyAlignment="1">
      <alignment horizontal="center" vertical="center"/>
    </xf>
    <xf numFmtId="167" fontId="2" fillId="8" borderId="13" xfId="62" applyNumberFormat="1" applyFont="1" applyFill="1" applyBorder="1" applyAlignment="1" applyProtection="1">
      <alignment horizontal="right" vertical="center"/>
    </xf>
    <xf numFmtId="167" fontId="23" fillId="8" borderId="13" xfId="62" applyNumberFormat="1" applyFont="1" applyFill="1" applyBorder="1" applyAlignment="1" applyProtection="1">
      <alignment horizontal="right" vertical="center"/>
    </xf>
    <xf numFmtId="0" fontId="2" fillId="0" borderId="13" xfId="3" applyBorder="1" applyAlignment="1">
      <alignment horizontal="center" vertical="center"/>
    </xf>
    <xf numFmtId="4" fontId="2" fillId="8" borderId="13" xfId="62" applyNumberFormat="1" applyFont="1" applyFill="1" applyBorder="1" applyAlignment="1" applyProtection="1">
      <alignment horizontal="right" vertical="center"/>
    </xf>
    <xf numFmtId="4" fontId="25" fillId="8" borderId="13" xfId="6" applyNumberFormat="1" applyFont="1" applyFill="1" applyBorder="1" applyAlignment="1" applyProtection="1">
      <alignment horizontal="right"/>
    </xf>
    <xf numFmtId="4" fontId="26" fillId="8" borderId="13" xfId="6" applyNumberFormat="1" applyFont="1" applyFill="1" applyBorder="1" applyAlignment="1" applyProtection="1">
      <alignment horizontal="right"/>
    </xf>
    <xf numFmtId="0" fontId="2" fillId="0" borderId="21" xfId="3" applyBorder="1" applyAlignment="1">
      <alignment horizontal="center" vertical="center"/>
    </xf>
    <xf numFmtId="0" fontId="4" fillId="2" borderId="2" xfId="89" applyFont="1" applyFill="1" applyBorder="1" applyAlignment="1" applyProtection="1">
      <alignment horizontal="center" vertical="center"/>
      <protection locked="0"/>
    </xf>
    <xf numFmtId="0" fontId="4" fillId="2" borderId="3" xfId="89" applyFont="1" applyFill="1" applyBorder="1" applyAlignment="1" applyProtection="1">
      <alignment horizontal="center" vertical="center" wrapText="1"/>
      <protection locked="0"/>
    </xf>
    <xf numFmtId="0" fontId="4" fillId="2" borderId="3" xfId="89" applyFont="1" applyFill="1" applyBorder="1" applyAlignment="1" applyProtection="1">
      <alignment horizontal="center" vertical="center"/>
      <protection locked="0"/>
    </xf>
    <xf numFmtId="0" fontId="5" fillId="3" borderId="2" xfId="89" applyFont="1" applyFill="1" applyBorder="1" applyAlignment="1" applyProtection="1">
      <alignment horizontal="center" vertical="center"/>
      <protection locked="0"/>
    </xf>
    <xf numFmtId="0" fontId="6" fillId="4" borderId="2" xfId="89" applyFont="1" applyFill="1" applyBorder="1" applyAlignment="1" applyProtection="1">
      <alignment horizontal="center" vertical="center"/>
      <protection locked="0"/>
    </xf>
    <xf numFmtId="14" fontId="6" fillId="4" borderId="3" xfId="89" applyNumberFormat="1" applyFont="1" applyFill="1" applyBorder="1" applyAlignment="1" applyProtection="1">
      <alignment vertical="center"/>
      <protection locked="0"/>
    </xf>
    <xf numFmtId="14" fontId="6" fillId="4" borderId="2" xfId="89" applyNumberFormat="1" applyFont="1" applyFill="1" applyBorder="1" applyAlignment="1" applyProtection="1">
      <alignment horizontal="center" vertical="center"/>
      <protection locked="0"/>
    </xf>
    <xf numFmtId="0" fontId="6" fillId="4" borderId="2" xfId="89" applyFont="1" applyFill="1" applyBorder="1" applyAlignment="1" applyProtection="1">
      <alignment vertical="center"/>
      <protection locked="0"/>
    </xf>
    <xf numFmtId="0" fontId="1" fillId="0" borderId="5" xfId="89" applyFont="1" applyBorder="1" applyAlignment="1" applyProtection="1">
      <alignment vertical="center"/>
      <protection locked="0"/>
    </xf>
    <xf numFmtId="0" fontId="1" fillId="0" borderId="0" xfId="89" applyFont="1" applyAlignment="1" applyProtection="1">
      <alignment vertical="center"/>
      <protection locked="0"/>
    </xf>
    <xf numFmtId="1" fontId="2" fillId="0" borderId="13" xfId="89" applyNumberFormat="1" applyBorder="1" applyAlignment="1">
      <alignment horizontal="center" vertical="center"/>
    </xf>
    <xf numFmtId="1" fontId="2" fillId="7" borderId="13" xfId="89" applyNumberForma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3" fontId="27" fillId="3" borderId="2" xfId="89" applyNumberFormat="1" applyFont="1" applyFill="1" applyBorder="1" applyAlignment="1" applyProtection="1">
      <alignment horizontal="center" vertical="center"/>
      <protection locked="0"/>
    </xf>
    <xf numFmtId="4" fontId="23" fillId="0" borderId="13" xfId="6" applyNumberFormat="1" applyFont="1" applyBorder="1" applyAlignment="1" applyProtection="1">
      <alignment horizontal="right"/>
    </xf>
    <xf numFmtId="4" fontId="2" fillId="0" borderId="13" xfId="6" applyNumberFormat="1" applyFont="1" applyBorder="1" applyAlignment="1" applyProtection="1">
      <alignment horizontal="right"/>
      <protection locked="0"/>
    </xf>
    <xf numFmtId="0" fontId="2" fillId="0" borderId="13" xfId="89" applyBorder="1" applyAlignment="1">
      <alignment horizontal="left" vertical="center" wrapText="1"/>
    </xf>
    <xf numFmtId="0" fontId="28" fillId="0" borderId="0" xfId="0" applyFont="1"/>
    <xf numFmtId="1" fontId="2" fillId="0" borderId="13" xfId="89" applyNumberFormat="1" applyBorder="1" applyAlignment="1" applyProtection="1">
      <alignment horizontal="center" vertical="center"/>
      <protection locked="0"/>
    </xf>
    <xf numFmtId="164" fontId="31" fillId="2" borderId="2" xfId="77" applyFont="1" applyFill="1" applyBorder="1" applyAlignment="1" applyProtection="1">
      <alignment horizontal="center" vertical="center"/>
      <protection hidden="1"/>
    </xf>
    <xf numFmtId="0" fontId="30" fillId="2" borderId="30" xfId="61" applyFont="1" applyFill="1" applyBorder="1" applyAlignment="1" applyProtection="1">
      <alignment horizontal="center" vertical="center"/>
      <protection hidden="1"/>
    </xf>
    <xf numFmtId="164" fontId="30" fillId="2" borderId="30" xfId="90" applyFont="1" applyFill="1" applyBorder="1" applyAlignment="1" applyProtection="1">
      <alignment horizontal="center" vertical="center"/>
      <protection hidden="1"/>
    </xf>
    <xf numFmtId="164" fontId="31" fillId="2" borderId="30" xfId="77" applyFont="1" applyFill="1" applyBorder="1" applyAlignment="1" applyProtection="1">
      <alignment horizontal="center" vertical="center"/>
      <protection hidden="1"/>
    </xf>
    <xf numFmtId="0" fontId="8" fillId="6" borderId="32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23" fillId="6" borderId="24" xfId="3" applyFont="1" applyFill="1" applyBorder="1" applyAlignment="1">
      <alignment horizontal="center" vertical="center" wrapText="1"/>
    </xf>
    <xf numFmtId="1" fontId="23" fillId="0" borderId="9" xfId="3" applyNumberFormat="1" applyFont="1" applyBorder="1" applyAlignment="1">
      <alignment horizontal="center" vertical="center"/>
    </xf>
    <xf numFmtId="1" fontId="23" fillId="0" borderId="13" xfId="3" applyNumberFormat="1" applyFont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right"/>
    </xf>
    <xf numFmtId="0" fontId="2" fillId="0" borderId="13" xfId="0" applyFont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/>
    </xf>
    <xf numFmtId="0" fontId="23" fillId="9" borderId="13" xfId="0" applyFont="1" applyFill="1" applyBorder="1" applyAlignment="1">
      <alignment horizontal="left" vertical="center" wrapText="1"/>
    </xf>
    <xf numFmtId="0" fontId="2" fillId="9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vertical="center"/>
    </xf>
    <xf numFmtId="0" fontId="23" fillId="9" borderId="13" xfId="0" applyFont="1" applyFill="1" applyBorder="1" applyAlignment="1">
      <alignment horizontal="right" vertical="center"/>
    </xf>
    <xf numFmtId="0" fontId="2" fillId="10" borderId="13" xfId="3" applyFill="1" applyBorder="1" applyAlignment="1">
      <alignment horizontal="center" vertical="center"/>
    </xf>
    <xf numFmtId="0" fontId="2" fillId="0" borderId="13" xfId="3" applyBorder="1" applyAlignment="1">
      <alignment horizontal="left" vertical="center"/>
    </xf>
    <xf numFmtId="1" fontId="2" fillId="0" borderId="13" xfId="3" applyNumberFormat="1" applyBorder="1" applyAlignment="1">
      <alignment horizontal="center" vertical="center"/>
    </xf>
    <xf numFmtId="0" fontId="2" fillId="0" borderId="13" xfId="3" applyBorder="1" applyAlignment="1" applyProtection="1">
      <alignment horizontal="center" vertical="center"/>
      <protection locked="0"/>
    </xf>
    <xf numFmtId="4" fontId="25" fillId="0" borderId="13" xfId="6" applyNumberFormat="1" applyFont="1" applyBorder="1" applyAlignment="1" applyProtection="1">
      <alignment horizontal="right"/>
      <protection locked="0"/>
    </xf>
    <xf numFmtId="0" fontId="2" fillId="0" borderId="13" xfId="89" applyBorder="1" applyAlignment="1">
      <alignment horizontal="left" vertical="center"/>
    </xf>
    <xf numFmtId="4" fontId="25" fillId="11" borderId="13" xfId="6" applyNumberFormat="1" applyFont="1" applyFill="1" applyBorder="1" applyAlignment="1" applyProtection="1">
      <alignment horizontal="right"/>
      <protection locked="0"/>
    </xf>
    <xf numFmtId="0" fontId="2" fillId="11" borderId="13" xfId="3" applyFill="1" applyBorder="1" applyAlignment="1">
      <alignment horizontal="left" vertical="center"/>
    </xf>
    <xf numFmtId="1" fontId="2" fillId="11" borderId="13" xfId="3" applyNumberFormat="1" applyFill="1" applyBorder="1" applyAlignment="1">
      <alignment horizontal="center" vertical="center"/>
    </xf>
    <xf numFmtId="0" fontId="2" fillId="11" borderId="13" xfId="3" applyFill="1" applyBorder="1" applyAlignment="1" applyProtection="1">
      <alignment horizontal="center" vertical="center"/>
      <protection locked="0"/>
    </xf>
    <xf numFmtId="164" fontId="0" fillId="0" borderId="0" xfId="91" applyFont="1"/>
    <xf numFmtId="164" fontId="0" fillId="0" borderId="0" xfId="0" applyNumberFormat="1"/>
    <xf numFmtId="10" fontId="0" fillId="0" borderId="0" xfId="92" applyNumberFormat="1" applyFont="1"/>
    <xf numFmtId="40" fontId="23" fillId="9" borderId="13" xfId="0" applyNumberFormat="1" applyFont="1" applyFill="1" applyBorder="1" applyAlignment="1">
      <alignment vertical="center"/>
    </xf>
    <xf numFmtId="1" fontId="2" fillId="0" borderId="13" xfId="89" quotePrefix="1" applyNumberFormat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vertical="center" wrapText="1"/>
    </xf>
    <xf numFmtId="4" fontId="2" fillId="0" borderId="13" xfId="79" applyNumberFormat="1" applyFont="1" applyBorder="1" applyAlignment="1">
      <alignment horizontal="center"/>
    </xf>
    <xf numFmtId="0" fontId="2" fillId="0" borderId="21" xfId="0" applyFont="1" applyBorder="1" applyAlignment="1">
      <alignment horizontal="left" vertical="center" wrapText="1"/>
    </xf>
    <xf numFmtId="4" fontId="2" fillId="0" borderId="13" xfId="6" applyNumberFormat="1" applyFont="1" applyFill="1" applyBorder="1" applyAlignment="1" applyProtection="1">
      <alignment horizontal="right"/>
      <protection locked="0"/>
    </xf>
    <xf numFmtId="4" fontId="26" fillId="0" borderId="13" xfId="6" applyNumberFormat="1" applyFont="1" applyBorder="1" applyAlignment="1" applyProtection="1">
      <alignment horizontal="right"/>
    </xf>
    <xf numFmtId="4" fontId="25" fillId="8" borderId="13" xfId="89" applyNumberFormat="1" applyFont="1" applyFill="1" applyBorder="1" applyAlignment="1">
      <alignment horizontal="right"/>
    </xf>
    <xf numFmtId="0" fontId="2" fillId="11" borderId="13" xfId="89" applyFill="1" applyBorder="1" applyAlignment="1">
      <alignment horizontal="left" vertical="center"/>
    </xf>
    <xf numFmtId="0" fontId="2" fillId="0" borderId="13" xfId="89" applyBorder="1" applyAlignment="1">
      <alignment horizontal="center" vertical="center"/>
    </xf>
    <xf numFmtId="0" fontId="0" fillId="0" borderId="0" xfId="0" quotePrefix="1"/>
    <xf numFmtId="4" fontId="26" fillId="11" borderId="13" xfId="6" applyNumberFormat="1" applyFont="1" applyFill="1" applyBorder="1" applyAlignment="1" applyProtection="1">
      <alignment horizontal="right"/>
    </xf>
    <xf numFmtId="0" fontId="2" fillId="11" borderId="13" xfId="3" applyFill="1" applyBorder="1" applyAlignment="1">
      <alignment horizontal="center" vertical="center"/>
    </xf>
    <xf numFmtId="4" fontId="2" fillId="11" borderId="13" xfId="6" applyNumberFormat="1" applyFont="1" applyFill="1" applyBorder="1" applyAlignment="1" applyProtection="1">
      <alignment horizontal="right"/>
      <protection locked="0"/>
    </xf>
    <xf numFmtId="0" fontId="33" fillId="0" borderId="0" xfId="0" applyFont="1"/>
    <xf numFmtId="4" fontId="2" fillId="0" borderId="13" xfId="62" applyNumberFormat="1" applyFont="1" applyFill="1" applyBorder="1" applyAlignment="1" applyProtection="1">
      <alignment horizontal="right" vertical="center"/>
    </xf>
    <xf numFmtId="4" fontId="25" fillId="0" borderId="13" xfId="6" applyNumberFormat="1" applyFont="1" applyFill="1" applyBorder="1" applyAlignment="1" applyProtection="1">
      <alignment horizontal="right"/>
      <protection locked="0"/>
    </xf>
    <xf numFmtId="0" fontId="2" fillId="0" borderId="21" xfId="3" applyBorder="1" applyAlignment="1">
      <alignment horizontal="center" vertical="center"/>
    </xf>
    <xf numFmtId="0" fontId="2" fillId="0" borderId="26" xfId="3" applyBorder="1" applyAlignment="1">
      <alignment horizontal="center" vertical="center"/>
    </xf>
    <xf numFmtId="164" fontId="2" fillId="0" borderId="14" xfId="77" applyFont="1" applyBorder="1" applyAlignment="1" applyProtection="1">
      <alignment horizontal="center" vertical="center"/>
    </xf>
    <xf numFmtId="164" fontId="2" fillId="0" borderId="23" xfId="77" applyFont="1" applyBorder="1" applyAlignment="1" applyProtection="1">
      <alignment horizontal="center" vertical="center"/>
    </xf>
    <xf numFmtId="0" fontId="23" fillId="9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/>
    </xf>
    <xf numFmtId="0" fontId="23" fillId="0" borderId="17" xfId="3" applyFont="1" applyBorder="1" applyAlignment="1">
      <alignment horizontal="center"/>
    </xf>
    <xf numFmtId="0" fontId="23" fillId="0" borderId="9" xfId="3" applyFont="1" applyBorder="1" applyAlignment="1">
      <alignment horizontal="center"/>
    </xf>
    <xf numFmtId="0" fontId="6" fillId="4" borderId="3" xfId="89" applyFont="1" applyFill="1" applyBorder="1" applyAlignment="1" applyProtection="1">
      <alignment horizontal="center" vertical="center" wrapText="1"/>
      <protection locked="0"/>
    </xf>
    <xf numFmtId="0" fontId="6" fillId="4" borderId="4" xfId="89" applyFont="1" applyFill="1" applyBorder="1" applyAlignment="1" applyProtection="1">
      <alignment horizontal="center" vertical="center" wrapText="1"/>
      <protection locked="0"/>
    </xf>
    <xf numFmtId="0" fontId="7" fillId="3" borderId="3" xfId="89" applyFont="1" applyFill="1" applyBorder="1" applyAlignment="1" applyProtection="1">
      <alignment horizontal="center" vertical="center" wrapText="1"/>
      <protection locked="0"/>
    </xf>
    <xf numFmtId="0" fontId="7" fillId="3" borderId="1" xfId="89" applyFont="1" applyFill="1" applyBorder="1" applyAlignment="1" applyProtection="1">
      <alignment horizontal="center" vertical="center" wrapText="1"/>
      <protection locked="0"/>
    </xf>
    <xf numFmtId="0" fontId="7" fillId="3" borderId="4" xfId="89" applyFont="1" applyFill="1" applyBorder="1" applyAlignment="1" applyProtection="1">
      <alignment horizontal="center" vertical="center" wrapText="1"/>
      <protection locked="0"/>
    </xf>
    <xf numFmtId="0" fontId="6" fillId="4" borderId="3" xfId="89" applyFont="1" applyFill="1" applyBorder="1" applyAlignment="1" applyProtection="1">
      <alignment horizontal="center" vertical="center"/>
      <protection locked="0"/>
    </xf>
    <xf numFmtId="0" fontId="6" fillId="4" borderId="4" xfId="89" applyFont="1" applyFill="1" applyBorder="1" applyAlignment="1" applyProtection="1">
      <alignment horizontal="center" vertical="center"/>
      <protection locked="0"/>
    </xf>
    <xf numFmtId="0" fontId="30" fillId="2" borderId="30" xfId="0" applyFont="1" applyFill="1" applyBorder="1" applyAlignment="1">
      <alignment horizontal="center" vertical="center"/>
    </xf>
    <xf numFmtId="0" fontId="3" fillId="0" borderId="1" xfId="89" applyFont="1" applyBorder="1" applyAlignment="1" applyProtection="1">
      <alignment horizontal="center" vertical="center" wrapText="1"/>
      <protection locked="0"/>
    </xf>
    <xf numFmtId="0" fontId="4" fillId="2" borderId="2" xfId="89" applyFont="1" applyFill="1" applyBorder="1" applyAlignment="1" applyProtection="1">
      <alignment horizontal="center" vertical="center"/>
      <protection locked="0"/>
    </xf>
    <xf numFmtId="0" fontId="6" fillId="4" borderId="2" xfId="89" applyFont="1" applyFill="1" applyBorder="1" applyAlignment="1" applyProtection="1">
      <alignment horizontal="center" vertical="center"/>
      <protection locked="0"/>
    </xf>
    <xf numFmtId="0" fontId="6" fillId="3" borderId="3" xfId="89" applyFont="1" applyFill="1" applyBorder="1" applyAlignment="1" applyProtection="1">
      <alignment horizontal="center" vertical="center"/>
      <protection locked="0"/>
    </xf>
    <xf numFmtId="0" fontId="6" fillId="3" borderId="4" xfId="89" applyFont="1" applyFill="1" applyBorder="1" applyAlignment="1" applyProtection="1">
      <alignment horizontal="center" vertical="center"/>
      <protection locked="0"/>
    </xf>
    <xf numFmtId="0" fontId="6" fillId="4" borderId="1" xfId="89" applyFont="1" applyFill="1" applyBorder="1" applyAlignment="1" applyProtection="1">
      <alignment horizontal="center" vertical="center" wrapText="1"/>
      <protection locked="0"/>
    </xf>
    <xf numFmtId="0" fontId="2" fillId="0" borderId="13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vertical="center" wrapText="1"/>
    </xf>
    <xf numFmtId="1" fontId="2" fillId="0" borderId="13" xfId="3" applyNumberFormat="1" applyFill="1" applyBorder="1" applyAlignment="1">
      <alignment horizontal="center" vertical="center"/>
    </xf>
    <xf numFmtId="0" fontId="2" fillId="0" borderId="13" xfId="3" applyFill="1" applyBorder="1" applyAlignment="1" applyProtection="1">
      <alignment horizontal="center" vertical="center"/>
      <protection locked="0"/>
    </xf>
    <xf numFmtId="4" fontId="23" fillId="0" borderId="13" xfId="6" applyNumberFormat="1" applyFont="1" applyFill="1" applyBorder="1" applyAlignment="1" applyProtection="1">
      <alignment horizontal="right"/>
    </xf>
    <xf numFmtId="0" fontId="0" fillId="0" borderId="0" xfId="0" applyFill="1"/>
  </cellXfs>
  <cellStyles count="97">
    <cellStyle name="0,0_x000d__x000a_NA_x000d__x000a_" xfId="9" xr:uid="{00000000-0005-0000-0000-000000000000}"/>
    <cellStyle name="0,0_x000d__x000a_NA_x000d__x000a_ 2" xfId="10" xr:uid="{00000000-0005-0000-0000-000001000000}"/>
    <cellStyle name="0,0_x000d__x000a_NA_x000d__x000a_ 3" xfId="8" xr:uid="{00000000-0005-0000-0000-000002000000}"/>
    <cellStyle name="Cancel" xfId="11" xr:uid="{00000000-0005-0000-0000-000003000000}"/>
    <cellStyle name="Cancel 2" xfId="7" xr:uid="{00000000-0005-0000-0000-000004000000}"/>
    <cellStyle name="Cancel 3" xfId="12" xr:uid="{00000000-0005-0000-0000-000005000000}"/>
    <cellStyle name="Comma 2" xfId="90" xr:uid="{ECCFA36E-3AE9-4CA2-A562-24E7DC32F53C}"/>
    <cellStyle name="Currency 2" xfId="13" xr:uid="{00000000-0005-0000-0000-000006000000}"/>
    <cellStyle name="Currency 2 2" xfId="14" xr:uid="{00000000-0005-0000-0000-000007000000}"/>
    <cellStyle name="Divisoes" xfId="15" xr:uid="{00000000-0005-0000-0000-000008000000}"/>
    <cellStyle name="Divisoes 2" xfId="16" xr:uid="{00000000-0005-0000-0000-000009000000}"/>
    <cellStyle name="Hiperlink 2" xfId="17" xr:uid="{00000000-0005-0000-0000-00000A000000}"/>
    <cellStyle name="Hiperlink 3" xfId="18" xr:uid="{00000000-0005-0000-0000-00000B000000}"/>
    <cellStyle name="Moeda 2" xfId="19" xr:uid="{00000000-0005-0000-0000-00000C000000}"/>
    <cellStyle name="Moeda 2 2" xfId="20" xr:uid="{00000000-0005-0000-0000-00000D000000}"/>
    <cellStyle name="Moeda 2 3" xfId="21" xr:uid="{00000000-0005-0000-0000-00000E000000}"/>
    <cellStyle name="Moeda 2 4" xfId="6" xr:uid="{00000000-0005-0000-0000-00000F000000}"/>
    <cellStyle name="Moeda 2 4 2 2" xfId="96" xr:uid="{B5D027B7-045B-469B-A52A-6C242DD62E0F}"/>
    <cellStyle name="Moeda 2 5" xfId="22" xr:uid="{00000000-0005-0000-0000-000010000000}"/>
    <cellStyle name="Moeda 3" xfId="23" xr:uid="{00000000-0005-0000-0000-000011000000}"/>
    <cellStyle name="Moeda 3 2" xfId="24" xr:uid="{00000000-0005-0000-0000-000012000000}"/>
    <cellStyle name="Moeda 3 2 2" xfId="25" xr:uid="{00000000-0005-0000-0000-000013000000}"/>
    <cellStyle name="Moeda 3 3" xfId="26" xr:uid="{00000000-0005-0000-0000-000014000000}"/>
    <cellStyle name="Moeda 4" xfId="27" xr:uid="{00000000-0005-0000-0000-000015000000}"/>
    <cellStyle name="Moeda 5" xfId="28" xr:uid="{00000000-0005-0000-0000-000016000000}"/>
    <cellStyle name="Normal" xfId="0" builtinId="0"/>
    <cellStyle name="Normal 10" xfId="29" xr:uid="{00000000-0005-0000-0000-000018000000}"/>
    <cellStyle name="Normal 11" xfId="88" xr:uid="{00000000-0005-0000-0000-000019000000}"/>
    <cellStyle name="Normal 11 2" xfId="89" xr:uid="{00000000-0005-0000-0000-00001A000000}"/>
    <cellStyle name="Normal 12" xfId="93" xr:uid="{99003226-766E-4549-8C32-B09844BB9373}"/>
    <cellStyle name="Normal 2" xfId="30" xr:uid="{00000000-0005-0000-0000-00001B000000}"/>
    <cellStyle name="Normal 2 2" xfId="31" xr:uid="{00000000-0005-0000-0000-00001C000000}"/>
    <cellStyle name="Normal 2 2 2" xfId="1" xr:uid="{00000000-0005-0000-0000-00001D000000}"/>
    <cellStyle name="Normal 2 3" xfId="32" xr:uid="{00000000-0005-0000-0000-00001E000000}"/>
    <cellStyle name="Normal 2 4" xfId="33" xr:uid="{00000000-0005-0000-0000-00001F000000}"/>
    <cellStyle name="Normal 2 5" xfId="34" xr:uid="{00000000-0005-0000-0000-000020000000}"/>
    <cellStyle name="Normal 2 6" xfId="35" xr:uid="{00000000-0005-0000-0000-000021000000}"/>
    <cellStyle name="Normal 3" xfId="36" xr:uid="{00000000-0005-0000-0000-000022000000}"/>
    <cellStyle name="Normal 3 2" xfId="37" xr:uid="{00000000-0005-0000-0000-000023000000}"/>
    <cellStyle name="Normal 3 2 2" xfId="3" xr:uid="{00000000-0005-0000-0000-000024000000}"/>
    <cellStyle name="Normal 3 3" xfId="38" xr:uid="{00000000-0005-0000-0000-000025000000}"/>
    <cellStyle name="Normal 3 4" xfId="39" xr:uid="{00000000-0005-0000-0000-000026000000}"/>
    <cellStyle name="Normal 4" xfId="40" xr:uid="{00000000-0005-0000-0000-000027000000}"/>
    <cellStyle name="Normal 4 2" xfId="41" xr:uid="{00000000-0005-0000-0000-000028000000}"/>
    <cellStyle name="Normal 4 3" xfId="42" xr:uid="{00000000-0005-0000-0000-000029000000}"/>
    <cellStyle name="Normal 5" xfId="43" xr:uid="{00000000-0005-0000-0000-00002A000000}"/>
    <cellStyle name="Normal 5 2" xfId="44" xr:uid="{00000000-0005-0000-0000-00002B000000}"/>
    <cellStyle name="Normal 6" xfId="45" xr:uid="{00000000-0005-0000-0000-00002C000000}"/>
    <cellStyle name="Normal 6 2" xfId="46" xr:uid="{00000000-0005-0000-0000-00002D000000}"/>
    <cellStyle name="Normal 6 3" xfId="47" xr:uid="{00000000-0005-0000-0000-00002E000000}"/>
    <cellStyle name="Normal 6 4" xfId="48" xr:uid="{00000000-0005-0000-0000-00002F000000}"/>
    <cellStyle name="Normal 7" xfId="49" xr:uid="{00000000-0005-0000-0000-000030000000}"/>
    <cellStyle name="Normal 8" xfId="50" xr:uid="{00000000-0005-0000-0000-000031000000}"/>
    <cellStyle name="Normal 8 2" xfId="51" xr:uid="{00000000-0005-0000-0000-000032000000}"/>
    <cellStyle name="Normal 9" xfId="5" xr:uid="{00000000-0005-0000-0000-000033000000}"/>
    <cellStyle name="Porcentagem" xfId="92" builtinId="5"/>
    <cellStyle name="Porcentagem 2" xfId="52" xr:uid="{00000000-0005-0000-0000-000034000000}"/>
    <cellStyle name="Porcentagem 2 2" xfId="53" xr:uid="{00000000-0005-0000-0000-000035000000}"/>
    <cellStyle name="Porcentagem 2 3" xfId="54" xr:uid="{00000000-0005-0000-0000-000036000000}"/>
    <cellStyle name="Porcentagem 2 4" xfId="55" xr:uid="{00000000-0005-0000-0000-000037000000}"/>
    <cellStyle name="Porcentagem 3" xfId="56" xr:uid="{00000000-0005-0000-0000-000038000000}"/>
    <cellStyle name="Porcentagem 3 2" xfId="57" xr:uid="{00000000-0005-0000-0000-000039000000}"/>
    <cellStyle name="Porcentagem 3 3" xfId="58" xr:uid="{00000000-0005-0000-0000-00003A000000}"/>
    <cellStyle name="Porcentagem 4" xfId="59" xr:uid="{00000000-0005-0000-0000-00003B000000}"/>
    <cellStyle name="Porcentagem 4 2" xfId="60" xr:uid="{00000000-0005-0000-0000-00003C000000}"/>
    <cellStyle name="Separador de milhares 2" xfId="61" xr:uid="{00000000-0005-0000-0000-00003D000000}"/>
    <cellStyle name="Separador de milhares 2 2" xfId="62" xr:uid="{00000000-0005-0000-0000-00003E000000}"/>
    <cellStyle name="Separador de milhares 2 2 2" xfId="4" xr:uid="{00000000-0005-0000-0000-00003F000000}"/>
    <cellStyle name="Separador de milhares 2 3" xfId="63" xr:uid="{00000000-0005-0000-0000-000040000000}"/>
    <cellStyle name="Separador de milhares 2 4" xfId="64" xr:uid="{00000000-0005-0000-0000-000041000000}"/>
    <cellStyle name="Separador de milhares 3" xfId="65" xr:uid="{00000000-0005-0000-0000-000042000000}"/>
    <cellStyle name="Separador de milhares 3 2" xfId="66" xr:uid="{00000000-0005-0000-0000-000043000000}"/>
    <cellStyle name="Separador de milhares 3 2 2" xfId="67" xr:uid="{00000000-0005-0000-0000-000044000000}"/>
    <cellStyle name="Separador de milhares 3 3" xfId="68" xr:uid="{00000000-0005-0000-0000-000045000000}"/>
    <cellStyle name="Separador de milhares 3 3 2" xfId="69" xr:uid="{00000000-0005-0000-0000-000046000000}"/>
    <cellStyle name="Separador de milhares 3 4" xfId="70" xr:uid="{00000000-0005-0000-0000-000047000000}"/>
    <cellStyle name="Título 1 1" xfId="71" xr:uid="{00000000-0005-0000-0000-000048000000}"/>
    <cellStyle name="Titulo Principal" xfId="72" xr:uid="{00000000-0005-0000-0000-000049000000}"/>
    <cellStyle name="Titulo Principal 2" xfId="73" xr:uid="{00000000-0005-0000-0000-00004A000000}"/>
    <cellStyle name="Titulos" xfId="74" xr:uid="{00000000-0005-0000-0000-00004B000000}"/>
    <cellStyle name="Totais" xfId="75" xr:uid="{00000000-0005-0000-0000-00004C000000}"/>
    <cellStyle name="Valores" xfId="76" xr:uid="{00000000-0005-0000-0000-00004D000000}"/>
    <cellStyle name="Vírgula" xfId="91" builtinId="3"/>
    <cellStyle name="Vírgula 2" xfId="77" xr:uid="{00000000-0005-0000-0000-00004F000000}"/>
    <cellStyle name="Vírgula 2 2" xfId="78" xr:uid="{00000000-0005-0000-0000-000050000000}"/>
    <cellStyle name="Vírgula 2 3" xfId="79" xr:uid="{00000000-0005-0000-0000-000051000000}"/>
    <cellStyle name="Vírgula 2 4" xfId="2" xr:uid="{00000000-0005-0000-0000-000052000000}"/>
    <cellStyle name="Vírgula 2 5" xfId="95" xr:uid="{E3D24AA8-29DE-43F8-85DB-8F071FCD5098}"/>
    <cellStyle name="Vírgula 3" xfId="80" xr:uid="{00000000-0005-0000-0000-000053000000}"/>
    <cellStyle name="Vírgula 3 2" xfId="81" xr:uid="{00000000-0005-0000-0000-000054000000}"/>
    <cellStyle name="Vírgula 3 3" xfId="82" xr:uid="{00000000-0005-0000-0000-000055000000}"/>
    <cellStyle name="Vírgula 4" xfId="83" xr:uid="{00000000-0005-0000-0000-000056000000}"/>
    <cellStyle name="Vírgula 4 2" xfId="84" xr:uid="{00000000-0005-0000-0000-000057000000}"/>
    <cellStyle name="Vírgula 5" xfId="85" xr:uid="{00000000-0005-0000-0000-000058000000}"/>
    <cellStyle name="Vírgula 6" xfId="86" xr:uid="{00000000-0005-0000-0000-000059000000}"/>
    <cellStyle name="Vírgula 7" xfId="94" xr:uid="{6E153D85-30E1-4572-9F84-B2A78A3B65D5}"/>
    <cellStyle name="Vírgula 8" xfId="87" xr:uid="{00000000-0005-0000-0000-00005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corporativo\LOCK%20COMERCIAL\Or&#231;amentos\2015\Processos%20em%20andamento\P%20134%2015-%20C%20e%20A%20-%20Shopping%20Cantareira\Or&#231;amento\Planilha%20or&#231;ament&#225;ria%20-%20modelo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\Depto.%20Orcamentos\Or&#231;amentos%20EM%20ANDAMENTO\Corporativo%20em%20andamento\Pasta%20padr&#227;o%20rev%2000\Planilha\Rev.00\Planilha%20-%20CLIENTE%20-%20N&#218;MERO%20PROPOS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o orçam."/>
      <sheetName val="planilha"/>
      <sheetName val="Totais Custo"/>
      <sheetName val="Totais Venda"/>
      <sheetName val="Equipe"/>
      <sheetName val="BDI"/>
      <sheetName val="Imposto 2014"/>
      <sheetName val="Mapa METÁLICA"/>
      <sheetName val="Mapa ELÉTRICA"/>
      <sheetName val="HIDRÁULICA"/>
      <sheetName val="Mapa AR CONDICIONADO"/>
    </sheetNames>
    <sheetDataSet>
      <sheetData sheetId="0">
        <row r="15">
          <cell r="F1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Totais "/>
      <sheetName val="BDI "/>
      <sheetName val="IMPOSTOS  NOME DO CLIENTE "/>
      <sheetName val="IMPOSTOS CHEIO (NOTA TOTAL) "/>
    </sheetNames>
    <sheetDataSet>
      <sheetData sheetId="0"/>
      <sheetData sheetId="1">
        <row r="48">
          <cell r="D48">
            <v>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C46E-541D-429E-92F6-E21DC2925FAC}">
  <dimension ref="B1:J129"/>
  <sheetViews>
    <sheetView showGridLines="0" tabSelected="1" topLeftCell="A83" zoomScale="80" zoomScaleNormal="80" workbookViewId="0">
      <selection activeCell="M42" sqref="M42"/>
    </sheetView>
  </sheetViews>
  <sheetFormatPr defaultRowHeight="15"/>
  <cols>
    <col min="4" max="4" width="62.7109375" customWidth="1"/>
    <col min="5" max="5" width="7.28515625" bestFit="1" customWidth="1"/>
    <col min="6" max="6" width="10.140625" bestFit="1" customWidth="1"/>
    <col min="7" max="7" width="9.7109375" customWidth="1"/>
    <col min="8" max="8" width="13.42578125" bestFit="1" customWidth="1"/>
    <col min="9" max="9" width="13.42578125" customWidth="1"/>
    <col min="10" max="10" width="3.7109375" customWidth="1"/>
  </cols>
  <sheetData>
    <row r="1" spans="2:9" ht="21">
      <c r="C1" s="124" t="s">
        <v>0</v>
      </c>
      <c r="D1" s="124"/>
      <c r="E1" s="124"/>
      <c r="F1" s="124"/>
      <c r="G1" s="124"/>
      <c r="H1" s="124"/>
      <c r="I1" s="124"/>
    </row>
    <row r="2" spans="2:9" ht="31.5">
      <c r="B2" s="125" t="s">
        <v>1</v>
      </c>
      <c r="C2" s="125"/>
      <c r="D2" s="125"/>
      <c r="E2" s="41" t="s">
        <v>2</v>
      </c>
      <c r="F2" s="41" t="s">
        <v>3</v>
      </c>
      <c r="G2" s="41" t="s">
        <v>4</v>
      </c>
      <c r="H2" s="42" t="s">
        <v>5</v>
      </c>
      <c r="I2" s="43" t="s">
        <v>6</v>
      </c>
    </row>
    <row r="3" spans="2:9" ht="18.75">
      <c r="B3" s="44" t="s">
        <v>98</v>
      </c>
      <c r="C3" s="126" t="s">
        <v>99</v>
      </c>
      <c r="D3" s="126"/>
      <c r="E3" s="45" t="s">
        <v>100</v>
      </c>
      <c r="F3" s="45" t="s">
        <v>7</v>
      </c>
      <c r="G3" s="54"/>
      <c r="H3" s="46">
        <v>46048</v>
      </c>
      <c r="I3" s="47">
        <v>46198</v>
      </c>
    </row>
    <row r="4" spans="2:9" ht="15.75">
      <c r="B4" s="48" t="s">
        <v>8</v>
      </c>
      <c r="C4" s="127"/>
      <c r="D4" s="128"/>
      <c r="E4" s="116" t="s">
        <v>9</v>
      </c>
      <c r="F4" s="129"/>
      <c r="G4" s="129"/>
      <c r="H4" s="1" t="s">
        <v>97</v>
      </c>
      <c r="I4" s="2"/>
    </row>
    <row r="5" spans="2:9">
      <c r="B5" s="49"/>
      <c r="C5" s="50"/>
      <c r="D5" s="50"/>
      <c r="E5" s="50"/>
      <c r="F5" s="50"/>
      <c r="G5" s="50"/>
      <c r="H5" s="50"/>
      <c r="I5" s="50"/>
    </row>
    <row r="6" spans="2:9" ht="18.75">
      <c r="B6" s="116" t="s">
        <v>10</v>
      </c>
      <c r="C6" s="117"/>
      <c r="D6" s="118" t="s">
        <v>213</v>
      </c>
      <c r="E6" s="119"/>
      <c r="F6" s="119"/>
      <c r="G6" s="119"/>
      <c r="H6" s="119"/>
      <c r="I6" s="120"/>
    </row>
    <row r="7" spans="2:9" ht="18.75">
      <c r="B7" s="121" t="s">
        <v>11</v>
      </c>
      <c r="C7" s="122"/>
      <c r="D7" s="118" t="s">
        <v>191</v>
      </c>
      <c r="E7" s="119"/>
      <c r="F7" s="119"/>
      <c r="G7" s="119"/>
      <c r="H7" s="119"/>
      <c r="I7" s="120"/>
    </row>
    <row r="9" spans="2:9" ht="15.75" thickBot="1">
      <c r="D9" s="61" t="s">
        <v>23</v>
      </c>
      <c r="E9" s="123" t="s">
        <v>53</v>
      </c>
      <c r="F9" s="123"/>
      <c r="G9" s="62" t="s">
        <v>22</v>
      </c>
      <c r="H9" s="63" t="s">
        <v>54</v>
      </c>
      <c r="I9" s="60" t="s">
        <v>55</v>
      </c>
    </row>
    <row r="10" spans="2:9">
      <c r="B10" s="5"/>
      <c r="C10" s="6"/>
      <c r="D10" s="19" t="s">
        <v>12</v>
      </c>
      <c r="E10" s="115">
        <v>810110</v>
      </c>
      <c r="F10" s="115"/>
      <c r="G10" s="67">
        <v>10</v>
      </c>
      <c r="H10" s="65">
        <v>7324020</v>
      </c>
      <c r="I10" s="7">
        <f>I25</f>
        <v>6000</v>
      </c>
    </row>
    <row r="11" spans="2:9">
      <c r="B11" s="8"/>
      <c r="C11" s="9"/>
      <c r="D11" s="20" t="s">
        <v>13</v>
      </c>
      <c r="E11" s="113">
        <v>810110</v>
      </c>
      <c r="F11" s="113"/>
      <c r="G11" s="68">
        <v>10</v>
      </c>
      <c r="H11" s="66">
        <v>7324020</v>
      </c>
      <c r="I11" s="10">
        <f>I34</f>
        <v>21000</v>
      </c>
    </row>
    <row r="12" spans="2:9">
      <c r="B12" s="8"/>
      <c r="C12" s="9"/>
      <c r="D12" s="20" t="s">
        <v>42</v>
      </c>
      <c r="E12" s="113">
        <v>810110</v>
      </c>
      <c r="F12" s="113"/>
      <c r="G12" s="68">
        <v>10</v>
      </c>
      <c r="H12" s="66">
        <v>7324020</v>
      </c>
      <c r="I12" s="10">
        <f>I38</f>
        <v>76975</v>
      </c>
    </row>
    <row r="13" spans="2:9">
      <c r="B13" s="8"/>
      <c r="C13" s="9"/>
      <c r="D13" s="20" t="s">
        <v>14</v>
      </c>
      <c r="E13" s="113">
        <v>810110</v>
      </c>
      <c r="F13" s="113"/>
      <c r="G13" s="68">
        <v>10</v>
      </c>
      <c r="H13" s="66">
        <v>7324020</v>
      </c>
      <c r="I13" s="10">
        <f>I54</f>
        <v>153230.15</v>
      </c>
    </row>
    <row r="14" spans="2:9">
      <c r="B14" s="8"/>
      <c r="C14" s="9"/>
      <c r="D14" s="20" t="s">
        <v>15</v>
      </c>
      <c r="E14" s="113">
        <v>810110</v>
      </c>
      <c r="F14" s="113"/>
      <c r="G14" s="68">
        <v>10</v>
      </c>
      <c r="H14" s="66">
        <v>7324020</v>
      </c>
      <c r="I14" s="10">
        <f>I66</f>
        <v>121920</v>
      </c>
    </row>
    <row r="15" spans="2:9">
      <c r="B15" s="8"/>
      <c r="C15" s="9"/>
      <c r="D15" s="20" t="s">
        <v>16</v>
      </c>
      <c r="E15" s="113">
        <v>810110</v>
      </c>
      <c r="F15" s="113"/>
      <c r="G15" s="68">
        <v>10</v>
      </c>
      <c r="H15" s="66">
        <v>7324020</v>
      </c>
      <c r="I15" s="10">
        <f>I81</f>
        <v>21900</v>
      </c>
    </row>
    <row r="16" spans="2:9">
      <c r="B16" s="8"/>
      <c r="C16" s="9"/>
      <c r="D16" s="20" t="s">
        <v>17</v>
      </c>
      <c r="E16" s="113">
        <v>810110</v>
      </c>
      <c r="F16" s="113"/>
      <c r="G16" s="68">
        <v>10</v>
      </c>
      <c r="H16" s="66">
        <v>7324020</v>
      </c>
      <c r="I16" s="10">
        <f>I91</f>
        <v>18500</v>
      </c>
    </row>
    <row r="17" spans="2:9">
      <c r="B17" s="8"/>
      <c r="C17" s="9"/>
      <c r="D17" s="20" t="s">
        <v>18</v>
      </c>
      <c r="E17" s="113">
        <v>810110</v>
      </c>
      <c r="F17" s="113"/>
      <c r="G17" s="68">
        <v>10</v>
      </c>
      <c r="H17" s="66">
        <v>7324020</v>
      </c>
      <c r="I17" s="10">
        <f>I96</f>
        <v>23894.85</v>
      </c>
    </row>
    <row r="18" spans="2:9" ht="15.75" thickBot="1">
      <c r="B18" s="8"/>
      <c r="C18" s="9"/>
      <c r="D18" s="20" t="s">
        <v>19</v>
      </c>
      <c r="E18" s="113">
        <v>810110</v>
      </c>
      <c r="F18" s="113"/>
      <c r="G18" s="68">
        <v>10</v>
      </c>
      <c r="H18" s="66">
        <v>7324020</v>
      </c>
      <c r="I18" s="10">
        <f>I104</f>
        <v>16580</v>
      </c>
    </row>
    <row r="19" spans="2:9" ht="15.75" thickBot="1">
      <c r="B19" s="8"/>
      <c r="C19" s="9"/>
      <c r="D19" s="11" t="s">
        <v>20</v>
      </c>
      <c r="E19" s="114"/>
      <c r="F19" s="114"/>
      <c r="G19" s="12"/>
      <c r="H19" s="64"/>
      <c r="I19" s="21">
        <f>SUM(I10:I18)</f>
        <v>460000</v>
      </c>
    </row>
    <row r="20" spans="2:9">
      <c r="B20" s="13"/>
      <c r="C20" s="14"/>
      <c r="D20" s="15"/>
      <c r="E20" s="16"/>
      <c r="F20" s="16"/>
      <c r="G20" s="17"/>
      <c r="H20" s="17"/>
      <c r="I20" s="18"/>
    </row>
    <row r="21" spans="2:9">
      <c r="B21" s="22" t="s">
        <v>21</v>
      </c>
      <c r="C21" s="108" t="s">
        <v>22</v>
      </c>
      <c r="D21" s="108" t="s">
        <v>23</v>
      </c>
      <c r="E21" s="23"/>
      <c r="F21" s="40"/>
      <c r="G21" s="110" t="s">
        <v>24</v>
      </c>
      <c r="H21" s="111"/>
      <c r="I21" s="24"/>
    </row>
    <row r="22" spans="2:9">
      <c r="B22" s="25" t="s">
        <v>25</v>
      </c>
      <c r="C22" s="109"/>
      <c r="D22" s="109"/>
      <c r="E22" s="26" t="s">
        <v>26</v>
      </c>
      <c r="F22" s="27" t="s">
        <v>27</v>
      </c>
      <c r="G22" s="28" t="s">
        <v>28</v>
      </c>
      <c r="H22" s="29" t="s">
        <v>29</v>
      </c>
      <c r="I22" s="24" t="s">
        <v>20</v>
      </c>
    </row>
    <row r="23" spans="2:9">
      <c r="B23" s="3"/>
      <c r="C23" s="4"/>
      <c r="D23" s="4"/>
      <c r="E23" s="4"/>
      <c r="F23" s="4"/>
      <c r="G23" s="4"/>
      <c r="H23" s="4"/>
      <c r="I23" s="30"/>
    </row>
    <row r="24" spans="2:9">
      <c r="B24" s="112" t="s">
        <v>30</v>
      </c>
      <c r="C24" s="112"/>
      <c r="D24" s="112"/>
      <c r="E24" s="112"/>
      <c r="F24" s="112"/>
      <c r="G24" s="112"/>
      <c r="H24" s="112"/>
      <c r="I24" s="112"/>
    </row>
    <row r="25" spans="2:9">
      <c r="B25" s="31">
        <v>810110</v>
      </c>
      <c r="C25" s="31" t="s">
        <v>31</v>
      </c>
      <c r="D25" s="32" t="s">
        <v>32</v>
      </c>
      <c r="E25" s="33"/>
      <c r="F25" s="31"/>
      <c r="G25" s="34"/>
      <c r="H25" s="34"/>
      <c r="I25" s="35">
        <f>SUM(I26:I33)</f>
        <v>6000</v>
      </c>
    </row>
    <row r="26" spans="2:9" ht="25.5">
      <c r="B26" s="36"/>
      <c r="C26" s="36" t="s">
        <v>33</v>
      </c>
      <c r="D26" s="53" t="s">
        <v>101</v>
      </c>
      <c r="E26" s="51" t="s">
        <v>34</v>
      </c>
      <c r="F26" s="92">
        <v>1</v>
      </c>
      <c r="G26" s="56"/>
      <c r="H26" s="56">
        <v>850</v>
      </c>
      <c r="I26" s="55">
        <f t="shared" ref="I26:I33" si="0">(G26+H26)*F26</f>
        <v>850</v>
      </c>
    </row>
    <row r="27" spans="2:9" ht="25.5">
      <c r="B27" s="36"/>
      <c r="C27" s="36" t="s">
        <v>35</v>
      </c>
      <c r="D27" s="53" t="s">
        <v>102</v>
      </c>
      <c r="E27" s="51" t="s">
        <v>34</v>
      </c>
      <c r="F27" s="92">
        <v>1</v>
      </c>
      <c r="G27" s="56"/>
      <c r="H27" s="56">
        <v>850</v>
      </c>
      <c r="I27" s="55">
        <f t="shared" si="0"/>
        <v>850</v>
      </c>
    </row>
    <row r="28" spans="2:9" ht="25.5">
      <c r="B28" s="36"/>
      <c r="C28" s="36" t="s">
        <v>36</v>
      </c>
      <c r="D28" s="53" t="s">
        <v>103</v>
      </c>
      <c r="E28" s="51" t="s">
        <v>34</v>
      </c>
      <c r="F28" s="92">
        <v>1</v>
      </c>
      <c r="G28" s="56"/>
      <c r="H28" s="56">
        <v>850</v>
      </c>
      <c r="I28" s="55">
        <f t="shared" si="0"/>
        <v>850</v>
      </c>
    </row>
    <row r="29" spans="2:9" ht="38.25">
      <c r="B29" s="36"/>
      <c r="C29" s="36" t="s">
        <v>104</v>
      </c>
      <c r="D29" s="53" t="s">
        <v>105</v>
      </c>
      <c r="E29" s="51" t="s">
        <v>34</v>
      </c>
      <c r="F29" s="92">
        <v>1</v>
      </c>
      <c r="G29" s="56"/>
      <c r="H29" s="56">
        <v>850</v>
      </c>
      <c r="I29" s="55">
        <f t="shared" si="0"/>
        <v>850</v>
      </c>
    </row>
    <row r="30" spans="2:9" ht="38.25">
      <c r="B30" s="36"/>
      <c r="C30" s="36" t="s">
        <v>37</v>
      </c>
      <c r="D30" s="53" t="s">
        <v>106</v>
      </c>
      <c r="E30" s="51" t="s">
        <v>34</v>
      </c>
      <c r="F30" s="92">
        <v>1</v>
      </c>
      <c r="G30" s="56"/>
      <c r="H30" s="56">
        <v>850</v>
      </c>
      <c r="I30" s="55">
        <f t="shared" si="0"/>
        <v>850</v>
      </c>
    </row>
    <row r="31" spans="2:9" ht="38.25">
      <c r="B31" s="36"/>
      <c r="C31" s="36" t="s">
        <v>95</v>
      </c>
      <c r="D31" s="53" t="s">
        <v>109</v>
      </c>
      <c r="E31" s="51" t="s">
        <v>34</v>
      </c>
      <c r="F31" s="92">
        <v>1</v>
      </c>
      <c r="G31" s="56"/>
      <c r="H31" s="56">
        <v>850</v>
      </c>
      <c r="I31" s="55">
        <f t="shared" si="0"/>
        <v>850</v>
      </c>
    </row>
    <row r="32" spans="2:9" ht="25.5">
      <c r="B32" s="36"/>
      <c r="C32" s="72" t="s">
        <v>108</v>
      </c>
      <c r="D32" s="53" t="s">
        <v>107</v>
      </c>
      <c r="E32" s="51" t="s">
        <v>81</v>
      </c>
      <c r="F32" s="92">
        <v>9</v>
      </c>
      <c r="G32" s="56"/>
      <c r="H32" s="56">
        <v>100</v>
      </c>
      <c r="I32" s="55">
        <f t="shared" si="0"/>
        <v>900</v>
      </c>
    </row>
    <row r="33" spans="2:9">
      <c r="B33" s="36"/>
      <c r="C33" s="72"/>
      <c r="D33" s="53"/>
      <c r="E33" s="72"/>
      <c r="F33" s="72"/>
      <c r="G33" s="56"/>
      <c r="H33" s="56"/>
      <c r="I33" s="55">
        <f t="shared" si="0"/>
        <v>0</v>
      </c>
    </row>
    <row r="34" spans="2:9">
      <c r="B34" s="31">
        <v>810110</v>
      </c>
      <c r="C34" s="31" t="s">
        <v>38</v>
      </c>
      <c r="D34" s="32" t="s">
        <v>39</v>
      </c>
      <c r="E34" s="33"/>
      <c r="F34" s="31"/>
      <c r="G34" s="37"/>
      <c r="H34" s="37"/>
      <c r="I34" s="39">
        <f>SUM(I35:I37)</f>
        <v>21000</v>
      </c>
    </row>
    <row r="35" spans="2:9" ht="25.5">
      <c r="B35" s="36"/>
      <c r="C35" s="36" t="s">
        <v>40</v>
      </c>
      <c r="D35" s="53" t="s">
        <v>111</v>
      </c>
      <c r="E35" s="51" t="s">
        <v>34</v>
      </c>
      <c r="F35" s="92">
        <v>1</v>
      </c>
      <c r="G35" s="106">
        <v>7900</v>
      </c>
      <c r="H35" s="106">
        <v>250</v>
      </c>
      <c r="I35" s="55">
        <f>(G35+H35)*F35</f>
        <v>8150</v>
      </c>
    </row>
    <row r="36" spans="2:9" ht="25.5">
      <c r="B36" s="36"/>
      <c r="C36" s="36" t="s">
        <v>112</v>
      </c>
      <c r="D36" s="57" t="s">
        <v>110</v>
      </c>
      <c r="E36" s="51" t="s">
        <v>34</v>
      </c>
      <c r="F36" s="92">
        <v>2</v>
      </c>
      <c r="G36" s="106">
        <v>4200</v>
      </c>
      <c r="H36" s="106">
        <v>250</v>
      </c>
      <c r="I36" s="55">
        <f>(G36+H36)*F36</f>
        <v>8900</v>
      </c>
    </row>
    <row r="37" spans="2:9" ht="25.5">
      <c r="B37" s="36"/>
      <c r="C37" s="36" t="s">
        <v>113</v>
      </c>
      <c r="D37" s="57" t="s">
        <v>114</v>
      </c>
      <c r="E37" s="51" t="s">
        <v>34</v>
      </c>
      <c r="F37" s="92">
        <v>1</v>
      </c>
      <c r="G37" s="96">
        <v>3700</v>
      </c>
      <c r="H37" s="96">
        <v>250</v>
      </c>
      <c r="I37" s="55">
        <f>(G37+H37)*F37</f>
        <v>3950</v>
      </c>
    </row>
    <row r="38" spans="2:9">
      <c r="B38" s="31">
        <v>810110</v>
      </c>
      <c r="C38" s="31" t="s">
        <v>41</v>
      </c>
      <c r="D38" s="32" t="s">
        <v>42</v>
      </c>
      <c r="E38" s="52"/>
      <c r="F38" s="31"/>
      <c r="G38" s="38"/>
      <c r="H38" s="38"/>
      <c r="I38" s="39">
        <f>SUM(I39:I53)</f>
        <v>76975</v>
      </c>
    </row>
    <row r="39" spans="2:9" ht="25.5">
      <c r="B39" s="36"/>
      <c r="C39" s="36" t="s">
        <v>43</v>
      </c>
      <c r="D39" s="57" t="s">
        <v>115</v>
      </c>
      <c r="E39" s="51" t="s">
        <v>34</v>
      </c>
      <c r="F39" s="59">
        <v>26</v>
      </c>
      <c r="G39" s="96">
        <v>945</v>
      </c>
      <c r="H39" s="56">
        <v>40</v>
      </c>
      <c r="I39" s="55">
        <f t="shared" ref="I39:I53" si="1">(G39+H39)*F39</f>
        <v>25610</v>
      </c>
    </row>
    <row r="40" spans="2:9" ht="25.5">
      <c r="B40" s="36"/>
      <c r="C40" s="36" t="s">
        <v>44</v>
      </c>
      <c r="D40" s="57" t="s">
        <v>116</v>
      </c>
      <c r="E40" s="51" t="s">
        <v>34</v>
      </c>
      <c r="F40" s="59">
        <v>24</v>
      </c>
      <c r="G40" s="96">
        <v>930</v>
      </c>
      <c r="H40" s="56">
        <v>40</v>
      </c>
      <c r="I40" s="55">
        <f t="shared" si="1"/>
        <v>23280</v>
      </c>
    </row>
    <row r="41" spans="2:9" ht="25.5">
      <c r="B41" s="36"/>
      <c r="C41" s="36" t="s">
        <v>45</v>
      </c>
      <c r="D41" s="57" t="s">
        <v>117</v>
      </c>
      <c r="E41" s="51" t="s">
        <v>34</v>
      </c>
      <c r="F41" s="59">
        <v>3</v>
      </c>
      <c r="G41" s="96">
        <v>800</v>
      </c>
      <c r="H41" s="96">
        <v>40</v>
      </c>
      <c r="I41" s="55">
        <f t="shared" si="1"/>
        <v>2520</v>
      </c>
    </row>
    <row r="42" spans="2:9" ht="25.5">
      <c r="B42" s="36"/>
      <c r="C42" s="36" t="s">
        <v>46</v>
      </c>
      <c r="D42" s="57" t="s">
        <v>118</v>
      </c>
      <c r="E42" s="51" t="s">
        <v>34</v>
      </c>
      <c r="F42" s="59">
        <v>7</v>
      </c>
      <c r="G42" s="96">
        <v>725</v>
      </c>
      <c r="H42" s="96">
        <v>40</v>
      </c>
      <c r="I42" s="55">
        <f t="shared" si="1"/>
        <v>5355</v>
      </c>
    </row>
    <row r="43" spans="2:9" ht="25.5">
      <c r="B43" s="36"/>
      <c r="C43" s="36" t="s">
        <v>47</v>
      </c>
      <c r="D43" s="57" t="s">
        <v>119</v>
      </c>
      <c r="E43" s="51" t="s">
        <v>34</v>
      </c>
      <c r="F43" s="59">
        <v>12</v>
      </c>
      <c r="G43" s="96">
        <v>510</v>
      </c>
      <c r="H43" s="96">
        <v>40</v>
      </c>
      <c r="I43" s="55">
        <f t="shared" si="1"/>
        <v>6600</v>
      </c>
    </row>
    <row r="44" spans="2:9" ht="25.5">
      <c r="B44" s="36"/>
      <c r="C44" s="36" t="s">
        <v>48</v>
      </c>
      <c r="D44" s="57" t="s">
        <v>120</v>
      </c>
      <c r="E44" s="51" t="s">
        <v>34</v>
      </c>
      <c r="F44" s="59">
        <v>1</v>
      </c>
      <c r="G44" s="96">
        <v>1240</v>
      </c>
      <c r="H44" s="96">
        <v>40</v>
      </c>
      <c r="I44" s="55">
        <f t="shared" si="1"/>
        <v>1280</v>
      </c>
    </row>
    <row r="45" spans="2:9" ht="25.5">
      <c r="B45" s="36"/>
      <c r="C45" s="36" t="s">
        <v>49</v>
      </c>
      <c r="D45" s="57" t="s">
        <v>121</v>
      </c>
      <c r="E45" s="51" t="s">
        <v>34</v>
      </c>
      <c r="F45" s="59">
        <v>6</v>
      </c>
      <c r="G45" s="96">
        <v>850</v>
      </c>
      <c r="H45" s="96">
        <v>40</v>
      </c>
      <c r="I45" s="55">
        <f t="shared" si="1"/>
        <v>5340</v>
      </c>
    </row>
    <row r="46" spans="2:9" ht="25.5">
      <c r="B46" s="36"/>
      <c r="C46" s="36" t="s">
        <v>50</v>
      </c>
      <c r="D46" s="57" t="s">
        <v>122</v>
      </c>
      <c r="E46" s="51" t="s">
        <v>34</v>
      </c>
      <c r="F46" s="59">
        <v>1</v>
      </c>
      <c r="G46" s="96">
        <v>800</v>
      </c>
      <c r="H46" s="96">
        <v>40</v>
      </c>
      <c r="I46" s="55">
        <f t="shared" si="1"/>
        <v>840</v>
      </c>
    </row>
    <row r="47" spans="2:9" ht="25.5">
      <c r="B47" s="36"/>
      <c r="C47" s="36" t="s">
        <v>51</v>
      </c>
      <c r="D47" s="57" t="s">
        <v>123</v>
      </c>
      <c r="E47" s="51" t="s">
        <v>34</v>
      </c>
      <c r="F47" s="59">
        <v>1</v>
      </c>
      <c r="G47" s="96">
        <v>250</v>
      </c>
      <c r="H47" s="96">
        <v>40</v>
      </c>
      <c r="I47" s="55">
        <f t="shared" si="1"/>
        <v>290</v>
      </c>
    </row>
    <row r="48" spans="2:9">
      <c r="B48" s="36"/>
      <c r="C48" s="36" t="s">
        <v>129</v>
      </c>
      <c r="D48" s="57" t="s">
        <v>124</v>
      </c>
      <c r="E48" s="51" t="s">
        <v>34</v>
      </c>
      <c r="F48" s="59">
        <v>2</v>
      </c>
      <c r="G48" s="96">
        <v>500</v>
      </c>
      <c r="H48" s="96">
        <v>40</v>
      </c>
      <c r="I48" s="55">
        <f t="shared" si="1"/>
        <v>1080</v>
      </c>
    </row>
    <row r="49" spans="2:10" ht="25.5">
      <c r="B49" s="36"/>
      <c r="C49" s="36" t="s">
        <v>130</v>
      </c>
      <c r="D49" s="53" t="s">
        <v>125</v>
      </c>
      <c r="E49" s="51" t="s">
        <v>34</v>
      </c>
      <c r="F49" s="59">
        <v>1</v>
      </c>
      <c r="G49" s="96">
        <v>800</v>
      </c>
      <c r="H49" s="96">
        <v>40</v>
      </c>
      <c r="I49" s="55">
        <f t="shared" si="1"/>
        <v>840</v>
      </c>
    </row>
    <row r="50" spans="2:10" ht="25.5">
      <c r="B50" s="36"/>
      <c r="C50" s="36" t="s">
        <v>131</v>
      </c>
      <c r="D50" s="53" t="s">
        <v>126</v>
      </c>
      <c r="E50" s="51" t="s">
        <v>34</v>
      </c>
      <c r="F50" s="59">
        <v>1</v>
      </c>
      <c r="G50" s="96">
        <v>350</v>
      </c>
      <c r="H50" s="96">
        <v>40</v>
      </c>
      <c r="I50" s="55">
        <f t="shared" si="1"/>
        <v>390</v>
      </c>
    </row>
    <row r="51" spans="2:10" ht="25.5">
      <c r="B51" s="36"/>
      <c r="C51" s="36" t="s">
        <v>132</v>
      </c>
      <c r="D51" s="53" t="s">
        <v>127</v>
      </c>
      <c r="E51" s="51" t="s">
        <v>34</v>
      </c>
      <c r="F51" s="59">
        <v>1</v>
      </c>
      <c r="G51" s="96">
        <v>1870</v>
      </c>
      <c r="H51" s="96">
        <v>40</v>
      </c>
      <c r="I51" s="55">
        <f t="shared" si="1"/>
        <v>1910</v>
      </c>
    </row>
    <row r="52" spans="2:10" ht="25.5">
      <c r="B52" s="36"/>
      <c r="C52" s="36" t="s">
        <v>133</v>
      </c>
      <c r="D52" s="53" t="s">
        <v>128</v>
      </c>
      <c r="E52" s="51" t="s">
        <v>34</v>
      </c>
      <c r="F52" s="59">
        <v>1</v>
      </c>
      <c r="G52" s="96">
        <v>1600</v>
      </c>
      <c r="H52" s="96">
        <v>40</v>
      </c>
      <c r="I52" s="55">
        <f t="shared" si="1"/>
        <v>1640</v>
      </c>
    </row>
    <row r="53" spans="2:10">
      <c r="B53" s="36"/>
      <c r="C53" s="36"/>
      <c r="D53" s="57"/>
      <c r="E53" s="51"/>
      <c r="F53" s="59"/>
      <c r="G53" s="56"/>
      <c r="H53" s="56"/>
      <c r="I53" s="55">
        <f t="shared" si="1"/>
        <v>0</v>
      </c>
      <c r="J53" s="58"/>
    </row>
    <row r="54" spans="2:10">
      <c r="B54" s="69">
        <v>810110</v>
      </c>
      <c r="C54" s="69" t="s">
        <v>56</v>
      </c>
      <c r="D54" s="70" t="s">
        <v>57</v>
      </c>
      <c r="E54" s="69"/>
      <c r="F54" s="69"/>
      <c r="G54" s="71"/>
      <c r="H54" s="71"/>
      <c r="I54" s="39">
        <f>SUM(I55:I65)</f>
        <v>153230.15</v>
      </c>
      <c r="J54" s="58"/>
    </row>
    <row r="55" spans="2:10">
      <c r="B55" s="72"/>
      <c r="C55" s="72" t="s">
        <v>58</v>
      </c>
      <c r="D55" s="79" t="s">
        <v>134</v>
      </c>
      <c r="E55" s="72" t="s">
        <v>59</v>
      </c>
      <c r="F55" s="81">
        <v>1800</v>
      </c>
      <c r="G55" s="96">
        <v>21</v>
      </c>
      <c r="H55" s="56">
        <v>18.149999999999999</v>
      </c>
      <c r="I55" s="55">
        <f t="shared" ref="I55:I65" si="2">(G55+H55)*F55</f>
        <v>70470</v>
      </c>
      <c r="J55" s="58"/>
    </row>
    <row r="56" spans="2:10">
      <c r="B56" s="72"/>
      <c r="C56" s="72" t="s">
        <v>60</v>
      </c>
      <c r="D56" s="79" t="s">
        <v>135</v>
      </c>
      <c r="E56" s="72" t="s">
        <v>59</v>
      </c>
      <c r="F56" s="81">
        <v>35</v>
      </c>
      <c r="G56" s="56">
        <v>22</v>
      </c>
      <c r="H56" s="56">
        <v>18.149999999999999</v>
      </c>
      <c r="I56" s="55">
        <f t="shared" si="2"/>
        <v>1405.25</v>
      </c>
      <c r="J56" s="58"/>
    </row>
    <row r="57" spans="2:10">
      <c r="B57" s="72"/>
      <c r="C57" s="72" t="s">
        <v>61</v>
      </c>
      <c r="D57" s="79" t="s">
        <v>136</v>
      </c>
      <c r="E57" s="72" t="s">
        <v>59</v>
      </c>
      <c r="F57" s="81">
        <v>86</v>
      </c>
      <c r="G57" s="56">
        <v>22</v>
      </c>
      <c r="H57" s="56">
        <v>18.149999999999999</v>
      </c>
      <c r="I57" s="55">
        <f t="shared" si="2"/>
        <v>3452.9</v>
      </c>
      <c r="J57" s="58"/>
    </row>
    <row r="58" spans="2:10">
      <c r="B58" s="72"/>
      <c r="C58" s="72" t="s">
        <v>62</v>
      </c>
      <c r="D58" s="79" t="s">
        <v>137</v>
      </c>
      <c r="E58" s="72" t="s">
        <v>59</v>
      </c>
      <c r="F58" s="81">
        <v>1400</v>
      </c>
      <c r="G58" s="96">
        <v>20</v>
      </c>
      <c r="H58" s="56">
        <v>18.149999999999999</v>
      </c>
      <c r="I58" s="55">
        <f t="shared" si="2"/>
        <v>53410</v>
      </c>
      <c r="J58" s="58"/>
    </row>
    <row r="59" spans="2:10">
      <c r="B59" s="72"/>
      <c r="C59" s="72" t="s">
        <v>63</v>
      </c>
      <c r="D59" s="79" t="s">
        <v>138</v>
      </c>
      <c r="E59" s="72" t="s">
        <v>65</v>
      </c>
      <c r="F59" s="81">
        <v>80</v>
      </c>
      <c r="G59" s="96">
        <v>60</v>
      </c>
      <c r="H59" s="56">
        <v>12.5</v>
      </c>
      <c r="I59" s="55">
        <f t="shared" si="2"/>
        <v>5800</v>
      </c>
      <c r="J59" s="58"/>
    </row>
    <row r="60" spans="2:10">
      <c r="B60" s="72"/>
      <c r="C60" s="72" t="s">
        <v>64</v>
      </c>
      <c r="D60" s="79" t="s">
        <v>139</v>
      </c>
      <c r="E60" s="72" t="s">
        <v>65</v>
      </c>
      <c r="F60" s="81">
        <v>50</v>
      </c>
      <c r="G60" s="96">
        <v>62</v>
      </c>
      <c r="H60" s="56">
        <v>12.5</v>
      </c>
      <c r="I60" s="55">
        <f t="shared" si="2"/>
        <v>3725</v>
      </c>
      <c r="J60" s="58"/>
    </row>
    <row r="61" spans="2:10">
      <c r="B61" s="72"/>
      <c r="C61" s="72" t="s">
        <v>66</v>
      </c>
      <c r="D61" s="79" t="s">
        <v>140</v>
      </c>
      <c r="E61" s="72" t="s">
        <v>65</v>
      </c>
      <c r="F61" s="81">
        <v>20</v>
      </c>
      <c r="G61" s="104">
        <v>79.599999999999994</v>
      </c>
      <c r="H61" s="56">
        <v>12.5</v>
      </c>
      <c r="I61" s="55">
        <f t="shared" si="2"/>
        <v>1842</v>
      </c>
      <c r="J61" s="58"/>
    </row>
    <row r="62" spans="2:10">
      <c r="B62" s="72"/>
      <c r="C62" s="72" t="s">
        <v>67</v>
      </c>
      <c r="D62" s="79" t="s">
        <v>141</v>
      </c>
      <c r="E62" s="72" t="s">
        <v>70</v>
      </c>
      <c r="F62" s="81">
        <v>150</v>
      </c>
      <c r="G62" s="96">
        <v>36</v>
      </c>
      <c r="H62" s="56">
        <v>12.5</v>
      </c>
      <c r="I62" s="55">
        <f t="shared" si="2"/>
        <v>7275</v>
      </c>
      <c r="J62" s="58"/>
    </row>
    <row r="63" spans="2:10">
      <c r="B63" s="72"/>
      <c r="C63" s="72" t="s">
        <v>68</v>
      </c>
      <c r="D63" s="79" t="s">
        <v>144</v>
      </c>
      <c r="E63" s="80" t="s">
        <v>81</v>
      </c>
      <c r="F63" s="81">
        <v>1</v>
      </c>
      <c r="G63" s="96">
        <v>4900</v>
      </c>
      <c r="H63" s="56">
        <v>950</v>
      </c>
      <c r="I63" s="55">
        <f t="shared" si="2"/>
        <v>5850</v>
      </c>
      <c r="J63" s="58"/>
    </row>
    <row r="64" spans="2:10">
      <c r="B64" s="72"/>
      <c r="C64" s="72" t="s">
        <v>69</v>
      </c>
      <c r="D64" s="79" t="s">
        <v>142</v>
      </c>
      <c r="E64" s="51" t="s">
        <v>81</v>
      </c>
      <c r="F64" s="92">
        <v>1</v>
      </c>
      <c r="G64" s="56"/>
      <c r="H64" s="96"/>
      <c r="I64" s="55">
        <f t="shared" si="2"/>
        <v>0</v>
      </c>
      <c r="J64" s="58"/>
    </row>
    <row r="65" spans="2:9">
      <c r="B65" s="72"/>
      <c r="C65" s="72"/>
      <c r="D65" s="53"/>
      <c r="E65" s="72"/>
      <c r="F65" s="72"/>
      <c r="G65" s="56"/>
      <c r="H65" s="56"/>
      <c r="I65" s="55">
        <f t="shared" si="2"/>
        <v>0</v>
      </c>
    </row>
    <row r="66" spans="2:9">
      <c r="B66" s="69">
        <v>810110</v>
      </c>
      <c r="C66" s="69" t="s">
        <v>71</v>
      </c>
      <c r="D66" s="32" t="s">
        <v>143</v>
      </c>
      <c r="E66" s="69"/>
      <c r="F66" s="69"/>
      <c r="G66" s="71"/>
      <c r="H66" s="71"/>
      <c r="I66" s="39">
        <f>SUM(I67:I80)</f>
        <v>121920</v>
      </c>
    </row>
    <row r="67" spans="2:9" s="135" customFormat="1">
      <c r="B67" s="130"/>
      <c r="C67" s="130" t="s">
        <v>72</v>
      </c>
      <c r="D67" s="131" t="s">
        <v>184</v>
      </c>
      <c r="E67" s="132"/>
      <c r="F67" s="133"/>
      <c r="G67" s="96"/>
      <c r="H67" s="96"/>
      <c r="I67" s="134">
        <f t="shared" ref="I67:I79" si="3">(G67+H67)*F67</f>
        <v>0</v>
      </c>
    </row>
    <row r="68" spans="2:9" ht="38.25">
      <c r="B68" s="72"/>
      <c r="C68" s="72" t="s">
        <v>73</v>
      </c>
      <c r="D68" s="53" t="s">
        <v>145</v>
      </c>
      <c r="E68" s="72" t="s">
        <v>65</v>
      </c>
      <c r="F68" s="72">
        <v>100</v>
      </c>
      <c r="G68" s="96">
        <v>78</v>
      </c>
      <c r="H68" s="56">
        <v>35.26</v>
      </c>
      <c r="I68" s="55">
        <f t="shared" si="3"/>
        <v>11326</v>
      </c>
    </row>
    <row r="69" spans="2:9" ht="38.25">
      <c r="B69" s="72"/>
      <c r="C69" s="72" t="s">
        <v>74</v>
      </c>
      <c r="D69" s="53" t="s">
        <v>146</v>
      </c>
      <c r="E69" s="72" t="s">
        <v>65</v>
      </c>
      <c r="F69" s="72">
        <v>80</v>
      </c>
      <c r="G69" s="96">
        <v>98</v>
      </c>
      <c r="H69" s="56">
        <v>49</v>
      </c>
      <c r="I69" s="55">
        <f t="shared" si="3"/>
        <v>11760</v>
      </c>
    </row>
    <row r="70" spans="2:9" ht="38.25">
      <c r="B70" s="72"/>
      <c r="C70" s="72" t="s">
        <v>75</v>
      </c>
      <c r="D70" s="53" t="s">
        <v>147</v>
      </c>
      <c r="E70" s="72" t="s">
        <v>65</v>
      </c>
      <c r="F70" s="72">
        <v>100</v>
      </c>
      <c r="G70" s="96">
        <v>135</v>
      </c>
      <c r="H70" s="56">
        <v>60</v>
      </c>
      <c r="I70" s="55">
        <f t="shared" si="3"/>
        <v>19500</v>
      </c>
    </row>
    <row r="71" spans="2:9" ht="38.25">
      <c r="B71" s="72"/>
      <c r="C71" s="72" t="s">
        <v>76</v>
      </c>
      <c r="D71" s="53" t="s">
        <v>148</v>
      </c>
      <c r="E71" s="72" t="s">
        <v>65</v>
      </c>
      <c r="F71" s="72">
        <v>80</v>
      </c>
      <c r="G71" s="96">
        <v>185</v>
      </c>
      <c r="H71" s="56">
        <v>70</v>
      </c>
      <c r="I71" s="55">
        <f t="shared" si="3"/>
        <v>20400</v>
      </c>
    </row>
    <row r="72" spans="2:9">
      <c r="B72" s="72"/>
      <c r="C72" s="72" t="s">
        <v>77</v>
      </c>
      <c r="D72" s="93" t="s">
        <v>149</v>
      </c>
      <c r="E72" s="94" t="s">
        <v>81</v>
      </c>
      <c r="F72" s="81">
        <v>1</v>
      </c>
      <c r="G72" s="96">
        <v>15000</v>
      </c>
      <c r="H72" s="56">
        <v>5500</v>
      </c>
      <c r="I72" s="55">
        <f t="shared" si="3"/>
        <v>20500</v>
      </c>
    </row>
    <row r="73" spans="2:9">
      <c r="B73" s="72"/>
      <c r="C73" s="72" t="s">
        <v>78</v>
      </c>
      <c r="D73" s="79" t="s">
        <v>150</v>
      </c>
      <c r="E73" s="94" t="s">
        <v>34</v>
      </c>
      <c r="F73" s="81">
        <v>12</v>
      </c>
      <c r="G73" s="96">
        <v>900</v>
      </c>
      <c r="H73" s="56">
        <v>450</v>
      </c>
      <c r="I73" s="55">
        <f t="shared" si="3"/>
        <v>16200</v>
      </c>
    </row>
    <row r="74" spans="2:9">
      <c r="B74" s="72"/>
      <c r="C74" s="72" t="s">
        <v>96</v>
      </c>
      <c r="D74" s="79" t="s">
        <v>151</v>
      </c>
      <c r="E74" s="80" t="s">
        <v>81</v>
      </c>
      <c r="F74" s="81">
        <v>1</v>
      </c>
      <c r="G74" s="96">
        <v>9000</v>
      </c>
      <c r="H74" s="56">
        <v>2700</v>
      </c>
      <c r="I74" s="55">
        <f t="shared" si="3"/>
        <v>11700</v>
      </c>
    </row>
    <row r="75" spans="2:9">
      <c r="B75" s="72"/>
      <c r="C75" s="72" t="s">
        <v>179</v>
      </c>
      <c r="D75" s="79" t="s">
        <v>152</v>
      </c>
      <c r="E75" s="80" t="s">
        <v>81</v>
      </c>
      <c r="F75" s="81">
        <v>1</v>
      </c>
      <c r="G75" s="96">
        <v>3000</v>
      </c>
      <c r="H75" s="56">
        <v>900</v>
      </c>
      <c r="I75" s="55">
        <f t="shared" si="3"/>
        <v>3900</v>
      </c>
    </row>
    <row r="76" spans="2:9">
      <c r="B76" s="72"/>
      <c r="C76" s="72" t="s">
        <v>180</v>
      </c>
      <c r="D76" s="79" t="s">
        <v>153</v>
      </c>
      <c r="E76" s="80" t="s">
        <v>81</v>
      </c>
      <c r="F76" s="81">
        <v>1</v>
      </c>
      <c r="G76" s="96">
        <v>3000</v>
      </c>
      <c r="H76" s="56">
        <v>800</v>
      </c>
      <c r="I76" s="55">
        <f t="shared" si="3"/>
        <v>3800</v>
      </c>
    </row>
    <row r="77" spans="2:9">
      <c r="B77" s="72"/>
      <c r="C77" s="72" t="s">
        <v>181</v>
      </c>
      <c r="D77" s="79" t="s">
        <v>154</v>
      </c>
      <c r="E77" s="80" t="s">
        <v>81</v>
      </c>
      <c r="F77" s="81">
        <v>1</v>
      </c>
      <c r="G77" s="56">
        <v>1280</v>
      </c>
      <c r="H77" s="56">
        <v>384</v>
      </c>
      <c r="I77" s="55">
        <f t="shared" si="3"/>
        <v>1664</v>
      </c>
    </row>
    <row r="78" spans="2:9">
      <c r="B78" s="72"/>
      <c r="C78" s="72" t="s">
        <v>182</v>
      </c>
      <c r="D78" s="79" t="s">
        <v>155</v>
      </c>
      <c r="E78" s="80" t="s">
        <v>81</v>
      </c>
      <c r="F78" s="81">
        <v>1</v>
      </c>
      <c r="G78" s="56">
        <v>900</v>
      </c>
      <c r="H78" s="56">
        <v>270</v>
      </c>
      <c r="I78" s="55">
        <f t="shared" si="3"/>
        <v>1170</v>
      </c>
    </row>
    <row r="79" spans="2:9">
      <c r="B79" s="72"/>
      <c r="C79" s="72" t="s">
        <v>183</v>
      </c>
      <c r="D79" s="79" t="s">
        <v>142</v>
      </c>
      <c r="E79" s="80" t="s">
        <v>81</v>
      </c>
      <c r="F79" s="81">
        <v>1</v>
      </c>
      <c r="G79" s="56"/>
      <c r="H79" s="96"/>
      <c r="I79" s="55">
        <f t="shared" si="3"/>
        <v>0</v>
      </c>
    </row>
    <row r="80" spans="2:9">
      <c r="B80" s="72"/>
      <c r="C80" s="72"/>
      <c r="E80" s="72"/>
      <c r="F80" s="72"/>
      <c r="G80" s="56"/>
      <c r="H80" s="56"/>
      <c r="I80" s="55"/>
    </row>
    <row r="81" spans="2:9">
      <c r="B81" s="31">
        <v>810110</v>
      </c>
      <c r="C81" s="31">
        <v>6</v>
      </c>
      <c r="D81" s="32" t="s">
        <v>16</v>
      </c>
      <c r="E81" s="33"/>
      <c r="F81" s="31"/>
      <c r="G81" s="38"/>
      <c r="H81" s="38"/>
      <c r="I81" s="39">
        <f>SUM(I82:I90)</f>
        <v>21900</v>
      </c>
    </row>
    <row r="82" spans="2:9">
      <c r="B82" s="36"/>
      <c r="C82" s="36" t="s">
        <v>156</v>
      </c>
      <c r="D82" s="53" t="s">
        <v>164</v>
      </c>
      <c r="E82" s="80" t="s">
        <v>81</v>
      </c>
      <c r="F82" s="81">
        <v>1</v>
      </c>
      <c r="G82" s="107">
        <v>2500</v>
      </c>
      <c r="H82" s="96">
        <v>900</v>
      </c>
      <c r="I82" s="102">
        <f t="shared" ref="I82:I90" si="4">(G82+H82)*F82</f>
        <v>3400</v>
      </c>
    </row>
    <row r="83" spans="2:9">
      <c r="B83" s="36"/>
      <c r="C83" s="36" t="s">
        <v>157</v>
      </c>
      <c r="D83" s="53" t="s">
        <v>165</v>
      </c>
      <c r="E83" s="80" t="s">
        <v>81</v>
      </c>
      <c r="F83" s="81">
        <v>1</v>
      </c>
      <c r="G83" s="107">
        <v>2500</v>
      </c>
      <c r="H83" s="96">
        <v>900</v>
      </c>
      <c r="I83" s="102">
        <f t="shared" si="4"/>
        <v>3400</v>
      </c>
    </row>
    <row r="84" spans="2:9">
      <c r="B84" s="36"/>
      <c r="C84" s="36" t="s">
        <v>158</v>
      </c>
      <c r="D84" s="53" t="s">
        <v>166</v>
      </c>
      <c r="E84" s="80" t="s">
        <v>81</v>
      </c>
      <c r="F84" s="81">
        <v>1</v>
      </c>
      <c r="G84" s="107">
        <v>2500</v>
      </c>
      <c r="H84" s="96">
        <v>900</v>
      </c>
      <c r="I84" s="102">
        <f t="shared" si="4"/>
        <v>3400</v>
      </c>
    </row>
    <row r="85" spans="2:9" ht="25.5">
      <c r="B85" s="36"/>
      <c r="C85" s="36" t="s">
        <v>159</v>
      </c>
      <c r="D85" s="53" t="s">
        <v>167</v>
      </c>
      <c r="E85" s="80" t="s">
        <v>81</v>
      </c>
      <c r="F85" s="81">
        <v>1</v>
      </c>
      <c r="G85" s="107">
        <v>2250</v>
      </c>
      <c r="H85" s="96">
        <v>900</v>
      </c>
      <c r="I85" s="102">
        <f t="shared" si="4"/>
        <v>3150</v>
      </c>
    </row>
    <row r="86" spans="2:9" ht="25.5">
      <c r="B86" s="36"/>
      <c r="C86" s="36" t="s">
        <v>160</v>
      </c>
      <c r="D86" s="53" t="s">
        <v>168</v>
      </c>
      <c r="E86" s="80" t="s">
        <v>81</v>
      </c>
      <c r="F86" s="81">
        <v>1</v>
      </c>
      <c r="G86" s="107">
        <v>2250</v>
      </c>
      <c r="H86" s="96">
        <v>900</v>
      </c>
      <c r="I86" s="102">
        <f t="shared" si="4"/>
        <v>3150</v>
      </c>
    </row>
    <row r="87" spans="2:9" ht="25.5">
      <c r="B87" s="36"/>
      <c r="C87" s="36" t="s">
        <v>161</v>
      </c>
      <c r="D87" s="53" t="s">
        <v>169</v>
      </c>
      <c r="E87" s="80" t="s">
        <v>81</v>
      </c>
      <c r="F87" s="81">
        <v>1</v>
      </c>
      <c r="G87" s="107">
        <v>2250</v>
      </c>
      <c r="H87" s="96">
        <v>900</v>
      </c>
      <c r="I87" s="102">
        <f t="shared" si="4"/>
        <v>3150</v>
      </c>
    </row>
    <row r="88" spans="2:9">
      <c r="B88" s="36"/>
      <c r="C88" s="36" t="s">
        <v>162</v>
      </c>
      <c r="D88" s="53" t="s">
        <v>170</v>
      </c>
      <c r="E88" s="80" t="s">
        <v>81</v>
      </c>
      <c r="F88" s="81">
        <v>1</v>
      </c>
      <c r="G88" s="107">
        <v>1650</v>
      </c>
      <c r="H88" s="96">
        <v>600</v>
      </c>
      <c r="I88" s="102">
        <f t="shared" si="4"/>
        <v>2250</v>
      </c>
    </row>
    <row r="89" spans="2:9">
      <c r="B89" s="36"/>
      <c r="C89" s="36" t="s">
        <v>163</v>
      </c>
      <c r="D89" s="95" t="s">
        <v>171</v>
      </c>
      <c r="E89" s="80" t="s">
        <v>81</v>
      </c>
      <c r="F89" s="81">
        <v>1</v>
      </c>
      <c r="G89" s="107"/>
      <c r="H89" s="96"/>
      <c r="I89" s="102">
        <f t="shared" si="4"/>
        <v>0</v>
      </c>
    </row>
    <row r="90" spans="2:9">
      <c r="B90" s="36"/>
      <c r="C90" s="103"/>
      <c r="D90" s="85"/>
      <c r="E90" s="86"/>
      <c r="F90" s="87"/>
      <c r="G90" s="84"/>
      <c r="H90" s="56"/>
      <c r="I90" s="102">
        <f t="shared" si="4"/>
        <v>0</v>
      </c>
    </row>
    <row r="91" spans="2:9">
      <c r="B91" s="31">
        <v>810110</v>
      </c>
      <c r="C91" s="31">
        <v>7</v>
      </c>
      <c r="D91" s="32" t="s">
        <v>17</v>
      </c>
      <c r="E91" s="33"/>
      <c r="F91" s="31"/>
      <c r="G91" s="38"/>
      <c r="H91" s="38"/>
      <c r="I91" s="39">
        <f>SUM(I92:I95)</f>
        <v>18500</v>
      </c>
    </row>
    <row r="92" spans="2:9">
      <c r="B92" s="78"/>
      <c r="C92" s="78" t="s">
        <v>175</v>
      </c>
      <c r="D92" s="79" t="s">
        <v>80</v>
      </c>
      <c r="E92" s="80" t="s">
        <v>81</v>
      </c>
      <c r="F92" s="81">
        <v>1</v>
      </c>
      <c r="G92" s="84"/>
      <c r="H92" s="107">
        <v>12000</v>
      </c>
      <c r="I92" s="102">
        <f>(G92+H92)*F92</f>
        <v>12000</v>
      </c>
    </row>
    <row r="93" spans="2:9">
      <c r="B93" s="78"/>
      <c r="C93" s="78" t="s">
        <v>176</v>
      </c>
      <c r="D93" s="79" t="s">
        <v>83</v>
      </c>
      <c r="E93" s="80" t="s">
        <v>81</v>
      </c>
      <c r="F93" s="81">
        <v>1</v>
      </c>
      <c r="G93" s="107"/>
      <c r="H93" s="96">
        <v>2500</v>
      </c>
      <c r="I93" s="97">
        <f>(G93+H93)*F93</f>
        <v>2500</v>
      </c>
    </row>
    <row r="94" spans="2:9">
      <c r="B94" s="78"/>
      <c r="C94" s="78" t="s">
        <v>177</v>
      </c>
      <c r="D94" s="79" t="s">
        <v>85</v>
      </c>
      <c r="E94" s="80" t="s">
        <v>81</v>
      </c>
      <c r="F94" s="81">
        <v>1</v>
      </c>
      <c r="G94" s="107"/>
      <c r="H94" s="96">
        <v>1500</v>
      </c>
      <c r="I94" s="97">
        <f>(G94+H94)*F94</f>
        <v>1500</v>
      </c>
    </row>
    <row r="95" spans="2:9">
      <c r="B95" s="78"/>
      <c r="C95" s="78" t="s">
        <v>178</v>
      </c>
      <c r="D95" s="79" t="s">
        <v>87</v>
      </c>
      <c r="E95" s="80" t="s">
        <v>81</v>
      </c>
      <c r="F95" s="81">
        <v>1</v>
      </c>
      <c r="G95" s="107"/>
      <c r="H95" s="96">
        <v>2500</v>
      </c>
      <c r="I95" s="97">
        <f>(G95+H95)*F95</f>
        <v>2500</v>
      </c>
    </row>
    <row r="96" spans="2:9">
      <c r="B96" s="31">
        <v>810110</v>
      </c>
      <c r="C96" s="31">
        <v>8</v>
      </c>
      <c r="D96" s="32" t="s">
        <v>18</v>
      </c>
      <c r="E96" s="33"/>
      <c r="F96" s="31"/>
      <c r="G96" s="38"/>
      <c r="H96" s="38"/>
      <c r="I96" s="39">
        <f>SUM(I97:I103)</f>
        <v>23894.85</v>
      </c>
    </row>
    <row r="97" spans="2:9">
      <c r="B97" s="78"/>
      <c r="C97" s="78" t="s">
        <v>79</v>
      </c>
      <c r="D97" s="79" t="s">
        <v>88</v>
      </c>
      <c r="E97" s="80" t="s">
        <v>81</v>
      </c>
      <c r="F97" s="81">
        <v>1</v>
      </c>
      <c r="G97" s="84"/>
      <c r="H97" s="107">
        <v>5500</v>
      </c>
      <c r="I97" s="97">
        <f t="shared" ref="I97:I103" si="5">(G97+H97)*F97</f>
        <v>5500</v>
      </c>
    </row>
    <row r="98" spans="2:9">
      <c r="B98" s="78"/>
      <c r="C98" s="78" t="s">
        <v>82</v>
      </c>
      <c r="D98" s="79" t="s">
        <v>89</v>
      </c>
      <c r="E98" s="80" t="s">
        <v>81</v>
      </c>
      <c r="F98" s="81">
        <v>1</v>
      </c>
      <c r="G98" s="84"/>
      <c r="H98" s="107">
        <v>10000</v>
      </c>
      <c r="I98" s="97">
        <f t="shared" si="5"/>
        <v>10000</v>
      </c>
    </row>
    <row r="99" spans="2:9">
      <c r="B99" s="78"/>
      <c r="C99" s="78" t="s">
        <v>84</v>
      </c>
      <c r="D99" s="79" t="s">
        <v>90</v>
      </c>
      <c r="E99" s="80" t="s">
        <v>81</v>
      </c>
      <c r="F99" s="81">
        <v>1</v>
      </c>
      <c r="G99" s="84"/>
      <c r="H99" s="107">
        <v>1500</v>
      </c>
      <c r="I99" s="97">
        <f t="shared" si="5"/>
        <v>1500</v>
      </c>
    </row>
    <row r="100" spans="2:9">
      <c r="B100" s="78"/>
      <c r="C100" s="78" t="s">
        <v>86</v>
      </c>
      <c r="D100" s="79" t="s">
        <v>91</v>
      </c>
      <c r="E100" s="80" t="s">
        <v>81</v>
      </c>
      <c r="F100" s="81">
        <v>1</v>
      </c>
      <c r="G100" s="84"/>
      <c r="H100" s="107">
        <v>3500</v>
      </c>
      <c r="I100" s="97">
        <f t="shared" si="5"/>
        <v>3500</v>
      </c>
    </row>
    <row r="101" spans="2:9">
      <c r="B101" s="36"/>
      <c r="C101" s="78" t="s">
        <v>172</v>
      </c>
      <c r="D101" s="83" t="s">
        <v>92</v>
      </c>
      <c r="E101" s="51" t="s">
        <v>81</v>
      </c>
      <c r="F101" s="81">
        <v>1</v>
      </c>
      <c r="G101" s="84"/>
      <c r="H101" s="107">
        <v>2000</v>
      </c>
      <c r="I101" s="97">
        <f t="shared" si="5"/>
        <v>2000</v>
      </c>
    </row>
    <row r="102" spans="2:9">
      <c r="B102" s="36"/>
      <c r="C102" s="78" t="s">
        <v>173</v>
      </c>
      <c r="D102" s="83" t="s">
        <v>93</v>
      </c>
      <c r="E102" s="51" t="s">
        <v>81</v>
      </c>
      <c r="F102" s="81">
        <v>1</v>
      </c>
      <c r="G102" s="84"/>
      <c r="H102" s="107">
        <v>594.85</v>
      </c>
      <c r="I102" s="97">
        <f t="shared" si="5"/>
        <v>594.85</v>
      </c>
    </row>
    <row r="103" spans="2:9">
      <c r="B103" s="36"/>
      <c r="C103" s="78" t="s">
        <v>174</v>
      </c>
      <c r="D103" s="83" t="s">
        <v>94</v>
      </c>
      <c r="E103" s="51" t="s">
        <v>34</v>
      </c>
      <c r="F103" s="81">
        <v>1</v>
      </c>
      <c r="G103" s="84"/>
      <c r="H103" s="56">
        <v>800</v>
      </c>
      <c r="I103" s="97">
        <f t="shared" si="5"/>
        <v>800</v>
      </c>
    </row>
    <row r="104" spans="2:9">
      <c r="B104" s="31">
        <v>810110</v>
      </c>
      <c r="C104" s="31">
        <v>9</v>
      </c>
      <c r="D104" s="32" t="s">
        <v>19</v>
      </c>
      <c r="E104" s="33"/>
      <c r="F104" s="31"/>
      <c r="G104" s="98"/>
      <c r="H104" s="98"/>
      <c r="I104" s="39">
        <f>SUM(I105:I109)</f>
        <v>16580</v>
      </c>
    </row>
    <row r="105" spans="2:9">
      <c r="B105" s="36"/>
      <c r="C105" s="36" t="s">
        <v>185</v>
      </c>
      <c r="D105" s="99" t="s">
        <v>192</v>
      </c>
      <c r="E105" s="100" t="s">
        <v>193</v>
      </c>
      <c r="F105" s="81">
        <v>3</v>
      </c>
      <c r="G105" s="96">
        <v>1430</v>
      </c>
      <c r="H105" s="96">
        <v>350</v>
      </c>
      <c r="I105" s="55">
        <f>(G105+H105)*F105</f>
        <v>5340</v>
      </c>
    </row>
    <row r="106" spans="2:9">
      <c r="B106" s="36"/>
      <c r="C106" s="36" t="s">
        <v>186</v>
      </c>
      <c r="D106" s="99" t="s">
        <v>194</v>
      </c>
      <c r="E106" s="100" t="s">
        <v>65</v>
      </c>
      <c r="F106" s="81">
        <v>100</v>
      </c>
      <c r="G106" s="96">
        <v>21.8</v>
      </c>
      <c r="H106" s="96">
        <v>18</v>
      </c>
      <c r="I106" s="55">
        <f>(G106+H106)*F106</f>
        <v>3979.9999999999995</v>
      </c>
    </row>
    <row r="107" spans="2:9">
      <c r="B107" s="36"/>
      <c r="C107" s="36" t="s">
        <v>187</v>
      </c>
      <c r="D107" s="99" t="s">
        <v>195</v>
      </c>
      <c r="E107" s="100" t="s">
        <v>65</v>
      </c>
      <c r="F107" s="81">
        <v>100</v>
      </c>
      <c r="G107" s="96">
        <v>8.6</v>
      </c>
      <c r="H107" s="96">
        <v>4</v>
      </c>
      <c r="I107" s="55">
        <f>(G107+H107)*F107</f>
        <v>1260</v>
      </c>
    </row>
    <row r="108" spans="2:9">
      <c r="B108" s="36"/>
      <c r="C108" s="36" t="s">
        <v>188</v>
      </c>
      <c r="D108" s="99" t="s">
        <v>196</v>
      </c>
      <c r="E108" s="100" t="s">
        <v>81</v>
      </c>
      <c r="F108" s="81">
        <v>1</v>
      </c>
      <c r="G108" s="107"/>
      <c r="H108" s="107">
        <v>5000</v>
      </c>
      <c r="I108" s="55">
        <f>(G108+H108)*F108</f>
        <v>5000</v>
      </c>
    </row>
    <row r="109" spans="2:9">
      <c r="B109" s="36"/>
      <c r="C109" s="36" t="s">
        <v>189</v>
      </c>
      <c r="D109" s="79" t="s">
        <v>190</v>
      </c>
      <c r="E109" s="51" t="s">
        <v>81</v>
      </c>
      <c r="F109" s="81">
        <v>1</v>
      </c>
      <c r="G109" s="107"/>
      <c r="H109" s="107">
        <v>1000</v>
      </c>
      <c r="I109" s="55">
        <f>(G109+H109)*F109</f>
        <v>1000</v>
      </c>
    </row>
    <row r="110" spans="2:9">
      <c r="B110" s="36"/>
      <c r="C110" s="36"/>
      <c r="D110" s="99"/>
      <c r="E110" s="100"/>
      <c r="F110" s="81"/>
      <c r="G110" s="107"/>
      <c r="H110" s="107"/>
      <c r="I110" s="55"/>
    </row>
    <row r="111" spans="2:9">
      <c r="B111" s="36"/>
      <c r="C111" s="36"/>
      <c r="D111" s="99"/>
      <c r="E111" s="100"/>
      <c r="F111" s="81"/>
      <c r="G111" s="82"/>
      <c r="H111" s="84"/>
      <c r="I111" s="55"/>
    </row>
    <row r="112" spans="2:9">
      <c r="B112" s="73"/>
      <c r="C112" s="73"/>
      <c r="D112" s="74"/>
      <c r="E112" s="75"/>
      <c r="F112" s="76"/>
      <c r="G112" s="76"/>
      <c r="H112" s="77" t="s">
        <v>52</v>
      </c>
      <c r="I112" s="91">
        <f>I25+I34+I38+I54+I66+I91+I96+I81+I104</f>
        <v>460000</v>
      </c>
    </row>
    <row r="113" spans="3:9">
      <c r="H113" s="88"/>
      <c r="I113" s="88"/>
    </row>
    <row r="114" spans="3:9">
      <c r="I114" s="90"/>
    </row>
    <row r="115" spans="3:9">
      <c r="C115" t="s">
        <v>212</v>
      </c>
      <c r="D115" t="s">
        <v>211</v>
      </c>
      <c r="H115" s="90"/>
      <c r="I115" s="88"/>
    </row>
    <row r="116" spans="3:9">
      <c r="I116" s="89"/>
    </row>
    <row r="117" spans="3:9">
      <c r="C117" t="s">
        <v>210</v>
      </c>
      <c r="D117" t="s">
        <v>209</v>
      </c>
      <c r="I117" s="89"/>
    </row>
    <row r="118" spans="3:9">
      <c r="D118" t="s">
        <v>208</v>
      </c>
      <c r="I118" s="89"/>
    </row>
    <row r="119" spans="3:9">
      <c r="I119" s="89"/>
    </row>
    <row r="120" spans="3:9">
      <c r="C120" t="s">
        <v>207</v>
      </c>
      <c r="D120" t="s">
        <v>206</v>
      </c>
      <c r="F120" s="105" t="s">
        <v>214</v>
      </c>
      <c r="I120" s="89"/>
    </row>
    <row r="121" spans="3:9">
      <c r="I121" s="89"/>
    </row>
    <row r="122" spans="3:9">
      <c r="C122" t="s">
        <v>205</v>
      </c>
      <c r="D122" t="s">
        <v>204</v>
      </c>
      <c r="I122" s="89"/>
    </row>
    <row r="123" spans="3:9">
      <c r="I123" s="89"/>
    </row>
    <row r="124" spans="3:9">
      <c r="C124" t="s">
        <v>203</v>
      </c>
      <c r="D124" t="s">
        <v>197</v>
      </c>
    </row>
    <row r="126" spans="3:9">
      <c r="C126" t="s">
        <v>198</v>
      </c>
      <c r="D126" t="s">
        <v>199</v>
      </c>
    </row>
    <row r="127" spans="3:9">
      <c r="D127" s="101" t="s">
        <v>215</v>
      </c>
    </row>
    <row r="128" spans="3:9">
      <c r="H128" t="s">
        <v>200</v>
      </c>
    </row>
    <row r="129" spans="3:4">
      <c r="C129" t="s">
        <v>201</v>
      </c>
      <c r="D129" t="s">
        <v>202</v>
      </c>
    </row>
  </sheetData>
  <mergeCells count="24">
    <mergeCell ref="C1:I1"/>
    <mergeCell ref="B2:D2"/>
    <mergeCell ref="C3:D3"/>
    <mergeCell ref="C4:D4"/>
    <mergeCell ref="E4:G4"/>
    <mergeCell ref="B6:C6"/>
    <mergeCell ref="D6:I6"/>
    <mergeCell ref="B7:C7"/>
    <mergeCell ref="D7:I7"/>
    <mergeCell ref="E9:F9"/>
    <mergeCell ref="E10:F10"/>
    <mergeCell ref="E11:F11"/>
    <mergeCell ref="E12:F12"/>
    <mergeCell ref="E13:F13"/>
    <mergeCell ref="E14:F14"/>
    <mergeCell ref="C21:C22"/>
    <mergeCell ref="D21:D22"/>
    <mergeCell ref="G21:H21"/>
    <mergeCell ref="B24:I24"/>
    <mergeCell ref="E15:F15"/>
    <mergeCell ref="E16:F16"/>
    <mergeCell ref="E17:F17"/>
    <mergeCell ref="E18:F18"/>
    <mergeCell ref="E19:F19"/>
  </mergeCells>
  <phoneticPr fontId="29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C82042-7E11-4C37-905D-45BF7657B3AC}">
  <ds:schemaRefs>
    <ds:schemaRef ds:uri="http://schemas.microsoft.com/office/2006/metadata/properties"/>
    <ds:schemaRef ds:uri="http://schemas.microsoft.com/office/infopath/2007/PartnerControls"/>
    <ds:schemaRef ds:uri="90fa014f-5b20-4dd5-b9da-4fe8f28610af"/>
    <ds:schemaRef ds:uri="01c109e8-1b84-4817-845c-8ecc582008ab"/>
  </ds:schemaRefs>
</ds:datastoreItem>
</file>

<file path=customXml/itemProps2.xml><?xml version="1.0" encoding="utf-8"?>
<ds:datastoreItem xmlns:ds="http://schemas.openxmlformats.org/officeDocument/2006/customXml" ds:itemID="{BA5DB1E9-F435-4876-8431-BF198EE66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272ABD-0DE6-4E25-9F2A-462A469CD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 Equa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Thais Ferreira Mello</dc:creator>
  <cp:keywords/>
  <dc:description/>
  <cp:lastModifiedBy>Daniela Gomes Rosa Cantarini</cp:lastModifiedBy>
  <cp:revision/>
  <cp:lastPrinted>2025-09-03T16:38:34Z</cp:lastPrinted>
  <dcterms:created xsi:type="dcterms:W3CDTF">2015-10-30T21:36:04Z</dcterms:created>
  <dcterms:modified xsi:type="dcterms:W3CDTF">2026-01-29T16:44:48Z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MediaServiceImageTags">
    <vt:lpwstr/>
  </property>
</Properties>
</file>