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metodoengenharia.sharepoint.com/Processos/PropostasOrcamentos/2026/2026-062 - VIBRA_SERVIÇOS TÉCNICOS DE GERENCIAMENTO E FISCALIZAÇÃO DE OBRAS/01. Doc. Rec/2.1.2 17.02/"/>
    </mc:Choice>
  </mc:AlternateContent>
  <xr:revisionPtr revIDLastSave="0" documentId="13_ncr:1_{B7151C98-5586-4419-BE50-C69BFF12F3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DM" sheetId="7" r:id="rId1"/>
  </sheets>
  <definedNames>
    <definedName name="_xlnm.Print_Area" localSheetId="0">ADM!$A$3:$F$74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46" i="7" l="1"/>
  <c r="E46" i="7"/>
  <c r="B54" i="7" l="1"/>
  <c r="F49" i="7"/>
  <c r="E49" i="7"/>
  <c r="D49" i="7"/>
  <c r="C49" i="7"/>
  <c r="F48" i="7"/>
  <c r="E48" i="7"/>
  <c r="D48" i="7"/>
  <c r="C48" i="7"/>
  <c r="F47" i="7"/>
  <c r="E47" i="7"/>
  <c r="D47" i="7"/>
  <c r="C47" i="7"/>
  <c r="D45" i="7"/>
  <c r="C45" i="7"/>
  <c r="F44" i="7"/>
  <c r="E44" i="7"/>
  <c r="D44" i="7"/>
  <c r="C44" i="7"/>
  <c r="F43" i="7"/>
  <c r="E43" i="7"/>
  <c r="D43" i="7"/>
  <c r="C43" i="7"/>
  <c r="F42" i="7"/>
  <c r="E42" i="7"/>
  <c r="D42" i="7"/>
  <c r="F41" i="7"/>
  <c r="E41" i="7"/>
  <c r="D41" i="7"/>
  <c r="C41" i="7"/>
  <c r="F40" i="7"/>
  <c r="E40" i="7"/>
  <c r="D40" i="7"/>
  <c r="C40" i="7"/>
  <c r="F39" i="7"/>
  <c r="E39" i="7"/>
  <c r="D39" i="7"/>
  <c r="C39" i="7"/>
  <c r="F38" i="7"/>
  <c r="E38" i="7"/>
  <c r="D38" i="7"/>
  <c r="C38" i="7"/>
  <c r="B37" i="7"/>
  <c r="B30" i="7"/>
  <c r="B22" i="7"/>
  <c r="B35" i="7" s="1"/>
  <c r="B13" i="7"/>
  <c r="F9" i="7"/>
  <c r="E9" i="7"/>
  <c r="D9" i="7"/>
  <c r="D10" i="7" s="1"/>
  <c r="C9" i="7"/>
  <c r="F37" i="7" l="1"/>
  <c r="C37" i="7"/>
  <c r="D37" i="7"/>
  <c r="E37" i="7"/>
  <c r="E10" i="7"/>
  <c r="E11" i="7" s="1"/>
  <c r="E35" i="7" s="1"/>
  <c r="E34" i="7" s="1"/>
  <c r="F11" i="7"/>
  <c r="B34" i="7"/>
  <c r="B12" i="7" s="1"/>
  <c r="C11" i="7"/>
  <c r="D11" i="7"/>
  <c r="D35" i="7" s="1"/>
  <c r="D34" i="7" s="1"/>
  <c r="F31" i="7" l="1"/>
  <c r="F32" i="7"/>
  <c r="F27" i="7"/>
  <c r="F23" i="7"/>
  <c r="F18" i="7"/>
  <c r="F14" i="7"/>
  <c r="F24" i="7"/>
  <c r="F19" i="7"/>
  <c r="F15" i="7"/>
  <c r="F25" i="7"/>
  <c r="F21" i="7"/>
  <c r="F17" i="7"/>
  <c r="F33" i="7"/>
  <c r="F29" i="7"/>
  <c r="F26" i="7"/>
  <c r="F20" i="7"/>
  <c r="F16" i="7"/>
  <c r="F28" i="7"/>
  <c r="F35" i="7"/>
  <c r="F34" i="7" s="1"/>
  <c r="C32" i="7"/>
  <c r="C33" i="7"/>
  <c r="C28" i="7"/>
  <c r="C29" i="7"/>
  <c r="C26" i="7"/>
  <c r="C24" i="7"/>
  <c r="C19" i="7"/>
  <c r="C15" i="7"/>
  <c r="C23" i="7"/>
  <c r="C14" i="7"/>
  <c r="C25" i="7"/>
  <c r="C20" i="7"/>
  <c r="C16" i="7"/>
  <c r="C27" i="7"/>
  <c r="C21" i="7"/>
  <c r="C17" i="7"/>
  <c r="C31" i="7"/>
  <c r="C18" i="7"/>
  <c r="C35" i="7"/>
  <c r="C34" i="7" s="1"/>
  <c r="D33" i="7"/>
  <c r="D29" i="7"/>
  <c r="D25" i="7"/>
  <c r="D20" i="7"/>
  <c r="D16" i="7"/>
  <c r="D32" i="7"/>
  <c r="D19" i="7"/>
  <c r="D15" i="7"/>
  <c r="D28" i="7"/>
  <c r="D21" i="7"/>
  <c r="D17" i="7"/>
  <c r="D26" i="7"/>
  <c r="D31" i="7"/>
  <c r="D27" i="7"/>
  <c r="D23" i="7"/>
  <c r="D18" i="7"/>
  <c r="D14" i="7"/>
  <c r="D24" i="7"/>
  <c r="E33" i="7"/>
  <c r="E31" i="7"/>
  <c r="E26" i="7"/>
  <c r="E28" i="7"/>
  <c r="E25" i="7"/>
  <c r="E21" i="7"/>
  <c r="E17" i="7"/>
  <c r="E20" i="7"/>
  <c r="E27" i="7"/>
  <c r="E23" i="7"/>
  <c r="E18" i="7"/>
  <c r="E14" i="7"/>
  <c r="E16" i="7"/>
  <c r="E32" i="7"/>
  <c r="E24" i="7"/>
  <c r="E19" i="7"/>
  <c r="E15" i="7"/>
  <c r="E29" i="7"/>
  <c r="D22" i="7" l="1"/>
  <c r="F13" i="7"/>
  <c r="E13" i="7"/>
  <c r="C30" i="7"/>
  <c r="C22" i="7"/>
  <c r="F30" i="7"/>
  <c r="C13" i="7"/>
  <c r="D13" i="7"/>
  <c r="D30" i="7"/>
  <c r="F22" i="7"/>
  <c r="E22" i="7"/>
  <c r="E30" i="7"/>
  <c r="F12" i="7" l="1"/>
  <c r="F36" i="7" s="1"/>
  <c r="F50" i="7" s="1"/>
  <c r="F52" i="7" s="1"/>
  <c r="D12" i="7"/>
  <c r="D36" i="7" s="1"/>
  <c r="D50" i="7" s="1"/>
  <c r="C12" i="7"/>
  <c r="C36" i="7" s="1"/>
  <c r="C50" i="7" s="1"/>
  <c r="E12" i="7"/>
  <c r="E36" i="7" s="1"/>
  <c r="E50" i="7" s="1"/>
  <c r="F51" i="7" l="1"/>
  <c r="F53" i="7"/>
  <c r="F63" i="7" s="1"/>
  <c r="F57" i="7" s="1"/>
  <c r="C52" i="7"/>
  <c r="C51" i="7"/>
  <c r="E52" i="7"/>
  <c r="E51" i="7"/>
  <c r="D52" i="7"/>
  <c r="D51" i="7"/>
  <c r="F55" i="7" l="1"/>
  <c r="F62" i="7"/>
  <c r="F60" i="7"/>
  <c r="E53" i="7"/>
  <c r="E63" i="7" s="1"/>
  <c r="E58" i="7" s="1"/>
  <c r="F58" i="7"/>
  <c r="C53" i="7"/>
  <c r="C63" i="7" s="1"/>
  <c r="F61" i="7"/>
  <c r="F56" i="7"/>
  <c r="F59" i="7"/>
  <c r="D53" i="7"/>
  <c r="D63" i="7" s="1"/>
  <c r="D58" i="7" s="1"/>
  <c r="F64" i="7"/>
  <c r="F73" i="7" s="1"/>
  <c r="C62" i="7" l="1"/>
  <c r="C64" i="7"/>
  <c r="D62" i="7"/>
  <c r="D64" i="7"/>
  <c r="D73" i="7" s="1"/>
  <c r="C58" i="7"/>
  <c r="C56" i="7"/>
  <c r="E55" i="7"/>
  <c r="E60" i="7"/>
  <c r="D55" i="7"/>
  <c r="C60" i="7"/>
  <c r="E62" i="7"/>
  <c r="C57" i="7"/>
  <c r="E56" i="7"/>
  <c r="E61" i="7"/>
  <c r="E59" i="7"/>
  <c r="E64" i="7"/>
  <c r="E73" i="7" s="1"/>
  <c r="D56" i="7"/>
  <c r="D57" i="7"/>
  <c r="C61" i="7"/>
  <c r="C73" i="7"/>
  <c r="F54" i="7"/>
  <c r="E57" i="7"/>
  <c r="D60" i="7"/>
  <c r="D61" i="7"/>
  <c r="C59" i="7"/>
  <c r="D59" i="7"/>
  <c r="C55" i="7"/>
  <c r="D54" i="7" l="1"/>
  <c r="E54" i="7"/>
  <c r="C5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tc={7DC7E0DE-7C44-4BEC-B3E5-B45097E55CD3}</author>
  </authors>
  <commentList>
    <comment ref="F10" authorId="0" shapeId="0" xr:uid="{7DC7E0DE-7C44-4BEC-B3E5-B45097E55CD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Devido no mês de exposição ao risco.</t>
      </text>
    </comment>
  </commentList>
</comments>
</file>

<file path=xl/sharedStrings.xml><?xml version="1.0" encoding="utf-8"?>
<sst xmlns="http://schemas.openxmlformats.org/spreadsheetml/2006/main" count="96" uniqueCount="75">
  <si>
    <t>DEMOSTRATIVO DE FORMAÇÃO DE PREÇOS</t>
  </si>
  <si>
    <t>CLT</t>
  </si>
  <si>
    <t>FISCALIZAÇÃO</t>
  </si>
  <si>
    <t>2.1.1.C</t>
  </si>
  <si>
    <t>RUBRICAS</t>
  </si>
  <si>
    <t>VALOR DA HORA DO COLABORADOR</t>
  </si>
  <si>
    <t>R$</t>
  </si>
  <si>
    <t>Número de horas de seviço por mês</t>
  </si>
  <si>
    <t>H/S</t>
  </si>
  <si>
    <t>I.A - SALÁRIO BASE (valor da hora x Número de horas de serviço por mês) DA MÃO DE OBRA</t>
  </si>
  <si>
    <t xml:space="preserve">Periculosidade 30% - Apenas para fisc. Campo Industrial Tipo C ao N. </t>
  </si>
  <si>
    <t>N/A</t>
  </si>
  <si>
    <t>I.B - SALÁRIO COM PERICULOSIDADE</t>
  </si>
  <si>
    <t>II - ENCARGOS SOCIAIS</t>
  </si>
  <si>
    <t>Grupo "A" - Encargos Sociais Básicos</t>
  </si>
  <si>
    <t>A.1 - Previdência Social - INSS</t>
  </si>
  <si>
    <t>A.2 - Fundo de Garantia por Tempo de Serviço - FGTS</t>
  </si>
  <si>
    <t>A.3 - Salário-Educação</t>
  </si>
  <si>
    <t>A.4 - SESI, SESC</t>
  </si>
  <si>
    <t>A.5 - SENAI, SENAC</t>
  </si>
  <si>
    <t>A.6 - SEBRAE</t>
  </si>
  <si>
    <t>A.7 - INCRA</t>
  </si>
  <si>
    <t>A.8 - Seguro contra Acidentes do Trabalho (0,5% a 6,0%)</t>
  </si>
  <si>
    <t xml:space="preserve">Grupo "B" </t>
  </si>
  <si>
    <t>B.1 - Décimo Terceiro Salário</t>
  </si>
  <si>
    <t>B.3 - Auxílio Enfermidade</t>
  </si>
  <si>
    <t>B.4 - Licença paternidade / maternidade</t>
  </si>
  <si>
    <t>B.5 - Faltas Legais</t>
  </si>
  <si>
    <t>B.6 - Acidente do Trabalho</t>
  </si>
  <si>
    <t>B.7 - (Prenchimento adicional a critério da empresa - Descrever valor)</t>
  </si>
  <si>
    <t>Grupo "C" - Encargos que não recebem a incidência do Grupo "A"</t>
  </si>
  <si>
    <t>C.1 - Aviso prévio trabalhado / indenizado</t>
  </si>
  <si>
    <t>C.2 - Depósito - Rescisão sem Justa Causa</t>
  </si>
  <si>
    <t>C.3 - (Prenchimento adicional a critério da empresa - Descrever valor)</t>
  </si>
  <si>
    <t>Grupo "D"</t>
  </si>
  <si>
    <t>D.1 - Reincidência de "A" sobre "B"</t>
  </si>
  <si>
    <t>TOTAL DA REMUNERAÇÃO + ENCARGOS SOCIAIS</t>
  </si>
  <si>
    <t>III - INSUMOS DA MÃO DE OBRA</t>
  </si>
  <si>
    <t>III.2 - Vale Transporte</t>
  </si>
  <si>
    <t>III.3 - Plano de Saúde</t>
  </si>
  <si>
    <t>III.4 - Seguro de Vida</t>
  </si>
  <si>
    <t>III.5 - EPI's</t>
  </si>
  <si>
    <t>III.6 - Exame Médico Anual</t>
  </si>
  <si>
    <t>III.7 - Smartphone 5G com plano de dados</t>
  </si>
  <si>
    <t>(Prenchimento adicional a critério da empresa - Descrever valor)</t>
  </si>
  <si>
    <t>TOTAL DE MÃO-DE-OBRA + ENCARGOS SOCIAIS + INSUMOS (I +II + III)</t>
  </si>
  <si>
    <t>IV - TAXA DE ADMINISTRAÇÃO</t>
  </si>
  <si>
    <t>V - LUCRO BRUTO</t>
  </si>
  <si>
    <t>SUBTOTAL DOS CUSTOS (I + II + III + IV + V)</t>
  </si>
  <si>
    <t>VI - TRIBUTOS INCIDENTES SOBRE O PREÇO FINAL (Empresas com apuração pelo lucro Lucro Real)</t>
  </si>
  <si>
    <t>4.1 - PIS</t>
  </si>
  <si>
    <t>4.2 - COFINS</t>
  </si>
  <si>
    <t>4.3 - Imposto sobre Serviços de Qualquer Natureza (ISS)</t>
  </si>
  <si>
    <t>4.4 - Outros impostos (CPRB)</t>
  </si>
  <si>
    <t>4.5 - (Prenchimento adicional para empresas com apuração por lucro presumido - CSLL)</t>
  </si>
  <si>
    <t>4.6 - (Prenchimento adicional para empresas com apuração por lucro presumido - IRPJ)</t>
  </si>
  <si>
    <t>PREÇO MENSAL DE CADA CATEGORIA</t>
  </si>
  <si>
    <t>MÊS</t>
  </si>
  <si>
    <t>PREÇO UNITÁRIO DA CATEGORIA POR HORA</t>
  </si>
  <si>
    <t>Observações:</t>
  </si>
  <si>
    <t>1 - Neste DFP a empresa licitante deverá preencher as células que tenham o fundo na cor azul:</t>
  </si>
  <si>
    <t>2 - Ocorrendo a incidência de outros tributos, que não os discriminados no item VI, a empresa deverá discriminá-los nos campos do repectivo item.</t>
  </si>
  <si>
    <t>3 - Esta DFP é apenas um modelo para comparação de propostas, cabendo à empresa avaliar se todos os seus custos estão considerados e apresentar questionamento durante o processo de contratação caso entenda que algo mais deve ser acrescentado.</t>
  </si>
  <si>
    <t>Rev. 2 - MPP - 16/01/24</t>
  </si>
  <si>
    <t>2.1.1.A</t>
  </si>
  <si>
    <t xml:space="preserve"> SERVIÇO DE FISCALIZAÇÃO 
ADMINISTRATIVO DE OBRA</t>
  </si>
  <si>
    <t>2.1.1.B</t>
  </si>
  <si>
    <t xml:space="preserve"> SERVIÇO DE FISCALIZAÇÃO
EXECUÇÃO DE PROJETOS</t>
  </si>
  <si>
    <t xml:space="preserve"> SERVIÇO DE FISCALIZAÇÃO DE CAMPO NÍVEL TÉCNICO</t>
  </si>
  <si>
    <t xml:space="preserve"> SERVIÇO DE FISCALIZAÇÃO DE CAMPO NÍVEL SUPERIOR</t>
  </si>
  <si>
    <t xml:space="preserve">III.8 - Notebook para uso Corporativo </t>
  </si>
  <si>
    <t>III.9 - Notebook para uso da área de projetos</t>
  </si>
  <si>
    <t>III.1 - Alimentação / Refeição MÊS</t>
  </si>
  <si>
    <t>B.2 - Adicional de 1/3 sobre Férias</t>
  </si>
  <si>
    <t>2.1.1.D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</si>
</sst>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R$&quot;\ #,##0.00"/>
    <numFmt numFmtId="165" formatCode="0.0000%"/>
    <numFmt numFmtId="166" formatCode="General_)"/>
    <numFmt numFmtId="167" formatCode="0.000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  <font>
      <b/>
      <u/>
      <sz val="12"/>
      <name val="Arial"/>
      <family val="2"/>
    </font>
    <font>
      <b/>
      <sz val="12"/>
      <color rgb="FF0033CC"/>
      <name val="Arial"/>
      <family val="2"/>
    </font>
    <font>
      <b/>
      <sz val="12"/>
      <color rgb="FF0033CC"/>
      <name val="Calibri"/>
      <family val="2"/>
    </font>
    <font>
      <sz val="12"/>
      <name val="Calibri"/>
      <family val="2"/>
    </font>
    <font>
      <sz val="10"/>
      <name val="Arial"/>
      <family val="2"/>
    </font>
    <font>
      <b/>
      <u/>
      <sz val="2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CC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 diagonalDown="1"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43" fontId="5" fillId="0" borderId="0" applyFont="0" applyFill="0" applyBorder="0" applyAlignment="0" applyProtection="0"/>
  </cellStyleXfs>
  <cellXfs count="89">
    <xf numFmtId="0" fontId="0" fillId="0" borderId="0" xfId="0"/>
    <xf numFmtId="10" fontId="2" fillId="2" borderId="1" xfId="0" applyNumberFormat="1" applyFont="1" applyFill="1" applyBorder="1" applyAlignment="1" applyProtection="1">
      <alignment horizontal="center" vertical="center"/>
      <protection locked="0"/>
    </xf>
    <xf numFmtId="164" fontId="2" fillId="2" borderId="5" xfId="0" applyNumberFormat="1" applyFont="1" applyFill="1" applyBorder="1" applyAlignment="1" applyProtection="1">
      <alignment horizontal="center" vertical="center"/>
      <protection locked="0"/>
    </xf>
    <xf numFmtId="164" fontId="2" fillId="2" borderId="2" xfId="0" applyNumberFormat="1" applyFont="1" applyFill="1" applyBorder="1" applyAlignment="1" applyProtection="1">
      <alignment horizontal="center" vertical="center"/>
      <protection locked="0"/>
    </xf>
    <xf numFmtId="164" fontId="2" fillId="2" borderId="3" xfId="0" applyNumberFormat="1" applyFont="1" applyFill="1" applyBorder="1" applyAlignment="1" applyProtection="1">
      <alignment horizontal="center" vertical="center"/>
      <protection locked="0"/>
    </xf>
    <xf numFmtId="10" fontId="3" fillId="2" borderId="1" xfId="0" applyNumberFormat="1" applyFont="1" applyFill="1" applyBorder="1" applyAlignment="1" applyProtection="1">
      <alignment horizontal="center" vertical="center"/>
      <protection locked="0"/>
    </xf>
    <xf numFmtId="10" fontId="3" fillId="2" borderId="2" xfId="0" applyNumberFormat="1" applyFont="1" applyFill="1" applyBorder="1" applyAlignment="1" applyProtection="1">
      <alignment horizontal="center" vertical="center"/>
      <protection locked="0"/>
    </xf>
    <xf numFmtId="10" fontId="2" fillId="2" borderId="4" xfId="0" applyNumberFormat="1" applyFont="1" applyFill="1" applyBorder="1" applyAlignment="1" applyProtection="1">
      <alignment horizontal="center" vertical="center"/>
      <protection locked="0"/>
    </xf>
    <xf numFmtId="10" fontId="2" fillId="2" borderId="3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vertical="center"/>
      <protection locked="0"/>
    </xf>
    <xf numFmtId="0" fontId="2" fillId="2" borderId="14" xfId="0" applyFont="1" applyFill="1" applyBorder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 applyProtection="1">
      <alignment vertical="center"/>
      <protection locked="0"/>
    </xf>
    <xf numFmtId="14" fontId="10" fillId="0" borderId="0" xfId="0" applyNumberFormat="1" applyFont="1" applyAlignment="1" applyProtection="1">
      <alignment horizontal="right" vertical="center"/>
      <protection locked="0"/>
    </xf>
    <xf numFmtId="167" fontId="10" fillId="0" borderId="0" xfId="0" applyNumberFormat="1" applyFont="1" applyProtection="1">
      <protection locked="0"/>
    </xf>
    <xf numFmtId="14" fontId="10" fillId="0" borderId="0" xfId="0" applyNumberFormat="1" applyFont="1" applyProtection="1">
      <protection locked="0"/>
    </xf>
    <xf numFmtId="10" fontId="2" fillId="2" borderId="1" xfId="0" applyNumberFormat="1" applyFont="1" applyFill="1" applyBorder="1" applyAlignment="1" applyProtection="1">
      <alignment horizontal="right"/>
      <protection locked="0"/>
    </xf>
    <xf numFmtId="165" fontId="6" fillId="0" borderId="0" xfId="0" applyNumberFormat="1" applyFont="1" applyProtection="1">
      <protection locked="0"/>
    </xf>
    <xf numFmtId="4" fontId="2" fillId="0" borderId="0" xfId="0" applyNumberFormat="1" applyFont="1" applyAlignment="1" applyProtection="1">
      <alignment horizontal="right" vertical="center"/>
      <protection locked="0"/>
    </xf>
    <xf numFmtId="4" fontId="6" fillId="0" borderId="0" xfId="0" applyNumberFormat="1" applyFont="1" applyProtection="1">
      <protection locked="0"/>
    </xf>
    <xf numFmtId="4" fontId="8" fillId="0" borderId="0" xfId="0" applyNumberFormat="1" applyFont="1" applyAlignment="1" applyProtection="1">
      <alignment horizontal="center" vertical="center"/>
      <protection locked="0"/>
    </xf>
    <xf numFmtId="0" fontId="2" fillId="0" borderId="12" xfId="0" applyFont="1" applyBorder="1" applyProtection="1">
      <protection locked="0"/>
    </xf>
    <xf numFmtId="43" fontId="2" fillId="0" borderId="12" xfId="2" applyFont="1" applyBorder="1" applyAlignment="1" applyProtection="1">
      <alignment horizontal="center"/>
      <protection locked="0"/>
    </xf>
    <xf numFmtId="0" fontId="2" fillId="0" borderId="0" xfId="0" applyFont="1" applyAlignment="1">
      <alignment vertical="center"/>
    </xf>
    <xf numFmtId="0" fontId="2" fillId="0" borderId="0" xfId="0" applyFont="1"/>
    <xf numFmtId="0" fontId="7" fillId="5" borderId="5" xfId="0" applyFont="1" applyFill="1" applyBorder="1"/>
    <xf numFmtId="0" fontId="3" fillId="5" borderId="6" xfId="0" applyFont="1" applyFill="1" applyBorder="1" applyAlignment="1">
      <alignment horizontal="center" vertical="center"/>
    </xf>
    <xf numFmtId="0" fontId="5" fillId="5" borderId="7" xfId="0" applyFont="1" applyFill="1" applyBorder="1"/>
    <xf numFmtId="0" fontId="4" fillId="5" borderId="6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 wrapText="1"/>
    </xf>
    <xf numFmtId="166" fontId="3" fillId="0" borderId="2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4" fontId="3" fillId="3" borderId="6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/>
    </xf>
    <xf numFmtId="9" fontId="3" fillId="3" borderId="6" xfId="0" applyNumberFormat="1" applyFont="1" applyFill="1" applyBorder="1" applyAlignment="1">
      <alignment horizontal="center" vertical="center"/>
    </xf>
    <xf numFmtId="4" fontId="3" fillId="3" borderId="7" xfId="0" applyNumberFormat="1" applyFont="1" applyFill="1" applyBorder="1" applyAlignment="1">
      <alignment horizontal="center" vertical="center"/>
    </xf>
    <xf numFmtId="10" fontId="3" fillId="0" borderId="7" xfId="0" applyNumberFormat="1" applyFont="1" applyBorder="1" applyAlignment="1">
      <alignment horizontal="center" vertical="center"/>
    </xf>
    <xf numFmtId="4" fontId="3" fillId="0" borderId="7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10" fontId="3" fillId="0" borderId="4" xfId="0" applyNumberFormat="1" applyFont="1" applyBorder="1" applyAlignment="1">
      <alignment horizontal="center" vertical="center"/>
    </xf>
    <xf numFmtId="4" fontId="3" fillId="0" borderId="4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10" fontId="3" fillId="0" borderId="1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3" fillId="0" borderId="6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 wrapText="1"/>
    </xf>
    <xf numFmtId="14" fontId="9" fillId="0" borderId="8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3" xfId="0" applyFont="1" applyBorder="1" applyAlignment="1">
      <alignment horizontal="right" vertical="center"/>
    </xf>
    <xf numFmtId="0" fontId="3" fillId="0" borderId="11" xfId="0" applyFont="1" applyBorder="1" applyAlignment="1">
      <alignment vertical="center"/>
    </xf>
    <xf numFmtId="4" fontId="2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4" fontId="3" fillId="3" borderId="5" xfId="0" applyNumberFormat="1" applyFont="1" applyFill="1" applyBorder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/>
    </xf>
    <xf numFmtId="4" fontId="2" fillId="0" borderId="8" xfId="0" applyNumberFormat="1" applyFont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/>
    </xf>
    <xf numFmtId="4" fontId="2" fillId="0" borderId="3" xfId="0" applyNumberFormat="1" applyFont="1" applyBorder="1" applyAlignment="1">
      <alignment horizontal="center" vertical="center"/>
    </xf>
    <xf numFmtId="10" fontId="3" fillId="3" borderId="6" xfId="0" applyNumberFormat="1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</cellXfs>
  <cellStyles count="3">
    <cellStyle name="Normal" xfId="0" builtinId="0"/>
    <cellStyle name="Normal 2" xfId="1" xr:uid="{00000000-0005-0000-0000-000001000000}"/>
    <cellStyle name="Vírgula" xfId="2" builtinId="3"/>
  </cellStyles>
  <dxfs count="0"/>
  <tableStyles count="0" defaultTableStyle="TableStyleMedium9" defaultPivotStyle="PivotStyleLight16"/>
  <colors>
    <mruColors>
      <color rgb="FF0033CC"/>
      <color rgb="FFF6D8A2"/>
      <color rgb="FF00CCFF"/>
      <color rgb="FFFFFF66"/>
      <color rgb="FFFFFFCC"/>
      <color rgb="FF33CC33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uno Souto de Oliveira" id="{7F244B77-5BAA-4FD0-8639-911D34B355D2}" userId="S::brunosouto@vibraenergia.com.br::78502582-fe01-4e19-ac21-4509a72a5b9f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0" dT="2026-02-06T19:47:19.72" personId="{7F244B77-5BAA-4FD0-8639-911D34B355D2}" id="{7DC7E0DE-7C44-4BEC-B3E5-B45097E55CD3}">
    <text>Devido no mês de exposição ao risco.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C69DB-0915-4FA6-B9CE-E5628EE51B54}">
  <dimension ref="A1:F73"/>
  <sheetViews>
    <sheetView tabSelected="1" zoomScale="70" zoomScaleNormal="70" workbookViewId="0">
      <pane xSplit="2" ySplit="6" topLeftCell="C7" activePane="bottomRight" state="frozen"/>
      <selection pane="topRight" activeCell="C1" sqref="C1"/>
      <selection pane="bottomLeft" activeCell="A6" sqref="A6"/>
      <selection pane="bottomRight" activeCell="G2" sqref="G2"/>
    </sheetView>
  </sheetViews>
  <sheetFormatPr defaultColWidth="9.08984375" defaultRowHeight="15.5" x14ac:dyDescent="0.35"/>
  <cols>
    <col min="1" max="1" width="108.6328125" style="11" customWidth="1"/>
    <col min="2" max="2" width="15.90625" style="12" bestFit="1" customWidth="1"/>
    <col min="3" max="3" width="20.54296875" style="12" customWidth="1"/>
    <col min="4" max="5" width="19.453125" style="12" customWidth="1"/>
    <col min="6" max="10" width="19.6328125" style="12" customWidth="1"/>
    <col min="11" max="16384" width="9.08984375" style="12"/>
  </cols>
  <sheetData>
    <row r="1" spans="1:6" x14ac:dyDescent="0.35">
      <c r="A1" s="26"/>
    </row>
    <row r="2" spans="1:6" ht="16" thickBot="1" x14ac:dyDescent="0.4">
      <c r="A2" s="26"/>
      <c r="B2" s="27"/>
      <c r="C2" s="27"/>
      <c r="D2" s="27"/>
      <c r="E2" s="27"/>
      <c r="F2" s="27"/>
    </row>
    <row r="3" spans="1:6" ht="16.5" customHeight="1" thickBot="1" x14ac:dyDescent="0.4">
      <c r="A3" s="85" t="s">
        <v>0</v>
      </c>
      <c r="B3" s="28"/>
      <c r="C3" s="29" t="s">
        <v>1</v>
      </c>
      <c r="D3" s="29" t="s">
        <v>1</v>
      </c>
      <c r="E3" s="29" t="s">
        <v>1</v>
      </c>
      <c r="F3" s="29" t="s">
        <v>1</v>
      </c>
    </row>
    <row r="4" spans="1:6" s="13" customFormat="1" ht="13.5" customHeight="1" thickBot="1" x14ac:dyDescent="0.3">
      <c r="A4" s="86"/>
      <c r="B4" s="30"/>
      <c r="C4" s="31" t="s">
        <v>2</v>
      </c>
      <c r="D4" s="31" t="s">
        <v>2</v>
      </c>
      <c r="E4" s="31" t="s">
        <v>2</v>
      </c>
      <c r="F4" s="31" t="s">
        <v>2</v>
      </c>
    </row>
    <row r="5" spans="1:6" x14ac:dyDescent="0.35">
      <c r="A5" s="32"/>
      <c r="B5" s="33"/>
      <c r="C5" s="34" t="s">
        <v>64</v>
      </c>
      <c r="D5" s="34" t="s">
        <v>66</v>
      </c>
      <c r="E5" s="34" t="s">
        <v>3</v>
      </c>
      <c r="F5" s="35" t="s">
        <v>74</v>
      </c>
    </row>
    <row r="6" spans="1:6" ht="89" customHeight="1" thickBot="1" x14ac:dyDescent="0.4">
      <c r="A6" s="36" t="s">
        <v>4</v>
      </c>
      <c r="B6" s="37"/>
      <c r="C6" s="38" t="s">
        <v>65</v>
      </c>
      <c r="D6" s="38" t="s">
        <v>68</v>
      </c>
      <c r="E6" s="38" t="s">
        <v>69</v>
      </c>
      <c r="F6" s="39" t="s">
        <v>67</v>
      </c>
    </row>
    <row r="7" spans="1:6" ht="23" customHeight="1" thickBot="1" x14ac:dyDescent="0.4">
      <c r="A7" s="40" t="s">
        <v>5</v>
      </c>
      <c r="B7" s="41" t="s">
        <v>6</v>
      </c>
      <c r="C7" s="42">
        <v>15.909000000000001</v>
      </c>
      <c r="D7" s="42">
        <v>20</v>
      </c>
      <c r="E7" s="42">
        <v>56.81</v>
      </c>
      <c r="F7" s="42">
        <v>56.81</v>
      </c>
    </row>
    <row r="8" spans="1:6" ht="24" customHeight="1" thickBot="1" x14ac:dyDescent="0.4">
      <c r="A8" s="40" t="s">
        <v>7</v>
      </c>
      <c r="B8" s="43" t="s">
        <v>8</v>
      </c>
      <c r="C8" s="44">
        <v>220</v>
      </c>
      <c r="D8" s="44">
        <v>220</v>
      </c>
      <c r="E8" s="44">
        <v>220</v>
      </c>
      <c r="F8" s="44">
        <v>220</v>
      </c>
    </row>
    <row r="9" spans="1:6" ht="31.25" customHeight="1" thickBot="1" x14ac:dyDescent="0.4">
      <c r="A9" s="45" t="s">
        <v>9</v>
      </c>
      <c r="B9" s="46" t="s">
        <v>6</v>
      </c>
      <c r="C9" s="42">
        <f>C7*C8</f>
        <v>3499.98</v>
      </c>
      <c r="D9" s="42">
        <f t="shared" ref="D9:F9" si="0">D7*D8</f>
        <v>4400</v>
      </c>
      <c r="E9" s="42">
        <f t="shared" si="0"/>
        <v>12498.2</v>
      </c>
      <c r="F9" s="42">
        <f t="shared" si="0"/>
        <v>12498.2</v>
      </c>
    </row>
    <row r="10" spans="1:6" ht="33.65" customHeight="1" thickBot="1" x14ac:dyDescent="0.4">
      <c r="A10" s="40" t="s">
        <v>10</v>
      </c>
      <c r="B10" s="41" t="s">
        <v>6</v>
      </c>
      <c r="C10" s="42">
        <v>0</v>
      </c>
      <c r="D10" s="42">
        <f t="shared" ref="D10:E10" si="1">30%*D9</f>
        <v>1320</v>
      </c>
      <c r="E10" s="42">
        <f t="shared" si="1"/>
        <v>3749.46</v>
      </c>
      <c r="F10" s="42">
        <v>0</v>
      </c>
    </row>
    <row r="11" spans="1:6" ht="16" thickBot="1" x14ac:dyDescent="0.4">
      <c r="A11" s="40" t="s">
        <v>12</v>
      </c>
      <c r="B11" s="41" t="s">
        <v>6</v>
      </c>
      <c r="C11" s="47">
        <f>C9+C10</f>
        <v>3499.98</v>
      </c>
      <c r="D11" s="47">
        <f t="shared" ref="D11:F11" si="2">D9+D10</f>
        <v>5720</v>
      </c>
      <c r="E11" s="47">
        <f t="shared" si="2"/>
        <v>16247.66</v>
      </c>
      <c r="F11" s="47">
        <f t="shared" si="2"/>
        <v>12498.2</v>
      </c>
    </row>
    <row r="12" spans="1:6" ht="16" thickBot="1" x14ac:dyDescent="0.4">
      <c r="A12" s="40" t="s">
        <v>13</v>
      </c>
      <c r="B12" s="48">
        <f t="shared" ref="B12:F12" si="3">B13+B22+B30+B34</f>
        <v>0</v>
      </c>
      <c r="C12" s="49">
        <f t="shared" si="3"/>
        <v>0</v>
      </c>
      <c r="D12" s="49">
        <f t="shared" si="3"/>
        <v>0</v>
      </c>
      <c r="E12" s="49">
        <f t="shared" si="3"/>
        <v>0</v>
      </c>
      <c r="F12" s="49">
        <f t="shared" si="3"/>
        <v>0</v>
      </c>
    </row>
    <row r="13" spans="1:6" s="14" customFormat="1" x14ac:dyDescent="0.35">
      <c r="A13" s="50" t="s">
        <v>14</v>
      </c>
      <c r="B13" s="51">
        <f>SUM(B14:B21)</f>
        <v>0</v>
      </c>
      <c r="C13" s="52">
        <f t="shared" ref="C13:E13" si="4">SUM(C14:C21)</f>
        <v>0</v>
      </c>
      <c r="D13" s="52">
        <f t="shared" si="4"/>
        <v>0</v>
      </c>
      <c r="E13" s="52">
        <f t="shared" si="4"/>
        <v>0</v>
      </c>
      <c r="F13" s="52">
        <f>SUM(F14:F21)</f>
        <v>0</v>
      </c>
    </row>
    <row r="14" spans="1:6" x14ac:dyDescent="0.35">
      <c r="A14" s="53" t="s">
        <v>15</v>
      </c>
      <c r="B14" s="1"/>
      <c r="C14" s="75">
        <f>$B14*C$11</f>
        <v>0</v>
      </c>
      <c r="D14" s="75">
        <f t="shared" ref="D14:F14" si="5">$B14*D$11</f>
        <v>0</v>
      </c>
      <c r="E14" s="75">
        <f t="shared" si="5"/>
        <v>0</v>
      </c>
      <c r="F14" s="75">
        <f t="shared" si="5"/>
        <v>0</v>
      </c>
    </row>
    <row r="15" spans="1:6" x14ac:dyDescent="0.35">
      <c r="A15" s="54" t="s">
        <v>16</v>
      </c>
      <c r="B15" s="1"/>
      <c r="C15" s="75">
        <f t="shared" ref="C15:F21" si="6">$B15*C$11</f>
        <v>0</v>
      </c>
      <c r="D15" s="75">
        <f t="shared" si="6"/>
        <v>0</v>
      </c>
      <c r="E15" s="75">
        <f t="shared" si="6"/>
        <v>0</v>
      </c>
      <c r="F15" s="75">
        <f t="shared" si="6"/>
        <v>0</v>
      </c>
    </row>
    <row r="16" spans="1:6" x14ac:dyDescent="0.35">
      <c r="A16" s="54" t="s">
        <v>17</v>
      </c>
      <c r="B16" s="1"/>
      <c r="C16" s="75">
        <f t="shared" si="6"/>
        <v>0</v>
      </c>
      <c r="D16" s="75">
        <f t="shared" si="6"/>
        <v>0</v>
      </c>
      <c r="E16" s="75">
        <f t="shared" si="6"/>
        <v>0</v>
      </c>
      <c r="F16" s="75">
        <f t="shared" si="6"/>
        <v>0</v>
      </c>
    </row>
    <row r="17" spans="1:6" x14ac:dyDescent="0.35">
      <c r="A17" s="53" t="s">
        <v>18</v>
      </c>
      <c r="B17" s="1"/>
      <c r="C17" s="75">
        <f t="shared" si="6"/>
        <v>0</v>
      </c>
      <c r="D17" s="75">
        <f t="shared" si="6"/>
        <v>0</v>
      </c>
      <c r="E17" s="75">
        <f t="shared" si="6"/>
        <v>0</v>
      </c>
      <c r="F17" s="75">
        <f t="shared" si="6"/>
        <v>0</v>
      </c>
    </row>
    <row r="18" spans="1:6" x14ac:dyDescent="0.35">
      <c r="A18" s="54" t="s">
        <v>19</v>
      </c>
      <c r="B18" s="1"/>
      <c r="C18" s="75">
        <f t="shared" si="6"/>
        <v>0</v>
      </c>
      <c r="D18" s="75">
        <f t="shared" si="6"/>
        <v>0</v>
      </c>
      <c r="E18" s="75">
        <f t="shared" si="6"/>
        <v>0</v>
      </c>
      <c r="F18" s="75">
        <f t="shared" si="6"/>
        <v>0</v>
      </c>
    </row>
    <row r="19" spans="1:6" x14ac:dyDescent="0.35">
      <c r="A19" s="53" t="s">
        <v>20</v>
      </c>
      <c r="B19" s="1"/>
      <c r="C19" s="75">
        <f t="shared" si="6"/>
        <v>0</v>
      </c>
      <c r="D19" s="75">
        <f t="shared" si="6"/>
        <v>0</v>
      </c>
      <c r="E19" s="75">
        <f t="shared" si="6"/>
        <v>0</v>
      </c>
      <c r="F19" s="75">
        <f t="shared" si="6"/>
        <v>0</v>
      </c>
    </row>
    <row r="20" spans="1:6" x14ac:dyDescent="0.35">
      <c r="A20" s="54" t="s">
        <v>21</v>
      </c>
      <c r="B20" s="1"/>
      <c r="C20" s="75">
        <f t="shared" si="6"/>
        <v>0</v>
      </c>
      <c r="D20" s="75">
        <f t="shared" si="6"/>
        <v>0</v>
      </c>
      <c r="E20" s="75">
        <f t="shared" si="6"/>
        <v>0</v>
      </c>
      <c r="F20" s="75">
        <f t="shared" si="6"/>
        <v>0</v>
      </c>
    </row>
    <row r="21" spans="1:6" x14ac:dyDescent="0.35">
      <c r="A21" s="53" t="s">
        <v>22</v>
      </c>
      <c r="B21" s="1"/>
      <c r="C21" s="75">
        <f t="shared" si="6"/>
        <v>0</v>
      </c>
      <c r="D21" s="75">
        <f t="shared" si="6"/>
        <v>0</v>
      </c>
      <c r="E21" s="75">
        <f t="shared" si="6"/>
        <v>0</v>
      </c>
      <c r="F21" s="75">
        <f t="shared" si="6"/>
        <v>0</v>
      </c>
    </row>
    <row r="22" spans="1:6" s="14" customFormat="1" x14ac:dyDescent="0.35">
      <c r="A22" s="55" t="s">
        <v>23</v>
      </c>
      <c r="B22" s="57">
        <f>SUM(B23:B29)</f>
        <v>0</v>
      </c>
      <c r="C22" s="76">
        <f>SUM(C23:C29)</f>
        <v>0</v>
      </c>
      <c r="D22" s="76">
        <f>SUM(D23:D29)</f>
        <v>0</v>
      </c>
      <c r="E22" s="76">
        <f>SUM(E23:E29)</f>
        <v>0</v>
      </c>
      <c r="F22" s="76">
        <f t="shared" ref="F22" si="7">SUM(F23:F29)</f>
        <v>0</v>
      </c>
    </row>
    <row r="23" spans="1:6" x14ac:dyDescent="0.35">
      <c r="A23" s="53" t="s">
        <v>24</v>
      </c>
      <c r="B23" s="1"/>
      <c r="C23" s="75">
        <f t="shared" ref="C23:F29" si="8">$B23*C$11</f>
        <v>0</v>
      </c>
      <c r="D23" s="75">
        <f t="shared" si="8"/>
        <v>0</v>
      </c>
      <c r="E23" s="75">
        <f t="shared" si="8"/>
        <v>0</v>
      </c>
      <c r="F23" s="75">
        <f t="shared" si="8"/>
        <v>0</v>
      </c>
    </row>
    <row r="24" spans="1:6" x14ac:dyDescent="0.35">
      <c r="A24" s="54" t="s">
        <v>73</v>
      </c>
      <c r="B24" s="1"/>
      <c r="C24" s="75">
        <f t="shared" si="8"/>
        <v>0</v>
      </c>
      <c r="D24" s="75">
        <f t="shared" si="8"/>
        <v>0</v>
      </c>
      <c r="E24" s="75">
        <f t="shared" si="8"/>
        <v>0</v>
      </c>
      <c r="F24" s="75">
        <f t="shared" si="8"/>
        <v>0</v>
      </c>
    </row>
    <row r="25" spans="1:6" x14ac:dyDescent="0.35">
      <c r="A25" s="54" t="s">
        <v>25</v>
      </c>
      <c r="B25" s="1"/>
      <c r="C25" s="75">
        <f t="shared" si="8"/>
        <v>0</v>
      </c>
      <c r="D25" s="75">
        <f t="shared" si="8"/>
        <v>0</v>
      </c>
      <c r="E25" s="75">
        <f t="shared" si="8"/>
        <v>0</v>
      </c>
      <c r="F25" s="75">
        <f t="shared" si="8"/>
        <v>0</v>
      </c>
    </row>
    <row r="26" spans="1:6" x14ac:dyDescent="0.35">
      <c r="A26" s="56" t="s">
        <v>26</v>
      </c>
      <c r="B26" s="1"/>
      <c r="C26" s="75">
        <f t="shared" si="8"/>
        <v>0</v>
      </c>
      <c r="D26" s="75">
        <f t="shared" si="8"/>
        <v>0</v>
      </c>
      <c r="E26" s="75">
        <f t="shared" si="8"/>
        <v>0</v>
      </c>
      <c r="F26" s="75">
        <f t="shared" si="8"/>
        <v>0</v>
      </c>
    </row>
    <row r="27" spans="1:6" x14ac:dyDescent="0.35">
      <c r="A27" s="54" t="s">
        <v>27</v>
      </c>
      <c r="B27" s="1"/>
      <c r="C27" s="75">
        <f t="shared" si="8"/>
        <v>0</v>
      </c>
      <c r="D27" s="75">
        <f t="shared" si="8"/>
        <v>0</v>
      </c>
      <c r="E27" s="75">
        <f t="shared" si="8"/>
        <v>0</v>
      </c>
      <c r="F27" s="75">
        <f t="shared" si="8"/>
        <v>0</v>
      </c>
    </row>
    <row r="28" spans="1:6" x14ac:dyDescent="0.35">
      <c r="A28" s="54" t="s">
        <v>28</v>
      </c>
      <c r="B28" s="1"/>
      <c r="C28" s="75">
        <f t="shared" si="8"/>
        <v>0</v>
      </c>
      <c r="D28" s="75">
        <f t="shared" si="8"/>
        <v>0</v>
      </c>
      <c r="E28" s="75">
        <f t="shared" si="8"/>
        <v>0</v>
      </c>
      <c r="F28" s="75">
        <f t="shared" si="8"/>
        <v>0</v>
      </c>
    </row>
    <row r="29" spans="1:6" x14ac:dyDescent="0.35">
      <c r="A29" s="9" t="s">
        <v>29</v>
      </c>
      <c r="B29" s="1"/>
      <c r="C29" s="75">
        <f t="shared" si="8"/>
        <v>0</v>
      </c>
      <c r="D29" s="75">
        <f t="shared" si="8"/>
        <v>0</v>
      </c>
      <c r="E29" s="75">
        <f t="shared" si="8"/>
        <v>0</v>
      </c>
      <c r="F29" s="75">
        <f t="shared" si="8"/>
        <v>0</v>
      </c>
    </row>
    <row r="30" spans="1:6" s="14" customFormat="1" x14ac:dyDescent="0.35">
      <c r="A30" s="55" t="s">
        <v>30</v>
      </c>
      <c r="B30" s="57">
        <f t="shared" ref="B30:F30" si="9">SUM(B31:B33)</f>
        <v>0</v>
      </c>
      <c r="C30" s="76">
        <f t="shared" si="9"/>
        <v>0</v>
      </c>
      <c r="D30" s="76">
        <f t="shared" si="9"/>
        <v>0</v>
      </c>
      <c r="E30" s="76">
        <f t="shared" si="9"/>
        <v>0</v>
      </c>
      <c r="F30" s="76">
        <f t="shared" si="9"/>
        <v>0</v>
      </c>
    </row>
    <row r="31" spans="1:6" x14ac:dyDescent="0.35">
      <c r="A31" s="54" t="s">
        <v>31</v>
      </c>
      <c r="B31" s="1"/>
      <c r="C31" s="75">
        <f t="shared" ref="C31:F33" si="10">$B31*C$11</f>
        <v>0</v>
      </c>
      <c r="D31" s="75">
        <f t="shared" si="10"/>
        <v>0</v>
      </c>
      <c r="E31" s="75">
        <f t="shared" si="10"/>
        <v>0</v>
      </c>
      <c r="F31" s="75">
        <f t="shared" si="10"/>
        <v>0</v>
      </c>
    </row>
    <row r="32" spans="1:6" x14ac:dyDescent="0.35">
      <c r="A32" s="54" t="s">
        <v>32</v>
      </c>
      <c r="B32" s="1"/>
      <c r="C32" s="75">
        <f t="shared" si="10"/>
        <v>0</v>
      </c>
      <c r="D32" s="75">
        <f t="shared" si="10"/>
        <v>0</v>
      </c>
      <c r="E32" s="75">
        <f t="shared" si="10"/>
        <v>0</v>
      </c>
      <c r="F32" s="75">
        <f t="shared" si="10"/>
        <v>0</v>
      </c>
    </row>
    <row r="33" spans="1:6" x14ac:dyDescent="0.35">
      <c r="A33" s="9" t="s">
        <v>33</v>
      </c>
      <c r="B33" s="1"/>
      <c r="C33" s="75">
        <f t="shared" si="10"/>
        <v>0</v>
      </c>
      <c r="D33" s="75">
        <f t="shared" si="10"/>
        <v>0</v>
      </c>
      <c r="E33" s="75">
        <f t="shared" si="10"/>
        <v>0</v>
      </c>
      <c r="F33" s="75">
        <f t="shared" si="10"/>
        <v>0</v>
      </c>
    </row>
    <row r="34" spans="1:6" s="14" customFormat="1" x14ac:dyDescent="0.35">
      <c r="A34" s="58" t="s">
        <v>34</v>
      </c>
      <c r="B34" s="57">
        <f>B35</f>
        <v>0</v>
      </c>
      <c r="C34" s="76">
        <f t="shared" ref="C34:F34" si="11">C35</f>
        <v>0</v>
      </c>
      <c r="D34" s="76">
        <f t="shared" si="11"/>
        <v>0</v>
      </c>
      <c r="E34" s="76">
        <f t="shared" si="11"/>
        <v>0</v>
      </c>
      <c r="F34" s="76">
        <f t="shared" si="11"/>
        <v>0</v>
      </c>
    </row>
    <row r="35" spans="1:6" ht="16" thickBot="1" x14ac:dyDescent="0.4">
      <c r="A35" s="54" t="s">
        <v>35</v>
      </c>
      <c r="B35" s="84">
        <f>B22*(B14+B15+B16)</f>
        <v>0</v>
      </c>
      <c r="C35" s="75">
        <f t="shared" ref="C35:F35" si="12">$B35*C$11</f>
        <v>0</v>
      </c>
      <c r="D35" s="75">
        <f t="shared" si="12"/>
        <v>0</v>
      </c>
      <c r="E35" s="75">
        <f t="shared" si="12"/>
        <v>0</v>
      </c>
      <c r="F35" s="75">
        <f t="shared" si="12"/>
        <v>0</v>
      </c>
    </row>
    <row r="36" spans="1:6" ht="16" thickBot="1" x14ac:dyDescent="0.4">
      <c r="A36" s="40" t="s">
        <v>36</v>
      </c>
      <c r="B36" s="42" t="s">
        <v>6</v>
      </c>
      <c r="C36" s="77">
        <f t="shared" ref="C36:F36" si="13">C11+C12</f>
        <v>3499.98</v>
      </c>
      <c r="D36" s="77">
        <f t="shared" si="13"/>
        <v>5720</v>
      </c>
      <c r="E36" s="77">
        <f t="shared" si="13"/>
        <v>16247.66</v>
      </c>
      <c r="F36" s="77">
        <f t="shared" si="13"/>
        <v>12498.2</v>
      </c>
    </row>
    <row r="37" spans="1:6" ht="16" thickBot="1" x14ac:dyDescent="0.4">
      <c r="A37" s="40" t="s">
        <v>37</v>
      </c>
      <c r="B37" s="42">
        <f t="shared" ref="B37:F37" si="14">SUM(B38:B49)</f>
        <v>0</v>
      </c>
      <c r="C37" s="42">
        <f t="shared" si="14"/>
        <v>0</v>
      </c>
      <c r="D37" s="42">
        <f t="shared" si="14"/>
        <v>0</v>
      </c>
      <c r="E37" s="42">
        <f t="shared" si="14"/>
        <v>0</v>
      </c>
      <c r="F37" s="42">
        <f t="shared" si="14"/>
        <v>0</v>
      </c>
    </row>
    <row r="38" spans="1:6" x14ac:dyDescent="0.35">
      <c r="A38" s="56" t="s">
        <v>72</v>
      </c>
      <c r="B38" s="2"/>
      <c r="C38" s="78">
        <f t="shared" ref="C38:F38" si="15">$B$38</f>
        <v>0</v>
      </c>
      <c r="D38" s="78">
        <f t="shared" si="15"/>
        <v>0</v>
      </c>
      <c r="E38" s="78">
        <f t="shared" si="15"/>
        <v>0</v>
      </c>
      <c r="F38" s="79">
        <f t="shared" si="15"/>
        <v>0</v>
      </c>
    </row>
    <row r="39" spans="1:6" x14ac:dyDescent="0.35">
      <c r="A39" s="59" t="s">
        <v>38</v>
      </c>
      <c r="B39" s="3"/>
      <c r="C39" s="78">
        <f t="shared" ref="C39:F39" si="16">$B$39</f>
        <v>0</v>
      </c>
      <c r="D39" s="78">
        <f t="shared" si="16"/>
        <v>0</v>
      </c>
      <c r="E39" s="78">
        <f t="shared" si="16"/>
        <v>0</v>
      </c>
      <c r="F39" s="78">
        <f t="shared" si="16"/>
        <v>0</v>
      </c>
    </row>
    <row r="40" spans="1:6" x14ac:dyDescent="0.35">
      <c r="A40" s="59" t="s">
        <v>39</v>
      </c>
      <c r="B40" s="3"/>
      <c r="C40" s="78">
        <f t="shared" ref="C40:F40" si="17">$B$40</f>
        <v>0</v>
      </c>
      <c r="D40" s="78">
        <f t="shared" si="17"/>
        <v>0</v>
      </c>
      <c r="E40" s="78">
        <f t="shared" si="17"/>
        <v>0</v>
      </c>
      <c r="F40" s="75">
        <f t="shared" si="17"/>
        <v>0</v>
      </c>
    </row>
    <row r="41" spans="1:6" x14ac:dyDescent="0.35">
      <c r="A41" s="60" t="s">
        <v>40</v>
      </c>
      <c r="B41" s="3"/>
      <c r="C41" s="78">
        <f t="shared" ref="C41:F41" si="18">$B$41</f>
        <v>0</v>
      </c>
      <c r="D41" s="78">
        <f t="shared" si="18"/>
        <v>0</v>
      </c>
      <c r="E41" s="78">
        <f t="shared" si="18"/>
        <v>0</v>
      </c>
      <c r="F41" s="75">
        <f t="shared" si="18"/>
        <v>0</v>
      </c>
    </row>
    <row r="42" spans="1:6" x14ac:dyDescent="0.35">
      <c r="A42" s="60" t="s">
        <v>41</v>
      </c>
      <c r="B42" s="3"/>
      <c r="C42" s="80" t="s">
        <v>11</v>
      </c>
      <c r="D42" s="78">
        <f t="shared" ref="D42:F42" si="19">$B$42</f>
        <v>0</v>
      </c>
      <c r="E42" s="78">
        <f t="shared" si="19"/>
        <v>0</v>
      </c>
      <c r="F42" s="78">
        <f t="shared" si="19"/>
        <v>0</v>
      </c>
    </row>
    <row r="43" spans="1:6" x14ac:dyDescent="0.35">
      <c r="A43" s="61" t="s">
        <v>42</v>
      </c>
      <c r="B43" s="3"/>
      <c r="C43" s="78">
        <f t="shared" ref="C43:F45" si="20">$B43</f>
        <v>0</v>
      </c>
      <c r="D43" s="78">
        <f t="shared" si="20"/>
        <v>0</v>
      </c>
      <c r="E43" s="78">
        <f t="shared" si="20"/>
        <v>0</v>
      </c>
      <c r="F43" s="75">
        <f t="shared" si="20"/>
        <v>0</v>
      </c>
    </row>
    <row r="44" spans="1:6" x14ac:dyDescent="0.35">
      <c r="A44" s="61" t="s">
        <v>43</v>
      </c>
      <c r="B44" s="3"/>
      <c r="C44" s="78">
        <f t="shared" si="20"/>
        <v>0</v>
      </c>
      <c r="D44" s="78">
        <f t="shared" si="20"/>
        <v>0</v>
      </c>
      <c r="E44" s="78">
        <f t="shared" si="20"/>
        <v>0</v>
      </c>
      <c r="F44" s="75">
        <f t="shared" si="20"/>
        <v>0</v>
      </c>
    </row>
    <row r="45" spans="1:6" x14ac:dyDescent="0.35">
      <c r="A45" s="61" t="s">
        <v>70</v>
      </c>
      <c r="B45" s="3"/>
      <c r="C45" s="78">
        <f t="shared" si="20"/>
        <v>0</v>
      </c>
      <c r="D45" s="78">
        <f t="shared" si="20"/>
        <v>0</v>
      </c>
      <c r="E45" s="80" t="s">
        <v>11</v>
      </c>
      <c r="F45" s="80" t="s">
        <v>11</v>
      </c>
    </row>
    <row r="46" spans="1:6" x14ac:dyDescent="0.35">
      <c r="A46" s="61" t="s">
        <v>71</v>
      </c>
      <c r="B46" s="3"/>
      <c r="C46" s="80" t="s">
        <v>11</v>
      </c>
      <c r="D46" s="80" t="s">
        <v>11</v>
      </c>
      <c r="E46" s="78">
        <f>$B$46</f>
        <v>0</v>
      </c>
      <c r="F46" s="78">
        <f>$B$46</f>
        <v>0</v>
      </c>
    </row>
    <row r="47" spans="1:6" x14ac:dyDescent="0.35">
      <c r="A47" s="10" t="s">
        <v>44</v>
      </c>
      <c r="B47" s="3"/>
      <c r="C47" s="78">
        <f>$B47</f>
        <v>0</v>
      </c>
      <c r="D47" s="78">
        <f t="shared" ref="C47:F49" si="21">$B47</f>
        <v>0</v>
      </c>
      <c r="E47" s="78">
        <f t="shared" si="21"/>
        <v>0</v>
      </c>
      <c r="F47" s="75">
        <f t="shared" si="21"/>
        <v>0</v>
      </c>
    </row>
    <row r="48" spans="1:6" x14ac:dyDescent="0.35">
      <c r="A48" s="10" t="s">
        <v>44</v>
      </c>
      <c r="B48" s="3"/>
      <c r="C48" s="78">
        <f t="shared" si="21"/>
        <v>0</v>
      </c>
      <c r="D48" s="78">
        <f t="shared" si="21"/>
        <v>0</v>
      </c>
      <c r="E48" s="78">
        <f t="shared" si="21"/>
        <v>0</v>
      </c>
      <c r="F48" s="75">
        <f t="shared" si="21"/>
        <v>0</v>
      </c>
    </row>
    <row r="49" spans="1:6" ht="16" thickBot="1" x14ac:dyDescent="0.4">
      <c r="A49" s="10" t="s">
        <v>44</v>
      </c>
      <c r="B49" s="4"/>
      <c r="C49" s="78">
        <f t="shared" si="21"/>
        <v>0</v>
      </c>
      <c r="D49" s="78">
        <f t="shared" si="21"/>
        <v>0</v>
      </c>
      <c r="E49" s="78">
        <f t="shared" si="21"/>
        <v>0</v>
      </c>
      <c r="F49" s="75">
        <f t="shared" si="21"/>
        <v>0</v>
      </c>
    </row>
    <row r="50" spans="1:6" ht="20.399999999999999" customHeight="1" thickBot="1" x14ac:dyDescent="0.4">
      <c r="A50" s="62" t="s">
        <v>45</v>
      </c>
      <c r="B50" s="42" t="s">
        <v>6</v>
      </c>
      <c r="C50" s="42">
        <f t="shared" ref="C50:F50" si="22">C36+C37</f>
        <v>3499.98</v>
      </c>
      <c r="D50" s="42">
        <f t="shared" si="22"/>
        <v>5720</v>
      </c>
      <c r="E50" s="42">
        <f t="shared" si="22"/>
        <v>16247.66</v>
      </c>
      <c r="F50" s="42">
        <f t="shared" si="22"/>
        <v>12498.2</v>
      </c>
    </row>
    <row r="51" spans="1:6" ht="17" customHeight="1" x14ac:dyDescent="0.35">
      <c r="A51" s="63" t="s">
        <v>46</v>
      </c>
      <c r="B51" s="5"/>
      <c r="C51" s="75">
        <f>$B51*C$50</f>
        <v>0</v>
      </c>
      <c r="D51" s="75">
        <f>$B51*D$50</f>
        <v>0</v>
      </c>
      <c r="E51" s="75">
        <f t="shared" ref="E51:F51" si="23">$B51*E$50</f>
        <v>0</v>
      </c>
      <c r="F51" s="75">
        <f t="shared" si="23"/>
        <v>0</v>
      </c>
    </row>
    <row r="52" spans="1:6" ht="17.399999999999999" customHeight="1" thickBot="1" x14ac:dyDescent="0.4">
      <c r="A52" s="64" t="s">
        <v>47</v>
      </c>
      <c r="B52" s="6"/>
      <c r="C52" s="75">
        <f>$B52*C$50</f>
        <v>0</v>
      </c>
      <c r="D52" s="75">
        <f t="shared" ref="D52:F52" si="24">$B52*D$50</f>
        <v>0</v>
      </c>
      <c r="E52" s="75">
        <f t="shared" si="24"/>
        <v>0</v>
      </c>
      <c r="F52" s="75">
        <f t="shared" si="24"/>
        <v>0</v>
      </c>
    </row>
    <row r="53" spans="1:6" ht="20.399999999999999" customHeight="1" thickBot="1" x14ac:dyDescent="0.4">
      <c r="A53" s="40" t="s">
        <v>48</v>
      </c>
      <c r="B53" s="42" t="s">
        <v>6</v>
      </c>
      <c r="C53" s="42">
        <f t="shared" ref="C53:F53" si="25">C50+C51+C52</f>
        <v>3499.98</v>
      </c>
      <c r="D53" s="42">
        <f t="shared" si="25"/>
        <v>5720</v>
      </c>
      <c r="E53" s="42">
        <f>E50+E51+E52</f>
        <v>16247.66</v>
      </c>
      <c r="F53" s="42">
        <f t="shared" si="25"/>
        <v>12498.2</v>
      </c>
    </row>
    <row r="54" spans="1:6" ht="38" customHeight="1" thickBot="1" x14ac:dyDescent="0.4">
      <c r="A54" s="65" t="s">
        <v>49</v>
      </c>
      <c r="B54" s="83">
        <f t="shared" ref="B54:F54" si="26">SUM(B55:B62)</f>
        <v>0</v>
      </c>
      <c r="C54" s="42">
        <f t="shared" si="26"/>
        <v>0</v>
      </c>
      <c r="D54" s="42">
        <f t="shared" si="26"/>
        <v>0</v>
      </c>
      <c r="E54" s="42">
        <f t="shared" si="26"/>
        <v>0</v>
      </c>
      <c r="F54" s="42">
        <f t="shared" si="26"/>
        <v>0</v>
      </c>
    </row>
    <row r="55" spans="1:6" x14ac:dyDescent="0.35">
      <c r="A55" s="68" t="s">
        <v>50</v>
      </c>
      <c r="B55" s="7"/>
      <c r="C55" s="78">
        <f>$B$55*C63</f>
        <v>0</v>
      </c>
      <c r="D55" s="78">
        <f>$B$55*D63</f>
        <v>0</v>
      </c>
      <c r="E55" s="78">
        <f t="shared" ref="E55:F55" si="27">$B$55*E63</f>
        <v>0</v>
      </c>
      <c r="F55" s="78">
        <f t="shared" si="27"/>
        <v>0</v>
      </c>
    </row>
    <row r="56" spans="1:6" x14ac:dyDescent="0.35">
      <c r="A56" s="54" t="s">
        <v>51</v>
      </c>
      <c r="B56" s="1"/>
      <c r="C56" s="75">
        <f>$B$56*C63</f>
        <v>0</v>
      </c>
      <c r="D56" s="75">
        <f t="shared" ref="D56:F56" si="28">$B$56*D63</f>
        <v>0</v>
      </c>
      <c r="E56" s="75">
        <f t="shared" si="28"/>
        <v>0</v>
      </c>
      <c r="F56" s="75">
        <f t="shared" si="28"/>
        <v>0</v>
      </c>
    </row>
    <row r="57" spans="1:6" x14ac:dyDescent="0.35">
      <c r="A57" s="66" t="s">
        <v>52</v>
      </c>
      <c r="B57" s="1"/>
      <c r="C57" s="81">
        <f>$B$57*C63</f>
        <v>0</v>
      </c>
      <c r="D57" s="81">
        <f t="shared" ref="D57:F57" si="29">$B$57*D63</f>
        <v>0</v>
      </c>
      <c r="E57" s="81">
        <f t="shared" si="29"/>
        <v>0</v>
      </c>
      <c r="F57" s="81">
        <f t="shared" si="29"/>
        <v>0</v>
      </c>
    </row>
    <row r="58" spans="1:6" x14ac:dyDescent="0.35">
      <c r="A58" s="67" t="s">
        <v>53</v>
      </c>
      <c r="B58" s="1"/>
      <c r="C58" s="81">
        <f>$B$58*C63</f>
        <v>0</v>
      </c>
      <c r="D58" s="81">
        <f t="shared" ref="D58:F58" si="30">$B$58*D63</f>
        <v>0</v>
      </c>
      <c r="E58" s="81">
        <f t="shared" si="30"/>
        <v>0</v>
      </c>
      <c r="F58" s="81">
        <f t="shared" si="30"/>
        <v>0</v>
      </c>
    </row>
    <row r="59" spans="1:6" x14ac:dyDescent="0.35">
      <c r="A59" s="10" t="s">
        <v>54</v>
      </c>
      <c r="B59" s="1"/>
      <c r="C59" s="81">
        <f>$B$59*C63</f>
        <v>0</v>
      </c>
      <c r="D59" s="81">
        <f t="shared" ref="D59:F59" si="31">$B$59*D63</f>
        <v>0</v>
      </c>
      <c r="E59" s="81">
        <f t="shared" si="31"/>
        <v>0</v>
      </c>
      <c r="F59" s="81">
        <f t="shared" si="31"/>
        <v>0</v>
      </c>
    </row>
    <row r="60" spans="1:6" x14ac:dyDescent="0.35">
      <c r="A60" s="10" t="s">
        <v>55</v>
      </c>
      <c r="B60" s="1"/>
      <c r="C60" s="81">
        <f>$B$60*C63</f>
        <v>0</v>
      </c>
      <c r="D60" s="81">
        <f t="shared" ref="D60:F60" si="32">$B$60*D63</f>
        <v>0</v>
      </c>
      <c r="E60" s="81">
        <f t="shared" si="32"/>
        <v>0</v>
      </c>
      <c r="F60" s="81">
        <f t="shared" si="32"/>
        <v>0</v>
      </c>
    </row>
    <row r="61" spans="1:6" x14ac:dyDescent="0.35">
      <c r="A61" s="10" t="s">
        <v>44</v>
      </c>
      <c r="B61" s="1"/>
      <c r="C61" s="81">
        <f>$B$61*C63</f>
        <v>0</v>
      </c>
      <c r="D61" s="81">
        <f>$B$61*D63</f>
        <v>0</v>
      </c>
      <c r="E61" s="81">
        <f t="shared" ref="E61:F61" si="33">$B$61*E63</f>
        <v>0</v>
      </c>
      <c r="F61" s="81">
        <f t="shared" si="33"/>
        <v>0</v>
      </c>
    </row>
    <row r="62" spans="1:6" ht="16" thickBot="1" x14ac:dyDescent="0.4">
      <c r="A62" s="15" t="s">
        <v>44</v>
      </c>
      <c r="B62" s="8"/>
      <c r="C62" s="82">
        <f t="shared" ref="C62:F62" si="34">$B$62*C63</f>
        <v>0</v>
      </c>
      <c r="D62" s="82">
        <f t="shared" si="34"/>
        <v>0</v>
      </c>
      <c r="E62" s="82">
        <f t="shared" si="34"/>
        <v>0</v>
      </c>
      <c r="F62" s="82">
        <f t="shared" si="34"/>
        <v>0</v>
      </c>
    </row>
    <row r="63" spans="1:6" ht="19.25" customHeight="1" thickBot="1" x14ac:dyDescent="0.4">
      <c r="A63" s="69" t="s">
        <v>56</v>
      </c>
      <c r="B63" s="42" t="s">
        <v>57</v>
      </c>
      <c r="C63" s="42">
        <f>C53/(1-$B$54)</f>
        <v>3499.98</v>
      </c>
      <c r="D63" s="42">
        <f t="shared" ref="D63:F63" si="35">D53/(1-$B$54)</f>
        <v>5720</v>
      </c>
      <c r="E63" s="42">
        <f t="shared" si="35"/>
        <v>16247.66</v>
      </c>
      <c r="F63" s="42">
        <f t="shared" si="35"/>
        <v>12498.2</v>
      </c>
    </row>
    <row r="64" spans="1:6" ht="19.25" customHeight="1" thickBot="1" x14ac:dyDescent="0.4">
      <c r="A64" s="70" t="s">
        <v>58</v>
      </c>
      <c r="B64" s="42" t="s">
        <v>8</v>
      </c>
      <c r="C64" s="42">
        <f>INT(C63/C8*100)/100</f>
        <v>15.9</v>
      </c>
      <c r="D64" s="42">
        <f t="shared" ref="D64:F64" si="36">INT(D63/D8*100)/100</f>
        <v>26</v>
      </c>
      <c r="E64" s="42">
        <f t="shared" si="36"/>
        <v>73.849999999999994</v>
      </c>
      <c r="F64" s="42">
        <f t="shared" si="36"/>
        <v>56.81</v>
      </c>
    </row>
    <row r="65" spans="1:6" s="18" customFormat="1" x14ac:dyDescent="0.35">
      <c r="A65" s="71" t="s">
        <v>59</v>
      </c>
      <c r="B65" s="16"/>
      <c r="C65" s="17"/>
      <c r="D65" s="17"/>
      <c r="E65" s="17"/>
      <c r="F65" s="17"/>
    </row>
    <row r="66" spans="1:6" x14ac:dyDescent="0.35">
      <c r="A66" s="72" t="s">
        <v>60</v>
      </c>
      <c r="B66" s="19"/>
      <c r="C66" s="20"/>
      <c r="D66" s="20"/>
      <c r="E66" s="20"/>
      <c r="F66" s="20"/>
    </row>
    <row r="67" spans="1:6" x14ac:dyDescent="0.35">
      <c r="A67" s="87" t="s">
        <v>61</v>
      </c>
      <c r="B67" s="21"/>
      <c r="C67" s="21"/>
      <c r="D67" s="21"/>
      <c r="E67" s="21"/>
      <c r="F67" s="22"/>
    </row>
    <row r="68" spans="1:6" ht="16" thickBot="1" x14ac:dyDescent="0.4">
      <c r="A68" s="88"/>
      <c r="B68" s="21"/>
      <c r="C68" s="21"/>
      <c r="D68" s="21"/>
      <c r="E68" s="21"/>
      <c r="F68" s="22"/>
    </row>
    <row r="69" spans="1:6" x14ac:dyDescent="0.35">
      <c r="A69" s="87" t="s">
        <v>62</v>
      </c>
      <c r="B69" s="21"/>
      <c r="C69" s="21"/>
      <c r="D69" s="21"/>
      <c r="E69" s="21"/>
      <c r="F69" s="22"/>
    </row>
    <row r="70" spans="1:6" ht="16" thickBot="1" x14ac:dyDescent="0.4">
      <c r="A70" s="88"/>
      <c r="B70" s="21"/>
      <c r="C70" s="21"/>
      <c r="D70" s="21"/>
      <c r="E70" s="21"/>
      <c r="F70" s="22"/>
    </row>
    <row r="71" spans="1:6" x14ac:dyDescent="0.35">
      <c r="A71" s="70"/>
      <c r="B71" s="21"/>
      <c r="C71" s="21"/>
      <c r="D71" s="21"/>
      <c r="E71" s="21"/>
      <c r="F71" s="22"/>
    </row>
    <row r="72" spans="1:6" x14ac:dyDescent="0.35">
      <c r="A72" s="73"/>
      <c r="B72" s="21"/>
      <c r="C72" s="23"/>
      <c r="D72" s="23"/>
      <c r="E72" s="23"/>
      <c r="F72" s="23"/>
    </row>
    <row r="73" spans="1:6" ht="16" thickBot="1" x14ac:dyDescent="0.4">
      <c r="A73" s="74" t="s">
        <v>63</v>
      </c>
      <c r="B73" s="24"/>
      <c r="C73" s="25">
        <f t="shared" ref="C73:F73" si="37">C64*C72</f>
        <v>0</v>
      </c>
      <c r="D73" s="25">
        <f t="shared" si="37"/>
        <v>0</v>
      </c>
      <c r="E73" s="25">
        <f t="shared" si="37"/>
        <v>0</v>
      </c>
      <c r="F73" s="25">
        <f t="shared" si="37"/>
        <v>0</v>
      </c>
    </row>
  </sheetData>
  <sheetProtection algorithmName="SHA-512" hashValue="ED9VL3IKcUScV2Xmi2piFeOFnEe21Ya7UZz1k57o2R3GmBc8uGFDMP/KF5isgKvN6a45usuAsfc9GH8iegSIbQ==" saltValue="eUIOPJ+ej5LP1f/fe0t3jg==" spinCount="100000" sheet="1" objects="1" scenarios="1"/>
  <mergeCells count="3">
    <mergeCell ref="A3:A4"/>
    <mergeCell ref="A67:A68"/>
    <mergeCell ref="A69:A70"/>
  </mergeCells>
  <printOptions horizontalCentered="1"/>
  <pageMargins left="0" right="0" top="0" bottom="0" header="0.51181102362204722" footer="0.51181102362204722"/>
  <pageSetup paperSize="9" scale="44" fitToWidth="2" orientation="landscape" horizontalDpi="300" verticalDpi="300" r:id="rId1"/>
  <headerFooter alignWithMargins="0">
    <oddFooter>&amp;C&amp;1#&amp;"Calibri"&amp;10&amp;K000000Pública</oddFooter>
  </headerFooter>
  <colBreaks count="1" manualBreakCount="1">
    <brk id="5" min="2" max="68" man="1"/>
  </col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63C7FA26A0DEC4BB9340BCD00E554A6" ma:contentTypeVersion="13" ma:contentTypeDescription="Crie um novo documento." ma:contentTypeScope="" ma:versionID="f9c2f1d802bd3b0b9ec8d9c034f209d5">
  <xsd:schema xmlns:xsd="http://www.w3.org/2001/XMLSchema" xmlns:xs="http://www.w3.org/2001/XMLSchema" xmlns:p="http://schemas.microsoft.com/office/2006/metadata/properties" xmlns:ns2="b9d874d0-c552-4727-9c02-5b1c07c5b4b4" xmlns:ns3="36b8e68b-7554-409c-85a4-5772116ca008" targetNamespace="http://schemas.microsoft.com/office/2006/metadata/properties" ma:root="true" ma:fieldsID="87eb4ce78b83dca1a99c2080b0eb57a8" ns2:_="" ns3:_="">
    <xsd:import namespace="b9d874d0-c552-4727-9c02-5b1c07c5b4b4"/>
    <xsd:import namespace="36b8e68b-7554-409c-85a4-5772116ca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874d0-c552-4727-9c02-5b1c07c5b4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82007361-3871-486b-974f-54df117b5a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b8e68b-7554-409c-85a4-5772116ca00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186182e-1bce-44e6-a9f7-5dc816473d70}" ma:internalName="TaxCatchAll" ma:showField="CatchAllData" ma:web="36b8e68b-7554-409c-85a4-5772116ca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d874d0-c552-4727-9c02-5b1c07c5b4b4">
      <Terms xmlns="http://schemas.microsoft.com/office/infopath/2007/PartnerControls"/>
    </lcf76f155ced4ddcb4097134ff3c332f>
    <TaxCatchAll xmlns="36b8e68b-7554-409c-85a4-5772116ca008" xsi:nil="true"/>
  </documentManagement>
</p:properties>
</file>

<file path=customXml/itemProps1.xml><?xml version="1.0" encoding="utf-8"?>
<ds:datastoreItem xmlns:ds="http://schemas.openxmlformats.org/officeDocument/2006/customXml" ds:itemID="{596691CD-8D36-41DC-90C3-C8D875222F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1B6695-15CA-4D53-AD8B-CA77A87638DB}"/>
</file>

<file path=customXml/itemProps3.xml><?xml version="1.0" encoding="utf-8"?>
<ds:datastoreItem xmlns:ds="http://schemas.openxmlformats.org/officeDocument/2006/customXml" ds:itemID="{A020F069-EECB-4241-8D88-14DDB152CFAC}">
  <ds:schemaRefs>
    <ds:schemaRef ds:uri="http://schemas.microsoft.com/office/2006/metadata/properties"/>
    <ds:schemaRef ds:uri="http://schemas.microsoft.com/office/infopath/2007/PartnerControls"/>
    <ds:schemaRef ds:uri="cedebac3-48f1-4509-95b9-0fe338d7f5de"/>
    <ds:schemaRef ds:uri="f90220bd-b48b-4f1f-b762-95e1dbd284cb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ADM</vt:lpstr>
      <vt:lpstr>ADM!Area_de_impressao</vt:lpstr>
    </vt:vector>
  </TitlesOfParts>
  <Manager/>
  <Company>BR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Petrobras Distribuidora S.A</dc:creator>
  <cp:keywords/>
  <dc:description/>
  <cp:lastModifiedBy>Cibele Lima Melo PRO</cp:lastModifiedBy>
  <cp:revision/>
  <dcterms:created xsi:type="dcterms:W3CDTF">2004-04-16T14:06:11Z</dcterms:created>
  <dcterms:modified xsi:type="dcterms:W3CDTF">2026-02-20T17:49:58Z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deaceb-9851-4663-bccf-596767454be3_Enabled">
    <vt:lpwstr>true</vt:lpwstr>
  </property>
  <property fmtid="{D5CDD505-2E9C-101B-9397-08002B2CF9AE}" pid="3" name="MSIP_Label_22deaceb-9851-4663-bccf-596767454be3_SetDate">
    <vt:lpwstr>2021-10-21T19:44:00Z</vt:lpwstr>
  </property>
  <property fmtid="{D5CDD505-2E9C-101B-9397-08002B2CF9AE}" pid="4" name="MSIP_Label_22deaceb-9851-4663-bccf-596767454be3_Method">
    <vt:lpwstr>Standard</vt:lpwstr>
  </property>
  <property fmtid="{D5CDD505-2E9C-101B-9397-08002B2CF9AE}" pid="5" name="MSIP_Label_22deaceb-9851-4663-bccf-596767454be3_Name">
    <vt:lpwstr>22deaceb-9851-4663-bccf-596767454be3</vt:lpwstr>
  </property>
  <property fmtid="{D5CDD505-2E9C-101B-9397-08002B2CF9AE}" pid="6" name="MSIP_Label_22deaceb-9851-4663-bccf-596767454be3_SiteId">
    <vt:lpwstr>809f94a6-0477-4390-b86e-eab14c5493a7</vt:lpwstr>
  </property>
  <property fmtid="{D5CDD505-2E9C-101B-9397-08002B2CF9AE}" pid="7" name="MSIP_Label_22deaceb-9851-4663-bccf-596767454be3_ActionId">
    <vt:lpwstr>b9b2ec50-9f89-40c7-9b4d-5c04f9e9bdb9</vt:lpwstr>
  </property>
  <property fmtid="{D5CDD505-2E9C-101B-9397-08002B2CF9AE}" pid="8" name="MSIP_Label_22deaceb-9851-4663-bccf-596767454be3_ContentBits">
    <vt:lpwstr>2</vt:lpwstr>
  </property>
  <property fmtid="{D5CDD505-2E9C-101B-9397-08002B2CF9AE}" pid="9" name="ContentTypeId">
    <vt:lpwstr>0x010100663C7FA26A0DEC4BB9340BCD00E554A6</vt:lpwstr>
  </property>
  <property fmtid="{D5CDD505-2E9C-101B-9397-08002B2CF9AE}" pid="10" name="Order">
    <vt:r8>605800</vt:r8>
  </property>
  <property fmtid="{D5CDD505-2E9C-101B-9397-08002B2CF9AE}" pid="11" name="MediaServiceImageTags">
    <vt:lpwstr/>
  </property>
</Properties>
</file>